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ekochise\Desktop\研究室関連\2026年版\"/>
    </mc:Choice>
  </mc:AlternateContent>
  <xr:revisionPtr revIDLastSave="0" documentId="13_ncr:2001_{BC6E2D77-2693-4E9A-A056-0A421C8D5F14}" xr6:coauthVersionLast="47" xr6:coauthVersionMax="47" xr10:uidLastSave="{00000000-0000-0000-0000-000000000000}"/>
  <bookViews>
    <workbookView xWindow="-110" yWindow="-110" windowWidth="19420" windowHeight="11500" tabRatio="848" xr2:uid="{00000000-000D-0000-FFFF-FFFF00000000}"/>
  </bookViews>
  <sheets>
    <sheet name="SampleInfo." sheetId="44" r:id="rId1"/>
    <sheet name="Dhakaデータまとめ2026" sheetId="42" r:id="rId2"/>
    <sheet name="Dhaka IC(新)" sheetId="47" r:id="rId3"/>
    <sheet name="Bhola IC" sheetId="50" r:id="rId4"/>
    <sheet name="Bholaデータまとめ2026" sheetId="46" r:id="rId5"/>
    <sheet name="サンプル情報（旧）" sheetId="45" r:id="rId6"/>
    <sheet name="IC（旧）" sheetId="16" r:id="rId7"/>
    <sheet name="同位体（旧）" sheetId="17" r:id="rId8"/>
  </sheets>
  <definedNames>
    <definedName name="_xlchart.v1.0" hidden="1">'Dhaka IC(新)'!$C$6:$C$76</definedName>
    <definedName name="_xlchart.v1.1" hidden="1">'Dhaka IC(新)'!$T$5</definedName>
    <definedName name="_xlchart.v1.10" hidden="1">'Dhaka IC(新)'!$X$6:$X$76</definedName>
    <definedName name="_xlchart.v1.11" hidden="1">'Dhaka IC(新)'!$C$6:$C$76</definedName>
    <definedName name="_xlchart.v1.12" hidden="1">'Dhaka IC(新)'!$T$5</definedName>
    <definedName name="_xlchart.v1.13" hidden="1">'Dhaka IC(新)'!$T$6:$T$76</definedName>
    <definedName name="_xlchart.v1.14" hidden="1">'Dhaka IC(新)'!$U$5</definedName>
    <definedName name="_xlchart.v1.15" hidden="1">'Dhaka IC(新)'!$U$6:$U$76</definedName>
    <definedName name="_xlchart.v1.16" hidden="1">'Dhaka IC(新)'!$V$5</definedName>
    <definedName name="_xlchart.v1.17" hidden="1">'Dhaka IC(新)'!$V$6:$V$76</definedName>
    <definedName name="_xlchart.v1.18" hidden="1">'Dhaka IC(新)'!$W$5</definedName>
    <definedName name="_xlchart.v1.19" hidden="1">'Dhaka IC(新)'!$W$6:$W$76</definedName>
    <definedName name="_xlchart.v1.2" hidden="1">'Dhaka IC(新)'!$T$6:$T$76</definedName>
    <definedName name="_xlchart.v1.20" hidden="1">'Dhaka IC(新)'!$X$5</definedName>
    <definedName name="_xlchart.v1.21" hidden="1">'Dhaka IC(新)'!$X$6:$X$76</definedName>
    <definedName name="_xlchart.v1.22" hidden="1">'Dhaka IC(新)'!$C$6:$C$76</definedName>
    <definedName name="_xlchart.v1.23" hidden="1">'Dhaka IC(新)'!$T$5</definedName>
    <definedName name="_xlchart.v1.24" hidden="1">'Dhaka IC(新)'!$T$6:$T$76</definedName>
    <definedName name="_xlchart.v1.25" hidden="1">'Dhaka IC(新)'!$U$5</definedName>
    <definedName name="_xlchart.v1.26" hidden="1">'Dhaka IC(新)'!$U$6:$U$76</definedName>
    <definedName name="_xlchart.v1.27" hidden="1">'Dhaka IC(新)'!$V$5</definedName>
    <definedName name="_xlchart.v1.28" hidden="1">'Dhaka IC(新)'!$V$6:$V$76</definedName>
    <definedName name="_xlchart.v1.29" hidden="1">'Dhaka IC(新)'!$W$5</definedName>
    <definedName name="_xlchart.v1.3" hidden="1">'Dhaka IC(新)'!$U$5</definedName>
    <definedName name="_xlchart.v1.30" hidden="1">'Dhaka IC(新)'!$W$6:$W$76</definedName>
    <definedName name="_xlchart.v1.31" hidden="1">'Dhaka IC(新)'!$X$5</definedName>
    <definedName name="_xlchart.v1.32" hidden="1">'Dhaka IC(新)'!$X$6:$X$76</definedName>
    <definedName name="_xlchart.v1.4" hidden="1">'Dhaka IC(新)'!$U$6:$U$76</definedName>
    <definedName name="_xlchart.v1.5" hidden="1">'Dhaka IC(新)'!$V$5</definedName>
    <definedName name="_xlchart.v1.6" hidden="1">'Dhaka IC(新)'!$V$6:$V$76</definedName>
    <definedName name="_xlchart.v1.7" hidden="1">'Dhaka IC(新)'!$W$5</definedName>
    <definedName name="_xlchart.v1.8" hidden="1">'Dhaka IC(新)'!$W$6:$W$76</definedName>
    <definedName name="_xlchart.v1.9" hidden="1">'Dhaka IC(新)'!$X$5</definedName>
    <definedName name="bulkexport.wke" localSheetId="3">#REF!</definedName>
    <definedName name="bulkexport.wke" localSheetId="4">#REF!</definedName>
    <definedName name="bulkexport.wke" localSheetId="2">#REF!</definedName>
    <definedName name="bulkexport.wke" localSheetId="1">#REF!</definedName>
    <definedName name="bulkexport.wke" localSheetId="6">#REF!</definedName>
    <definedName name="bulkexport.wke" localSheetId="5">#REF!</definedName>
    <definedName name="bulkexport.wke" localSheetId="7">#REF!</definedName>
    <definedName name="bulkexport.wke">#REF!</definedName>
    <definedName name="N2O2.wke" localSheetId="3">#REF!</definedName>
    <definedName name="N2O2.wke" localSheetId="4">#REF!</definedName>
    <definedName name="N2O2.wke" localSheetId="2">#REF!</definedName>
    <definedName name="N2O2.wke" localSheetId="1">#REF!</definedName>
    <definedName name="N2O2.wke" localSheetId="6">#REF!</definedName>
    <definedName name="N2O2.wke" localSheetId="5">#REF!</definedName>
    <definedName name="N2O2.wke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4" i="16" l="1"/>
  <c r="A92" i="50"/>
  <c r="M89" i="50"/>
  <c r="M88" i="50"/>
  <c r="M87" i="50"/>
  <c r="M86" i="50"/>
  <c r="M85" i="50"/>
  <c r="M84" i="50"/>
  <c r="M83" i="50"/>
  <c r="M82" i="50"/>
  <c r="M81" i="50"/>
  <c r="M80" i="50"/>
  <c r="M79" i="50"/>
  <c r="M78" i="50"/>
  <c r="M77" i="50"/>
  <c r="M76" i="50"/>
  <c r="M75" i="50"/>
  <c r="M73" i="50"/>
  <c r="M72" i="50"/>
  <c r="M71" i="50"/>
  <c r="M70" i="50"/>
  <c r="M69" i="50"/>
  <c r="M68" i="50"/>
  <c r="M67" i="50"/>
  <c r="M66" i="50"/>
  <c r="M65" i="50"/>
  <c r="M64" i="50"/>
  <c r="M63" i="50"/>
  <c r="M62" i="50"/>
  <c r="M61" i="50"/>
  <c r="M60" i="50"/>
  <c r="M59" i="50"/>
  <c r="M58" i="50"/>
  <c r="M57" i="50"/>
  <c r="M56" i="50"/>
  <c r="M55" i="50"/>
  <c r="M54" i="50"/>
  <c r="M53" i="50"/>
  <c r="M52" i="50"/>
  <c r="M51" i="50"/>
  <c r="M50" i="50"/>
  <c r="M49" i="50"/>
  <c r="M48" i="50"/>
  <c r="M47" i="50"/>
  <c r="M46" i="50"/>
  <c r="M45" i="50"/>
  <c r="M44" i="50"/>
  <c r="M43" i="50"/>
  <c r="M42" i="50"/>
  <c r="M41" i="50"/>
  <c r="M40" i="50"/>
  <c r="M39" i="50"/>
  <c r="M38" i="50"/>
  <c r="M37" i="50"/>
  <c r="M36" i="50"/>
  <c r="M35" i="50"/>
  <c r="M34" i="50"/>
  <c r="M33" i="50"/>
  <c r="M32" i="50"/>
  <c r="M31" i="50"/>
  <c r="M30" i="50"/>
  <c r="M29" i="50"/>
  <c r="M28" i="50"/>
  <c r="M27" i="50"/>
  <c r="M26" i="50"/>
  <c r="M25" i="50"/>
  <c r="M24" i="50"/>
  <c r="M23" i="50"/>
  <c r="M22" i="50"/>
  <c r="M21" i="50"/>
  <c r="M20" i="50"/>
  <c r="M19" i="50"/>
  <c r="M18" i="50"/>
  <c r="M17" i="50"/>
  <c r="M16" i="50"/>
  <c r="M15" i="50"/>
  <c r="M14" i="50"/>
  <c r="M13" i="50"/>
  <c r="M12" i="50"/>
  <c r="M11" i="50"/>
  <c r="M10" i="50"/>
  <c r="M9" i="50"/>
  <c r="M8" i="50"/>
  <c r="M7" i="50"/>
  <c r="M6" i="50"/>
  <c r="B2" i="50"/>
  <c r="B1" i="50"/>
  <c r="AE43" i="16"/>
  <c r="M94" i="47"/>
  <c r="M95" i="47"/>
  <c r="M96" i="47"/>
  <c r="M86" i="47"/>
  <c r="M87" i="47"/>
  <c r="M88" i="47"/>
  <c r="M89" i="47"/>
  <c r="M90" i="47"/>
  <c r="M91" i="47"/>
  <c r="M92" i="47"/>
  <c r="M93" i="47"/>
  <c r="M78" i="47"/>
  <c r="M79" i="47"/>
  <c r="M80" i="47"/>
  <c r="M81" i="47"/>
  <c r="M82" i="47"/>
  <c r="M83" i="47"/>
  <c r="M84" i="47"/>
  <c r="M85" i="47"/>
  <c r="M41" i="47"/>
  <c r="M42" i="47"/>
  <c r="M43" i="47"/>
  <c r="M44" i="47"/>
  <c r="M45" i="47"/>
  <c r="M46" i="47"/>
  <c r="M47" i="47"/>
  <c r="M48" i="47"/>
  <c r="M49" i="47"/>
  <c r="M50" i="47"/>
  <c r="M51" i="47"/>
  <c r="M52" i="47"/>
  <c r="M53" i="47"/>
  <c r="M54" i="47"/>
  <c r="M55" i="47"/>
  <c r="M56" i="47"/>
  <c r="M57" i="47"/>
  <c r="M58" i="47"/>
  <c r="M59" i="47"/>
  <c r="M60" i="47"/>
  <c r="M61" i="47"/>
  <c r="M62" i="47"/>
  <c r="M63" i="47"/>
  <c r="M64" i="47"/>
  <c r="M65" i="47"/>
  <c r="M67" i="47"/>
  <c r="M68" i="47"/>
  <c r="M69" i="47"/>
  <c r="M70" i="47"/>
  <c r="M71" i="47"/>
  <c r="M72" i="47"/>
  <c r="M73" i="47"/>
  <c r="M74" i="47"/>
  <c r="M75" i="47"/>
  <c r="M76" i="47"/>
  <c r="M77" i="47"/>
  <c r="U77" i="47"/>
  <c r="A99" i="47"/>
  <c r="M40" i="47"/>
  <c r="M39" i="47"/>
  <c r="M38" i="47"/>
  <c r="M37" i="47"/>
  <c r="M36" i="47"/>
  <c r="M35" i="47"/>
  <c r="M34" i="47"/>
  <c r="M33" i="47"/>
  <c r="M32" i="47"/>
  <c r="M31" i="47"/>
  <c r="M30" i="47"/>
  <c r="M29" i="47"/>
  <c r="M28" i="47"/>
  <c r="M27" i="47"/>
  <c r="M26" i="47"/>
  <c r="M25" i="47"/>
  <c r="M24" i="47"/>
  <c r="M22" i="47"/>
  <c r="M21" i="47"/>
  <c r="M20" i="47"/>
  <c r="M19" i="47"/>
  <c r="M18" i="47"/>
  <c r="M17" i="47"/>
  <c r="M16" i="47"/>
  <c r="M15" i="47"/>
  <c r="M14" i="47"/>
  <c r="M13" i="47"/>
  <c r="M12" i="47"/>
  <c r="M11" i="47"/>
  <c r="M10" i="47"/>
  <c r="M9" i="47"/>
  <c r="M8" i="47"/>
  <c r="M7" i="47"/>
  <c r="M6" i="47"/>
  <c r="B2" i="47"/>
  <c r="B1" i="47"/>
  <c r="A42" i="16"/>
  <c r="F40" i="45"/>
  <c r="H40" i="45" s="1"/>
  <c r="J40" i="45" s="1"/>
  <c r="F39" i="45"/>
  <c r="H39" i="45" s="1"/>
  <c r="J39" i="45" s="1"/>
  <c r="F38" i="45"/>
  <c r="H38" i="45" s="1"/>
  <c r="J38" i="45" s="1"/>
  <c r="F37" i="45"/>
  <c r="H37" i="45" s="1"/>
  <c r="J37" i="45" s="1"/>
  <c r="F36" i="45"/>
  <c r="H36" i="45" s="1"/>
  <c r="J36" i="45" s="1"/>
  <c r="F35" i="45"/>
  <c r="H35" i="45" s="1"/>
  <c r="J35" i="45" s="1"/>
  <c r="F34" i="45"/>
  <c r="H34" i="45" s="1"/>
  <c r="J34" i="45" s="1"/>
  <c r="F33" i="45"/>
  <c r="H33" i="45" s="1"/>
  <c r="J33" i="45" s="1"/>
  <c r="F32" i="45"/>
  <c r="H32" i="45" s="1"/>
  <c r="J32" i="45" s="1"/>
  <c r="F31" i="45"/>
  <c r="H31" i="45" s="1"/>
  <c r="J31" i="45" s="1"/>
  <c r="F30" i="45"/>
  <c r="H30" i="45" s="1"/>
  <c r="J30" i="45" s="1"/>
  <c r="F29" i="45"/>
  <c r="H29" i="45" s="1"/>
  <c r="J29" i="45" s="1"/>
  <c r="F28" i="45"/>
  <c r="H28" i="45" s="1"/>
  <c r="J28" i="45" s="1"/>
  <c r="F27" i="45"/>
  <c r="H27" i="45" s="1"/>
  <c r="J27" i="45" s="1"/>
  <c r="F26" i="45"/>
  <c r="H26" i="45" s="1"/>
  <c r="J26" i="45" s="1"/>
  <c r="F25" i="45"/>
  <c r="H25" i="45" s="1"/>
  <c r="J25" i="45" s="1"/>
  <c r="F24" i="45"/>
  <c r="H24" i="45" s="1"/>
  <c r="J24" i="45" s="1"/>
  <c r="F23" i="45"/>
  <c r="H23" i="45" s="1"/>
  <c r="J23" i="45" s="1"/>
  <c r="F22" i="45"/>
  <c r="F21" i="45"/>
  <c r="H21" i="45" s="1"/>
  <c r="J21" i="45" s="1"/>
  <c r="F20" i="45"/>
  <c r="F19" i="45"/>
  <c r="F18" i="45"/>
  <c r="H18" i="45" s="1"/>
  <c r="J18" i="45" s="1"/>
  <c r="F17" i="45"/>
  <c r="F16" i="45"/>
  <c r="H16" i="45" s="1"/>
  <c r="J16" i="45" s="1"/>
  <c r="F15" i="45"/>
  <c r="H15" i="45" s="1"/>
  <c r="J15" i="45" s="1"/>
  <c r="F14" i="45"/>
  <c r="H14" i="45" s="1"/>
  <c r="J14" i="45" s="1"/>
  <c r="F13" i="45"/>
  <c r="H13" i="45" s="1"/>
  <c r="J13" i="45" s="1"/>
  <c r="F12" i="45"/>
  <c r="H12" i="45" s="1"/>
  <c r="J12" i="45" s="1"/>
  <c r="F11" i="45"/>
  <c r="H11" i="45" s="1"/>
  <c r="J11" i="45" s="1"/>
  <c r="F10" i="45"/>
  <c r="H10" i="45" s="1"/>
  <c r="J10" i="45" s="1"/>
  <c r="F9" i="45"/>
  <c r="H9" i="45" s="1"/>
  <c r="J9" i="45" s="1"/>
  <c r="F8" i="45"/>
  <c r="H8" i="45" s="1"/>
  <c r="J8" i="45" s="1"/>
  <c r="F7" i="45"/>
  <c r="H7" i="45" s="1"/>
  <c r="J7" i="45" s="1"/>
  <c r="F6" i="45"/>
  <c r="H6" i="45" s="1"/>
  <c r="J6" i="45" s="1"/>
  <c r="C2" i="45"/>
  <c r="C1" i="45"/>
  <c r="Z93" i="47" l="1"/>
  <c r="Y78" i="47"/>
  <c r="V79" i="47"/>
  <c r="AD79" i="47"/>
  <c r="T81" i="47"/>
  <c r="V82" i="47"/>
  <c r="AC82" i="47"/>
  <c r="X83" i="47"/>
  <c r="W84" i="47"/>
  <c r="AC84" i="47"/>
  <c r="X85" i="47"/>
  <c r="AB85" i="47"/>
  <c r="T41" i="47"/>
  <c r="T45" i="47"/>
  <c r="AD45" i="47"/>
  <c r="V46" i="47"/>
  <c r="AA46" i="47"/>
  <c r="V47" i="47"/>
  <c r="AD47" i="47"/>
  <c r="Y48" i="47"/>
  <c r="T49" i="47"/>
  <c r="AA49" i="47"/>
  <c r="W50" i="47"/>
  <c r="W51" i="47"/>
  <c r="AA51" i="47"/>
  <c r="AD51" i="47"/>
  <c r="U52" i="47"/>
  <c r="X52" i="47"/>
  <c r="AA52" i="47"/>
  <c r="U53" i="47"/>
  <c r="AC53" i="47"/>
  <c r="AB54" i="47"/>
  <c r="T55" i="47"/>
  <c r="Y55" i="47"/>
  <c r="AB55" i="47"/>
  <c r="U56" i="47"/>
  <c r="X56" i="47"/>
  <c r="AA56" i="47"/>
  <c r="V58" i="47"/>
  <c r="AC58" i="47"/>
  <c r="T59" i="47"/>
  <c r="X59" i="47"/>
  <c r="AA63" i="47"/>
  <c r="V64" i="47"/>
  <c r="X64" i="47"/>
  <c r="AC64" i="47"/>
  <c r="AB65" i="47"/>
  <c r="T67" i="47"/>
  <c r="W67" i="47"/>
  <c r="AA67" i="47"/>
  <c r="AB68" i="47"/>
  <c r="W69" i="47"/>
  <c r="AC70" i="47"/>
  <c r="V71" i="47"/>
  <c r="AA71" i="47"/>
  <c r="V72" i="47"/>
  <c r="Z72" i="47"/>
  <c r="AD72" i="47"/>
  <c r="AB73" i="47"/>
  <c r="T74" i="47"/>
  <c r="W74" i="47"/>
  <c r="T75" i="47"/>
  <c r="AA75" i="47"/>
  <c r="T76" i="47"/>
  <c r="Z76" i="47"/>
  <c r="W77" i="47"/>
  <c r="AB77" i="47"/>
  <c r="AB93" i="47"/>
  <c r="V78" i="47"/>
  <c r="AD78" i="47"/>
  <c r="X79" i="47"/>
  <c r="AA79" i="47"/>
  <c r="U80" i="47"/>
  <c r="AA80" i="47"/>
  <c r="AD80" i="47"/>
  <c r="Y81" i="47"/>
  <c r="AB81" i="47"/>
  <c r="T82" i="47"/>
  <c r="Z82" i="47"/>
  <c r="T83" i="47"/>
  <c r="Z83" i="47"/>
  <c r="V84" i="47"/>
  <c r="Z84" i="47"/>
  <c r="Z85" i="47"/>
  <c r="AC85" i="47"/>
  <c r="W45" i="47"/>
  <c r="AC45" i="47"/>
  <c r="U46" i="47"/>
  <c r="Z46" i="47"/>
  <c r="Y47" i="47"/>
  <c r="W48" i="47"/>
  <c r="AA48" i="47"/>
  <c r="W49" i="47"/>
  <c r="Z49" i="47"/>
  <c r="AD49" i="47"/>
  <c r="V50" i="47"/>
  <c r="AC50" i="47"/>
  <c r="T51" i="47"/>
  <c r="Y52" i="47"/>
  <c r="T53" i="47"/>
  <c r="X53" i="47"/>
  <c r="AD53" i="47"/>
  <c r="V55" i="47"/>
  <c r="AA55" i="47"/>
  <c r="W56" i="47"/>
  <c r="X57" i="47"/>
  <c r="AB58" i="47"/>
  <c r="V59" i="47"/>
  <c r="AB63" i="47"/>
  <c r="W64" i="47"/>
  <c r="AB64" i="47"/>
  <c r="W65" i="47"/>
  <c r="AC65" i="47"/>
  <c r="U67" i="47"/>
  <c r="AC67" i="47"/>
  <c r="U68" i="47"/>
  <c r="Y68" i="47"/>
  <c r="AC68" i="47"/>
  <c r="Y69" i="47"/>
  <c r="AB69" i="47"/>
  <c r="T70" i="47"/>
  <c r="Y70" i="47"/>
  <c r="Y73" i="47"/>
  <c r="AD73" i="47"/>
  <c r="X74" i="47"/>
  <c r="AB74" i="47"/>
  <c r="W75" i="47"/>
  <c r="X93" i="47"/>
  <c r="U78" i="47"/>
  <c r="AB78" i="47"/>
  <c r="U79" i="47"/>
  <c r="X80" i="47"/>
  <c r="U81" i="47"/>
  <c r="U82" i="47"/>
  <c r="AB82" i="47"/>
  <c r="V83" i="47"/>
  <c r="AB83" i="47"/>
  <c r="X84" i="47"/>
  <c r="AD84" i="47"/>
  <c r="W85" i="47"/>
  <c r="AA85" i="47"/>
  <c r="V45" i="47"/>
  <c r="AA45" i="47"/>
  <c r="T46" i="47"/>
  <c r="AB46" i="47"/>
  <c r="W47" i="47"/>
  <c r="AB47" i="47"/>
  <c r="V48" i="47"/>
  <c r="AC48" i="47"/>
  <c r="U49" i="47"/>
  <c r="Y49" i="47"/>
  <c r="AB49" i="47"/>
  <c r="U50" i="47"/>
  <c r="AA50" i="47"/>
  <c r="Y51" i="47"/>
  <c r="AC51" i="47"/>
  <c r="T52" i="47"/>
  <c r="W52" i="47"/>
  <c r="AC52" i="47"/>
  <c r="V53" i="47"/>
  <c r="Z53" i="47"/>
  <c r="X54" i="47"/>
  <c r="AC54" i="47"/>
  <c r="W55" i="47"/>
  <c r="Z55" i="47"/>
  <c r="Z56" i="47"/>
  <c r="T57" i="47"/>
  <c r="W57" i="47"/>
  <c r="Z57" i="47"/>
  <c r="T58" i="47"/>
  <c r="X58" i="47"/>
  <c r="AA58" i="47"/>
  <c r="AD63" i="47"/>
  <c r="Z64" i="47"/>
  <c r="Y65" i="47"/>
  <c r="AA65" i="47"/>
  <c r="V67" i="47"/>
  <c r="Z67" i="47"/>
  <c r="T68" i="47"/>
  <c r="Z68" i="47"/>
  <c r="AD68" i="47"/>
  <c r="Z69" i="47"/>
  <c r="AD69" i="47"/>
  <c r="U71" i="47"/>
  <c r="AC71" i="47"/>
  <c r="W72" i="47"/>
  <c r="AA72" i="47"/>
  <c r="V73" i="47"/>
  <c r="V75" i="47"/>
  <c r="AB75" i="47"/>
  <c r="AD75" i="47"/>
  <c r="AC76" i="47"/>
  <c r="AA93" i="47"/>
  <c r="W78" i="47"/>
  <c r="AC78" i="47"/>
  <c r="W79" i="47"/>
  <c r="AB79" i="47"/>
  <c r="W80" i="47"/>
  <c r="AB80" i="47"/>
  <c r="X81" i="47"/>
  <c r="AA81" i="47"/>
  <c r="Y82" i="47"/>
  <c r="AD82" i="47"/>
  <c r="W83" i="47"/>
  <c r="AD83" i="47"/>
  <c r="Y84" i="47"/>
  <c r="U85" i="47"/>
  <c r="AD85" i="47"/>
  <c r="AC44" i="47"/>
  <c r="Y45" i="47"/>
  <c r="Y46" i="47"/>
  <c r="AC46" i="47"/>
  <c r="U47" i="47"/>
  <c r="AC47" i="47"/>
  <c r="U48" i="47"/>
  <c r="V49" i="47"/>
  <c r="T50" i="47"/>
  <c r="X50" i="47"/>
  <c r="U51" i="47"/>
  <c r="Z51" i="47"/>
  <c r="AD52" i="47"/>
  <c r="W53" i="47"/>
  <c r="AB53" i="47"/>
  <c r="T54" i="47"/>
  <c r="Z54" i="47"/>
  <c r="AD54" i="47"/>
  <c r="AC55" i="47"/>
  <c r="Y56" i="47"/>
  <c r="Y57" i="47"/>
  <c r="AC57" i="47"/>
  <c r="W59" i="47"/>
  <c r="AC63" i="47"/>
  <c r="U64" i="47"/>
  <c r="Y64" i="47"/>
  <c r="AD64" i="47"/>
  <c r="V65" i="47"/>
  <c r="V68" i="47"/>
  <c r="AA68" i="47"/>
  <c r="U69" i="47"/>
  <c r="X69" i="47"/>
  <c r="AA69" i="47"/>
  <c r="AB70" i="47"/>
  <c r="Z71" i="47"/>
  <c r="AD71" i="47"/>
  <c r="U72" i="47"/>
  <c r="Y72" i="47"/>
  <c r="X73" i="47"/>
  <c r="Z74" i="47"/>
  <c r="AC74" i="47"/>
  <c r="U75" i="47"/>
  <c r="AC75" i="47"/>
  <c r="U76" i="47"/>
  <c r="X76" i="47"/>
  <c r="AD76" i="47"/>
  <c r="V77" i="47"/>
  <c r="AA77" i="47"/>
  <c r="AD93" i="47"/>
  <c r="T78" i="47"/>
  <c r="AA78" i="47"/>
  <c r="T79" i="47"/>
  <c r="Z79" i="47"/>
  <c r="AC79" i="47"/>
  <c r="V80" i="47"/>
  <c r="Z80" i="47"/>
  <c r="V81" i="47"/>
  <c r="Z81" i="47"/>
  <c r="AC81" i="47"/>
  <c r="W82" i="47"/>
  <c r="AA82" i="47"/>
  <c r="U83" i="47"/>
  <c r="Y83" i="47"/>
  <c r="AC83" i="47"/>
  <c r="U84" i="47"/>
  <c r="AA84" i="47"/>
  <c r="V85" i="47"/>
  <c r="U41" i="47"/>
  <c r="U45" i="47"/>
  <c r="Z45" i="47"/>
  <c r="X46" i="47"/>
  <c r="AD46" i="47"/>
  <c r="X47" i="47"/>
  <c r="AA47" i="47"/>
  <c r="X48" i="47"/>
  <c r="AB48" i="47"/>
  <c r="X49" i="47"/>
  <c r="Y50" i="47"/>
  <c r="AB50" i="47"/>
  <c r="V51" i="47"/>
  <c r="Z52" i="47"/>
  <c r="AA53" i="47"/>
  <c r="U54" i="47"/>
  <c r="W54" i="47"/>
  <c r="AA54" i="47"/>
  <c r="U55" i="47"/>
  <c r="T56" i="47"/>
  <c r="AD56" i="47"/>
  <c r="AD57" i="47"/>
  <c r="U58" i="47"/>
  <c r="Z58" i="47"/>
  <c r="Y59" i="47"/>
  <c r="AA64" i="47"/>
  <c r="X65" i="47"/>
  <c r="AB67" i="47"/>
  <c r="W68" i="47"/>
  <c r="V69" i="47"/>
  <c r="U70" i="47"/>
  <c r="X70" i="47"/>
  <c r="AA70" i="47"/>
  <c r="W71" i="47"/>
  <c r="AB72" i="47"/>
  <c r="W73" i="47"/>
  <c r="AA73" i="47"/>
  <c r="U74" i="47"/>
  <c r="Y74" i="47"/>
  <c r="AD74" i="47"/>
  <c r="X75" i="47"/>
  <c r="W76" i="47"/>
  <c r="AA76" i="47"/>
  <c r="Y77" i="47"/>
  <c r="AC93" i="47"/>
  <c r="X78" i="47"/>
  <c r="Z78" i="47"/>
  <c r="Y79" i="47"/>
  <c r="T80" i="47"/>
  <c r="Y80" i="47"/>
  <c r="AC80" i="47"/>
  <c r="W81" i="47"/>
  <c r="AD81" i="47"/>
  <c r="X82" i="47"/>
  <c r="AA83" i="47"/>
  <c r="T84" i="47"/>
  <c r="AB84" i="47"/>
  <c r="T85" i="47"/>
  <c r="Y85" i="47"/>
  <c r="AD44" i="47"/>
  <c r="X45" i="47"/>
  <c r="AB45" i="47"/>
  <c r="W46" i="47"/>
  <c r="T47" i="47"/>
  <c r="Z47" i="47"/>
  <c r="T48" i="47"/>
  <c r="Z48" i="47"/>
  <c r="AD48" i="47"/>
  <c r="AC49" i="47"/>
  <c r="AD50" i="47"/>
  <c r="X51" i="47"/>
  <c r="AB51" i="47"/>
  <c r="V52" i="47"/>
  <c r="AB52" i="47"/>
  <c r="Y53" i="47"/>
  <c r="V54" i="47"/>
  <c r="Y54" i="47"/>
  <c r="AD55" i="47"/>
  <c r="AC56" i="47"/>
  <c r="V57" i="47"/>
  <c r="AB57" i="47"/>
  <c r="W58" i="47"/>
  <c r="AD58" i="47"/>
  <c r="U59" i="47"/>
  <c r="T64" i="47"/>
  <c r="U65" i="47"/>
  <c r="Y67" i="47"/>
  <c r="AC69" i="47"/>
  <c r="V70" i="47"/>
  <c r="Z70" i="47"/>
  <c r="AD70" i="47"/>
  <c r="T71" i="47"/>
  <c r="Y71" i="47"/>
  <c r="T72" i="47"/>
  <c r="X72" i="47"/>
  <c r="AC72" i="47"/>
  <c r="T73" i="47"/>
  <c r="Z73" i="47"/>
  <c r="AA74" i="47"/>
  <c r="Y75" i="47"/>
  <c r="V76" i="47"/>
  <c r="Y76" i="47"/>
  <c r="T77" i="47"/>
  <c r="Z77" i="47"/>
  <c r="AD77" i="47"/>
  <c r="Z50" i="47"/>
  <c r="X55" i="47"/>
  <c r="V56" i="47"/>
  <c r="AB56" i="47"/>
  <c r="U57" i="47"/>
  <c r="AA57" i="47"/>
  <c r="Y58" i="47"/>
  <c r="Z63" i="47"/>
  <c r="T65" i="47"/>
  <c r="Z65" i="47"/>
  <c r="AD65" i="47"/>
  <c r="X67" i="47"/>
  <c r="AD67" i="47"/>
  <c r="X68" i="47"/>
  <c r="T69" i="47"/>
  <c r="W70" i="47"/>
  <c r="AE70" i="47" s="1"/>
  <c r="X71" i="47"/>
  <c r="AB71" i="47"/>
  <c r="U73" i="47"/>
  <c r="AC73" i="47"/>
  <c r="V74" i="47"/>
  <c r="Z75" i="47"/>
  <c r="AB76" i="47"/>
  <c r="X77" i="47"/>
  <c r="AC77" i="47"/>
  <c r="AA91" i="47"/>
  <c r="U94" i="47"/>
  <c r="W94" i="47"/>
  <c r="Y94" i="47"/>
  <c r="Z94" i="47"/>
  <c r="AB94" i="47"/>
  <c r="AC94" i="47"/>
  <c r="Z95" i="47"/>
  <c r="AB95" i="47"/>
  <c r="U96" i="47"/>
  <c r="Y96" i="47"/>
  <c r="Y86" i="47"/>
  <c r="AA86" i="47"/>
  <c r="T87" i="47"/>
  <c r="Z87" i="47"/>
  <c r="V88" i="47"/>
  <c r="Z88" i="47"/>
  <c r="X89" i="47"/>
  <c r="AB89" i="47"/>
  <c r="V90" i="47"/>
  <c r="Z90" i="47"/>
  <c r="AC90" i="47"/>
  <c r="W91" i="47"/>
  <c r="AA92" i="47"/>
  <c r="V94" i="47"/>
  <c r="W95" i="47"/>
  <c r="AC95" i="47"/>
  <c r="V96" i="47"/>
  <c r="AB96" i="47"/>
  <c r="X86" i="47"/>
  <c r="AD86" i="47"/>
  <c r="W87" i="47"/>
  <c r="AD87" i="47"/>
  <c r="AC88" i="47"/>
  <c r="V89" i="47"/>
  <c r="U90" i="47"/>
  <c r="AD90" i="47"/>
  <c r="Y91" i="47"/>
  <c r="AD91" i="47"/>
  <c r="X92" i="47"/>
  <c r="W93" i="47"/>
  <c r="AA94" i="47"/>
  <c r="X96" i="47"/>
  <c r="AC96" i="47"/>
  <c r="U86" i="47"/>
  <c r="AC86" i="47"/>
  <c r="X87" i="47"/>
  <c r="Y88" i="47"/>
  <c r="T89" i="47"/>
  <c r="Y89" i="47"/>
  <c r="AC89" i="47"/>
  <c r="W90" i="47"/>
  <c r="AA90" i="47"/>
  <c r="U91" i="47"/>
  <c r="AC91" i="47"/>
  <c r="V92" i="47"/>
  <c r="AC92" i="47"/>
  <c r="V93" i="47"/>
  <c r="T94" i="47"/>
  <c r="V95" i="47"/>
  <c r="AD95" i="47"/>
  <c r="W96" i="47"/>
  <c r="Z96" i="47"/>
  <c r="T86" i="47"/>
  <c r="AA87" i="47"/>
  <c r="U88" i="47"/>
  <c r="AB88" i="47"/>
  <c r="U89" i="47"/>
  <c r="AD89" i="47"/>
  <c r="Y90" i="47"/>
  <c r="T91" i="47"/>
  <c r="Z91" i="47"/>
  <c r="U92" i="47"/>
  <c r="Y92" i="47"/>
  <c r="U93" i="47"/>
  <c r="Y93" i="47"/>
  <c r="X94" i="47"/>
  <c r="X95" i="47"/>
  <c r="AA96" i="47"/>
  <c r="W86" i="47"/>
  <c r="Z86" i="47"/>
  <c r="U87" i="47"/>
  <c r="Y87" i="47"/>
  <c r="AC87" i="47"/>
  <c r="W88" i="47"/>
  <c r="AA88" i="47"/>
  <c r="Z89" i="47"/>
  <c r="T90" i="47"/>
  <c r="X90" i="47"/>
  <c r="X91" i="47"/>
  <c r="AB91" i="47"/>
  <c r="T92" i="47"/>
  <c r="Z92" i="47"/>
  <c r="AD92" i="47"/>
  <c r="AD94" i="47"/>
  <c r="T95" i="47"/>
  <c r="U95" i="47"/>
  <c r="Y95" i="47"/>
  <c r="AA95" i="47"/>
  <c r="T96" i="47"/>
  <c r="AD96" i="47"/>
  <c r="V86" i="47"/>
  <c r="AB86" i="47"/>
  <c r="V87" i="47"/>
  <c r="AB87" i="47"/>
  <c r="T88" i="47"/>
  <c r="X88" i="47"/>
  <c r="AD88" i="47"/>
  <c r="W89" i="47"/>
  <c r="AA89" i="47"/>
  <c r="AB90" i="47"/>
  <c r="V91" i="47"/>
  <c r="W92" i="47"/>
  <c r="AB92" i="47"/>
  <c r="T93" i="47"/>
  <c r="V41" i="47"/>
  <c r="W41" i="47"/>
  <c r="X41" i="47"/>
  <c r="Y41" i="47"/>
  <c r="Z41" i="47"/>
  <c r="AA41" i="47"/>
  <c r="AB41" i="47"/>
  <c r="AC41" i="47"/>
  <c r="AD41" i="47"/>
  <c r="T42" i="47"/>
  <c r="U42" i="47"/>
  <c r="V42" i="47"/>
  <c r="W42" i="47"/>
  <c r="X42" i="47"/>
  <c r="Y42" i="47"/>
  <c r="Z42" i="47"/>
  <c r="AA42" i="47"/>
  <c r="AB42" i="47"/>
  <c r="AC42" i="47"/>
  <c r="AD42" i="47"/>
  <c r="T43" i="47"/>
  <c r="U43" i="47"/>
  <c r="V43" i="47"/>
  <c r="W43" i="47"/>
  <c r="X43" i="47"/>
  <c r="Y43" i="47"/>
  <c r="Z43" i="47"/>
  <c r="AA43" i="47"/>
  <c r="AB43" i="47"/>
  <c r="AC43" i="47"/>
  <c r="AD43" i="47"/>
  <c r="T44" i="47"/>
  <c r="U44" i="47"/>
  <c r="V44" i="47"/>
  <c r="W44" i="47"/>
  <c r="X44" i="47"/>
  <c r="Y44" i="47"/>
  <c r="Z44" i="47"/>
  <c r="AA44" i="47"/>
  <c r="AB44" i="47"/>
  <c r="Z59" i="47"/>
  <c r="AA59" i="47"/>
  <c r="AB59" i="47"/>
  <c r="AC59" i="47"/>
  <c r="AD59" i="47"/>
  <c r="T60" i="47"/>
  <c r="U60" i="47"/>
  <c r="V60" i="47"/>
  <c r="W60" i="47"/>
  <c r="X60" i="47"/>
  <c r="Y60" i="47"/>
  <c r="Z60" i="47"/>
  <c r="AA60" i="47"/>
  <c r="AB60" i="47"/>
  <c r="AC60" i="47"/>
  <c r="AD60" i="47"/>
  <c r="T61" i="47"/>
  <c r="U61" i="47"/>
  <c r="V61" i="47"/>
  <c r="W61" i="47"/>
  <c r="X61" i="47"/>
  <c r="Y61" i="47"/>
  <c r="Z61" i="47"/>
  <c r="AA61" i="47"/>
  <c r="AB61" i="47"/>
  <c r="AC61" i="47"/>
  <c r="AD61" i="47"/>
  <c r="T62" i="47"/>
  <c r="U62" i="47"/>
  <c r="V62" i="47"/>
  <c r="W62" i="47"/>
  <c r="X62" i="47"/>
  <c r="Y62" i="47"/>
  <c r="Z62" i="47"/>
  <c r="AA62" i="47"/>
  <c r="AB62" i="47"/>
  <c r="AC62" i="47"/>
  <c r="AD62" i="47"/>
  <c r="T63" i="47"/>
  <c r="U63" i="47"/>
  <c r="V63" i="47"/>
  <c r="W63" i="47"/>
  <c r="X63" i="47"/>
  <c r="Y63" i="47"/>
  <c r="AD17" i="47"/>
  <c r="AC17" i="47"/>
  <c r="AB17" i="47"/>
  <c r="AA17" i="47"/>
  <c r="Z17" i="47"/>
  <c r="Y17" i="47"/>
  <c r="X17" i="47"/>
  <c r="Z84" i="50"/>
  <c r="T84" i="50"/>
  <c r="AB83" i="50"/>
  <c r="W83" i="50"/>
  <c r="U83" i="50"/>
  <c r="AD82" i="50"/>
  <c r="Z82" i="50"/>
  <c r="V82" i="50"/>
  <c r="AD81" i="50"/>
  <c r="Y81" i="50"/>
  <c r="V81" i="50"/>
  <c r="AD80" i="50"/>
  <c r="Z80" i="50"/>
  <c r="V80" i="50"/>
  <c r="AD79" i="50"/>
  <c r="Z79" i="50"/>
  <c r="V79" i="50"/>
  <c r="AC78" i="50"/>
  <c r="Z78" i="50"/>
  <c r="V78" i="50"/>
  <c r="AD77" i="50"/>
  <c r="Z77" i="50"/>
  <c r="Y84" i="50"/>
  <c r="V84" i="50"/>
  <c r="AC83" i="50"/>
  <c r="X83" i="50"/>
  <c r="T83" i="50"/>
  <c r="AA82" i="50"/>
  <c r="W82" i="50"/>
  <c r="AB81" i="50"/>
  <c r="X81" i="50"/>
  <c r="T81" i="50"/>
  <c r="AA80" i="50"/>
  <c r="Y80" i="50"/>
  <c r="T80" i="50"/>
  <c r="AB79" i="50"/>
  <c r="X79" i="50"/>
  <c r="U79" i="50"/>
  <c r="AD78" i="50"/>
  <c r="Y78" i="50"/>
  <c r="T78" i="50"/>
  <c r="AA77" i="50"/>
  <c r="X84" i="50"/>
  <c r="AD83" i="50"/>
  <c r="AA83" i="50"/>
  <c r="Y83" i="50"/>
  <c r="AC82" i="50"/>
  <c r="Y82" i="50"/>
  <c r="U82" i="50"/>
  <c r="AC81" i="50"/>
  <c r="Z81" i="50"/>
  <c r="W81" i="50"/>
  <c r="AC80" i="50"/>
  <c r="W80" i="50"/>
  <c r="U80" i="50"/>
  <c r="AC79" i="50"/>
  <c r="Y79" i="50"/>
  <c r="T79" i="50"/>
  <c r="AA78" i="50"/>
  <c r="X78" i="50"/>
  <c r="U78" i="50"/>
  <c r="AC77" i="50"/>
  <c r="Y77" i="50"/>
  <c r="W77" i="50"/>
  <c r="W84" i="50"/>
  <c r="U84" i="50"/>
  <c r="Z83" i="50"/>
  <c r="V83" i="50"/>
  <c r="AB82" i="50"/>
  <c r="X82" i="50"/>
  <c r="T82" i="50"/>
  <c r="AA81" i="50"/>
  <c r="U81" i="50"/>
  <c r="AB80" i="50"/>
  <c r="X80" i="50"/>
  <c r="AA79" i="50"/>
  <c r="W79" i="50"/>
  <c r="AB78" i="50"/>
  <c r="W78" i="50"/>
  <c r="AB77" i="50"/>
  <c r="X77" i="50"/>
  <c r="AD89" i="50"/>
  <c r="AC89" i="50"/>
  <c r="AB89" i="50"/>
  <c r="AA89" i="50"/>
  <c r="Z89" i="50"/>
  <c r="Y89" i="50"/>
  <c r="X89" i="50"/>
  <c r="W89" i="50"/>
  <c r="V89" i="50"/>
  <c r="U89" i="50"/>
  <c r="T89" i="50"/>
  <c r="AD88" i="50"/>
  <c r="AC88" i="50"/>
  <c r="AB88" i="50"/>
  <c r="AA88" i="50"/>
  <c r="Z88" i="50"/>
  <c r="Y88" i="50"/>
  <c r="X88" i="50"/>
  <c r="W88" i="50"/>
  <c r="V88" i="50"/>
  <c r="U88" i="50"/>
  <c r="T88" i="50"/>
  <c r="AD87" i="50"/>
  <c r="AC87" i="50"/>
  <c r="AB87" i="50"/>
  <c r="AA87" i="50"/>
  <c r="Z87" i="50"/>
  <c r="Y87" i="50"/>
  <c r="X87" i="50"/>
  <c r="W87" i="50"/>
  <c r="V87" i="50"/>
  <c r="U87" i="50"/>
  <c r="T87" i="50"/>
  <c r="AD86" i="50"/>
  <c r="AC86" i="50"/>
  <c r="AB86" i="50"/>
  <c r="AA86" i="50"/>
  <c r="Z86" i="50"/>
  <c r="Y86" i="50"/>
  <c r="X86" i="50"/>
  <c r="W86" i="50"/>
  <c r="V86" i="50"/>
  <c r="U86" i="50"/>
  <c r="T86" i="50"/>
  <c r="AD85" i="50"/>
  <c r="AC85" i="50"/>
  <c r="AB85" i="50"/>
  <c r="AA85" i="50"/>
  <c r="Z85" i="50"/>
  <c r="Y85" i="50"/>
  <c r="X85" i="50"/>
  <c r="V85" i="50"/>
  <c r="U85" i="50"/>
  <c r="T85" i="50"/>
  <c r="AD84" i="50"/>
  <c r="AB84" i="50"/>
  <c r="AE81" i="50"/>
  <c r="AE78" i="50"/>
  <c r="V77" i="50"/>
  <c r="U77" i="50"/>
  <c r="T77" i="50"/>
  <c r="AD76" i="50"/>
  <c r="AC76" i="50"/>
  <c r="AB76" i="50"/>
  <c r="AA76" i="50"/>
  <c r="Z76" i="50"/>
  <c r="Y76" i="50"/>
  <c r="X76" i="50"/>
  <c r="W76" i="50"/>
  <c r="V76" i="50"/>
  <c r="U76" i="50"/>
  <c r="T76" i="50"/>
  <c r="AD75" i="50"/>
  <c r="AC75" i="50"/>
  <c r="AB75" i="50"/>
  <c r="AA75" i="50"/>
  <c r="Z75" i="50"/>
  <c r="Y75" i="50"/>
  <c r="X75" i="50"/>
  <c r="W75" i="50"/>
  <c r="V75" i="50"/>
  <c r="U75" i="50"/>
  <c r="T75" i="50"/>
  <c r="AD73" i="50"/>
  <c r="AC73" i="50"/>
  <c r="AB73" i="50"/>
  <c r="AA73" i="50"/>
  <c r="Z73" i="50"/>
  <c r="Y73" i="50"/>
  <c r="X73" i="50"/>
  <c r="W73" i="50"/>
  <c r="V73" i="50"/>
  <c r="U73" i="50"/>
  <c r="T73" i="50"/>
  <c r="AD72" i="50"/>
  <c r="AC72" i="50"/>
  <c r="AB72" i="50"/>
  <c r="AA72" i="50"/>
  <c r="Z72" i="50"/>
  <c r="Y72" i="50"/>
  <c r="X72" i="50"/>
  <c r="W72" i="50"/>
  <c r="V72" i="50"/>
  <c r="U72" i="50"/>
  <c r="T72" i="50"/>
  <c r="AD71" i="50"/>
  <c r="AC71" i="50"/>
  <c r="AB71" i="50"/>
  <c r="AA71" i="50"/>
  <c r="Z71" i="50"/>
  <c r="Y71" i="50"/>
  <c r="X71" i="50"/>
  <c r="W71" i="50"/>
  <c r="V71" i="50"/>
  <c r="U71" i="50"/>
  <c r="T71" i="50"/>
  <c r="AD70" i="50"/>
  <c r="AC70" i="50"/>
  <c r="AB70" i="50"/>
  <c r="AA70" i="50"/>
  <c r="Z70" i="50"/>
  <c r="Y70" i="50"/>
  <c r="X70" i="50"/>
  <c r="W70" i="50"/>
  <c r="V70" i="50"/>
  <c r="U70" i="50"/>
  <c r="T70" i="50"/>
  <c r="AD69" i="50"/>
  <c r="AC69" i="50"/>
  <c r="AB69" i="50"/>
  <c r="AA69" i="50"/>
  <c r="Z69" i="50"/>
  <c r="Y69" i="50"/>
  <c r="X69" i="50"/>
  <c r="W69" i="50"/>
  <c r="V69" i="50"/>
  <c r="U69" i="50"/>
  <c r="T69" i="50"/>
  <c r="AD68" i="50"/>
  <c r="AC68" i="50"/>
  <c r="AB68" i="50"/>
  <c r="AA68" i="50"/>
  <c r="Z68" i="50"/>
  <c r="Y68" i="50"/>
  <c r="X68" i="50"/>
  <c r="W68" i="50"/>
  <c r="V68" i="50"/>
  <c r="U68" i="50"/>
  <c r="T68" i="50"/>
  <c r="AD67" i="50"/>
  <c r="AC67" i="50"/>
  <c r="AB67" i="50"/>
  <c r="AA67" i="50"/>
  <c r="Z67" i="50"/>
  <c r="Y67" i="50"/>
  <c r="X67" i="50"/>
  <c r="W67" i="50"/>
  <c r="V67" i="50"/>
  <c r="U67" i="50"/>
  <c r="T67" i="50"/>
  <c r="AD66" i="50"/>
  <c r="AC66" i="50"/>
  <c r="AB66" i="50"/>
  <c r="AA66" i="50"/>
  <c r="Z66" i="50"/>
  <c r="Y66" i="50"/>
  <c r="X66" i="50"/>
  <c r="W66" i="50"/>
  <c r="V66" i="50"/>
  <c r="U66" i="50"/>
  <c r="T66" i="50"/>
  <c r="AD65" i="50"/>
  <c r="AC65" i="50"/>
  <c r="AB65" i="50"/>
  <c r="AA65" i="50"/>
  <c r="Z65" i="50"/>
  <c r="Y65" i="50"/>
  <c r="X65" i="50"/>
  <c r="W65" i="50"/>
  <c r="V65" i="50"/>
  <c r="U65" i="50"/>
  <c r="T65" i="50"/>
  <c r="AD64" i="50"/>
  <c r="AC64" i="50"/>
  <c r="AB64" i="50"/>
  <c r="AA64" i="50"/>
  <c r="Z64" i="50"/>
  <c r="Y64" i="50"/>
  <c r="X64" i="50"/>
  <c r="W64" i="50"/>
  <c r="V64" i="50"/>
  <c r="U64" i="50"/>
  <c r="T64" i="50"/>
  <c r="AD63" i="50"/>
  <c r="AC63" i="50"/>
  <c r="AB63" i="50"/>
  <c r="AA63" i="50"/>
  <c r="Z63" i="50"/>
  <c r="Y63" i="50"/>
  <c r="X63" i="50"/>
  <c r="W63" i="50"/>
  <c r="V63" i="50"/>
  <c r="U63" i="50"/>
  <c r="T63" i="50"/>
  <c r="AD62" i="50"/>
  <c r="AC62" i="50"/>
  <c r="AB62" i="50"/>
  <c r="AA62" i="50"/>
  <c r="Z62" i="50"/>
  <c r="Y62" i="50"/>
  <c r="X62" i="50"/>
  <c r="W62" i="50"/>
  <c r="V62" i="50"/>
  <c r="U62" i="50"/>
  <c r="T62" i="50"/>
  <c r="AD61" i="50"/>
  <c r="AC61" i="50"/>
  <c r="AB61" i="50"/>
  <c r="AA61" i="50"/>
  <c r="Z61" i="50"/>
  <c r="Y61" i="50"/>
  <c r="X61" i="50"/>
  <c r="W61" i="50"/>
  <c r="V61" i="50"/>
  <c r="U61" i="50"/>
  <c r="T61" i="50"/>
  <c r="AD60" i="50"/>
  <c r="AC60" i="50"/>
  <c r="AB60" i="50"/>
  <c r="AA60" i="50"/>
  <c r="Z60" i="50"/>
  <c r="Y60" i="50"/>
  <c r="X60" i="50"/>
  <c r="W60" i="50"/>
  <c r="V60" i="50"/>
  <c r="U60" i="50"/>
  <c r="T60" i="50"/>
  <c r="AD59" i="50"/>
  <c r="AC59" i="50"/>
  <c r="AB59" i="50"/>
  <c r="AA59" i="50"/>
  <c r="Z59" i="50"/>
  <c r="Y59" i="50"/>
  <c r="X59" i="50"/>
  <c r="W59" i="50"/>
  <c r="V59" i="50"/>
  <c r="U59" i="50"/>
  <c r="T59" i="50"/>
  <c r="AD58" i="50"/>
  <c r="AC58" i="50"/>
  <c r="AB58" i="50"/>
  <c r="AA58" i="50"/>
  <c r="Z58" i="50"/>
  <c r="Y58" i="50"/>
  <c r="X58" i="50"/>
  <c r="W58" i="50"/>
  <c r="V58" i="50"/>
  <c r="U58" i="50"/>
  <c r="T58" i="50"/>
  <c r="AD57" i="50"/>
  <c r="AC57" i="50"/>
  <c r="AB57" i="50"/>
  <c r="AA57" i="50"/>
  <c r="Z57" i="50"/>
  <c r="Y57" i="50"/>
  <c r="X57" i="50"/>
  <c r="W57" i="50"/>
  <c r="V57" i="50"/>
  <c r="U57" i="50"/>
  <c r="T57" i="50"/>
  <c r="AD56" i="50"/>
  <c r="AC56" i="50"/>
  <c r="AB56" i="50"/>
  <c r="AA56" i="50"/>
  <c r="Z56" i="50"/>
  <c r="Y56" i="50"/>
  <c r="X56" i="50"/>
  <c r="W56" i="50"/>
  <c r="V56" i="50"/>
  <c r="U56" i="50"/>
  <c r="T56" i="50"/>
  <c r="AD55" i="50"/>
  <c r="AC55" i="50"/>
  <c r="AB55" i="50"/>
  <c r="AA55" i="50"/>
  <c r="Z55" i="50"/>
  <c r="Y55" i="50"/>
  <c r="X55" i="50"/>
  <c r="W55" i="50"/>
  <c r="V55" i="50"/>
  <c r="U55" i="50"/>
  <c r="T55" i="50"/>
  <c r="AD54" i="50"/>
  <c r="AC54" i="50"/>
  <c r="AB54" i="50"/>
  <c r="AB13" i="50"/>
  <c r="X13" i="50"/>
  <c r="T13" i="50"/>
  <c r="AD12" i="50"/>
  <c r="AB12" i="50"/>
  <c r="Y12" i="50"/>
  <c r="V12" i="50"/>
  <c r="AC11" i="50"/>
  <c r="Z11" i="50"/>
  <c r="W11" i="50"/>
  <c r="T11" i="50"/>
  <c r="AD10" i="50"/>
  <c r="AB10" i="50"/>
  <c r="Z10" i="50"/>
  <c r="W10" i="50"/>
  <c r="AC9" i="50"/>
  <c r="Z9" i="50"/>
  <c r="W9" i="50"/>
  <c r="T9" i="50"/>
  <c r="AC8" i="50"/>
  <c r="AA8" i="50"/>
  <c r="Y8" i="50"/>
  <c r="V8" i="50"/>
  <c r="T8" i="50"/>
  <c r="AD7" i="50"/>
  <c r="AC7" i="50"/>
  <c r="Z7" i="50"/>
  <c r="X7" i="50"/>
  <c r="U7" i="50"/>
  <c r="AC6" i="50"/>
  <c r="Y6" i="50"/>
  <c r="X6" i="50"/>
  <c r="U6" i="50"/>
  <c r="AA54" i="50"/>
  <c r="Z54" i="50"/>
  <c r="Y54" i="50"/>
  <c r="X54" i="50"/>
  <c r="W54" i="50"/>
  <c r="V54" i="50"/>
  <c r="U54" i="50"/>
  <c r="T54" i="50"/>
  <c r="AD53" i="50"/>
  <c r="AC53" i="50"/>
  <c r="AB53" i="50"/>
  <c r="AA53" i="50"/>
  <c r="Z53" i="50"/>
  <c r="Y53" i="50"/>
  <c r="X53" i="50"/>
  <c r="W53" i="50"/>
  <c r="V53" i="50"/>
  <c r="U53" i="50"/>
  <c r="T53" i="50"/>
  <c r="AD52" i="50"/>
  <c r="AC52" i="50"/>
  <c r="AB52" i="50"/>
  <c r="AA52" i="50"/>
  <c r="Z52" i="50"/>
  <c r="Y52" i="50"/>
  <c r="X52" i="50"/>
  <c r="W52" i="50"/>
  <c r="V52" i="50"/>
  <c r="U52" i="50"/>
  <c r="T52" i="50"/>
  <c r="AD51" i="50"/>
  <c r="AC51" i="50"/>
  <c r="AB51" i="50"/>
  <c r="AA51" i="50"/>
  <c r="Z51" i="50"/>
  <c r="Y51" i="50"/>
  <c r="X51" i="50"/>
  <c r="W51" i="50"/>
  <c r="V51" i="50"/>
  <c r="U51" i="50"/>
  <c r="T51" i="50"/>
  <c r="AD50" i="50"/>
  <c r="AC50" i="50"/>
  <c r="AB50" i="50"/>
  <c r="AA50" i="50"/>
  <c r="Z50" i="50"/>
  <c r="Y50" i="50"/>
  <c r="X50" i="50"/>
  <c r="W50" i="50"/>
  <c r="V50" i="50"/>
  <c r="U50" i="50"/>
  <c r="T50" i="50"/>
  <c r="AD49" i="50"/>
  <c r="AC49" i="50"/>
  <c r="AB49" i="50"/>
  <c r="AA49" i="50"/>
  <c r="Z49" i="50"/>
  <c r="Y49" i="50"/>
  <c r="X49" i="50"/>
  <c r="W49" i="50"/>
  <c r="V49" i="50"/>
  <c r="U49" i="50"/>
  <c r="T49" i="50"/>
  <c r="AD48" i="50"/>
  <c r="AC48" i="50"/>
  <c r="AB48" i="50"/>
  <c r="AA48" i="50"/>
  <c r="Z48" i="50"/>
  <c r="Y48" i="50"/>
  <c r="X48" i="50"/>
  <c r="W48" i="50"/>
  <c r="V48" i="50"/>
  <c r="U48" i="50"/>
  <c r="T48" i="50"/>
  <c r="AD47" i="50"/>
  <c r="AC47" i="50"/>
  <c r="AB47" i="50"/>
  <c r="AA47" i="50"/>
  <c r="Z47" i="50"/>
  <c r="Y47" i="50"/>
  <c r="X47" i="50"/>
  <c r="W47" i="50"/>
  <c r="V47" i="50"/>
  <c r="U47" i="50"/>
  <c r="T47" i="50"/>
  <c r="AD46" i="50"/>
  <c r="AC46" i="50"/>
  <c r="AB46" i="50"/>
  <c r="AA46" i="50"/>
  <c r="Z46" i="50"/>
  <c r="Y46" i="50"/>
  <c r="X46" i="50"/>
  <c r="W46" i="50"/>
  <c r="V46" i="50"/>
  <c r="U46" i="50"/>
  <c r="T46" i="50"/>
  <c r="AD45" i="50"/>
  <c r="AC45" i="50"/>
  <c r="AB45" i="50"/>
  <c r="AA45" i="50"/>
  <c r="Z45" i="50"/>
  <c r="Y45" i="50"/>
  <c r="X45" i="50"/>
  <c r="W45" i="50"/>
  <c r="V45" i="50"/>
  <c r="U45" i="50"/>
  <c r="T45" i="50"/>
  <c r="AD44" i="50"/>
  <c r="AC44" i="50"/>
  <c r="AB44" i="50"/>
  <c r="AA44" i="50"/>
  <c r="Z44" i="50"/>
  <c r="Y44" i="50"/>
  <c r="X44" i="50"/>
  <c r="W44" i="50"/>
  <c r="V44" i="50"/>
  <c r="U44" i="50"/>
  <c r="T44" i="50"/>
  <c r="AD43" i="50"/>
  <c r="AC43" i="50"/>
  <c r="AB43" i="50"/>
  <c r="AA43" i="50"/>
  <c r="Z43" i="50"/>
  <c r="Y43" i="50"/>
  <c r="X43" i="50"/>
  <c r="W43" i="50"/>
  <c r="V43" i="50"/>
  <c r="U43" i="50"/>
  <c r="T43" i="50"/>
  <c r="AD42" i="50"/>
  <c r="AC42" i="50"/>
  <c r="AB42" i="50"/>
  <c r="AA42" i="50"/>
  <c r="Z42" i="50"/>
  <c r="Y42" i="50"/>
  <c r="X42" i="50"/>
  <c r="W42" i="50"/>
  <c r="V42" i="50"/>
  <c r="U42" i="50"/>
  <c r="T42" i="50"/>
  <c r="AD41" i="50"/>
  <c r="AC41" i="50"/>
  <c r="AB41" i="50"/>
  <c r="AA41" i="50"/>
  <c r="Z41" i="50"/>
  <c r="Y41" i="50"/>
  <c r="X41" i="50"/>
  <c r="W41" i="50"/>
  <c r="V41" i="50"/>
  <c r="U41" i="50"/>
  <c r="T41" i="50"/>
  <c r="AD40" i="50"/>
  <c r="AC40" i="50"/>
  <c r="AB40" i="50"/>
  <c r="AA40" i="50"/>
  <c r="Z40" i="50"/>
  <c r="Y40" i="50"/>
  <c r="X40" i="50"/>
  <c r="W40" i="50"/>
  <c r="V40" i="50"/>
  <c r="U40" i="50"/>
  <c r="T40" i="50"/>
  <c r="AD39" i="50"/>
  <c r="AC39" i="50"/>
  <c r="AB39" i="50"/>
  <c r="AA39" i="50"/>
  <c r="Z39" i="50"/>
  <c r="Y39" i="50"/>
  <c r="X39" i="50"/>
  <c r="W39" i="50"/>
  <c r="V39" i="50"/>
  <c r="U39" i="50"/>
  <c r="T39" i="50"/>
  <c r="AD38" i="50"/>
  <c r="AC38" i="50"/>
  <c r="AB38" i="50"/>
  <c r="AA38" i="50"/>
  <c r="Z38" i="50"/>
  <c r="Y38" i="50"/>
  <c r="X38" i="50"/>
  <c r="W38" i="50"/>
  <c r="V38" i="50"/>
  <c r="U38" i="50"/>
  <c r="T38" i="50"/>
  <c r="AD37" i="50"/>
  <c r="AC37" i="50"/>
  <c r="AB37" i="50"/>
  <c r="AA37" i="50"/>
  <c r="Z37" i="50"/>
  <c r="Y37" i="50"/>
  <c r="X37" i="50"/>
  <c r="W37" i="50"/>
  <c r="V37" i="50"/>
  <c r="U37" i="50"/>
  <c r="T37" i="50"/>
  <c r="AD36" i="50"/>
  <c r="AC36" i="50"/>
  <c r="AB36" i="50"/>
  <c r="AA36" i="50"/>
  <c r="Z36" i="50"/>
  <c r="Y36" i="50"/>
  <c r="X36" i="50"/>
  <c r="W36" i="50"/>
  <c r="V36" i="50"/>
  <c r="U36" i="50"/>
  <c r="T36" i="50"/>
  <c r="AD35" i="50"/>
  <c r="AC35" i="50"/>
  <c r="AB35" i="50"/>
  <c r="AA35" i="50"/>
  <c r="Z35" i="50"/>
  <c r="Y35" i="50"/>
  <c r="X35" i="50"/>
  <c r="W35" i="50"/>
  <c r="V35" i="50"/>
  <c r="U35" i="50"/>
  <c r="T35" i="50"/>
  <c r="AD34" i="50"/>
  <c r="AC34" i="50"/>
  <c r="AB34" i="50"/>
  <c r="AA34" i="50"/>
  <c r="Z34" i="50"/>
  <c r="Y34" i="50"/>
  <c r="X34" i="50"/>
  <c r="W34" i="50"/>
  <c r="V34" i="50"/>
  <c r="U34" i="50"/>
  <c r="T34" i="50"/>
  <c r="AD33" i="50"/>
  <c r="AC33" i="50"/>
  <c r="AB33" i="50"/>
  <c r="AA33" i="50"/>
  <c r="Z33" i="50"/>
  <c r="Y33" i="50"/>
  <c r="X33" i="50"/>
  <c r="W33" i="50"/>
  <c r="V33" i="50"/>
  <c r="U33" i="50"/>
  <c r="T33" i="50"/>
  <c r="AD32" i="50"/>
  <c r="AC32" i="50"/>
  <c r="AB32" i="50"/>
  <c r="AA32" i="50"/>
  <c r="Z32" i="50"/>
  <c r="Y32" i="50"/>
  <c r="X32" i="50"/>
  <c r="W32" i="50"/>
  <c r="V32" i="50"/>
  <c r="U32" i="50"/>
  <c r="T32" i="50"/>
  <c r="AB16" i="50"/>
  <c r="Z16" i="50"/>
  <c r="X16" i="50"/>
  <c r="V16" i="50"/>
  <c r="T16" i="50"/>
  <c r="AD15" i="50"/>
  <c r="AB15" i="50"/>
  <c r="Z15" i="50"/>
  <c r="X15" i="50"/>
  <c r="V15" i="50"/>
  <c r="U15" i="50"/>
  <c r="AD14" i="50"/>
  <c r="AB14" i="50"/>
  <c r="Z14" i="50"/>
  <c r="Y14" i="50"/>
  <c r="W14" i="50"/>
  <c r="U14" i="50"/>
  <c r="AD13" i="50"/>
  <c r="AA13" i="50"/>
  <c r="Y13" i="50"/>
  <c r="W13" i="50"/>
  <c r="U13" i="50"/>
  <c r="AC12" i="50"/>
  <c r="Z12" i="50"/>
  <c r="W12" i="50"/>
  <c r="U12" i="50"/>
  <c r="AD11" i="50"/>
  <c r="AA11" i="50"/>
  <c r="Y11" i="50"/>
  <c r="V11" i="50"/>
  <c r="U11" i="50"/>
  <c r="AA10" i="50"/>
  <c r="X10" i="50"/>
  <c r="U10" i="50"/>
  <c r="AB9" i="50"/>
  <c r="Y9" i="50"/>
  <c r="V9" i="50"/>
  <c r="AB8" i="50"/>
  <c r="X8" i="50"/>
  <c r="U8" i="50"/>
  <c r="AB7" i="50"/>
  <c r="Y7" i="50"/>
  <c r="V7" i="50"/>
  <c r="AB6" i="50"/>
  <c r="Z6" i="50"/>
  <c r="V6" i="50"/>
  <c r="AD31" i="50"/>
  <c r="AC31" i="50"/>
  <c r="AB31" i="50"/>
  <c r="AA31" i="50"/>
  <c r="Z31" i="50"/>
  <c r="Y31" i="50"/>
  <c r="X31" i="50"/>
  <c r="W31" i="50"/>
  <c r="V31" i="50"/>
  <c r="U31" i="50"/>
  <c r="T31" i="50"/>
  <c r="AD30" i="50"/>
  <c r="AC30" i="50"/>
  <c r="AB30" i="50"/>
  <c r="AA30" i="50"/>
  <c r="Z30" i="50"/>
  <c r="Y30" i="50"/>
  <c r="X30" i="50"/>
  <c r="W30" i="50"/>
  <c r="V30" i="50"/>
  <c r="U30" i="50"/>
  <c r="T30" i="50"/>
  <c r="AD29" i="50"/>
  <c r="AC29" i="50"/>
  <c r="AB29" i="50"/>
  <c r="AA29" i="50"/>
  <c r="Z29" i="50"/>
  <c r="Y29" i="50"/>
  <c r="X29" i="50"/>
  <c r="W29" i="50"/>
  <c r="V29" i="50"/>
  <c r="U29" i="50"/>
  <c r="T29" i="50"/>
  <c r="AD28" i="50"/>
  <c r="AC28" i="50"/>
  <c r="AB28" i="50"/>
  <c r="AA28" i="50"/>
  <c r="Z28" i="50"/>
  <c r="Y28" i="50"/>
  <c r="X28" i="50"/>
  <c r="W28" i="50"/>
  <c r="V28" i="50"/>
  <c r="U28" i="50"/>
  <c r="T28" i="50"/>
  <c r="AD27" i="50"/>
  <c r="AC27" i="50"/>
  <c r="AB27" i="50"/>
  <c r="AA27" i="50"/>
  <c r="Z27" i="50"/>
  <c r="Y27" i="50"/>
  <c r="X27" i="50"/>
  <c r="W27" i="50"/>
  <c r="V27" i="50"/>
  <c r="U27" i="50"/>
  <c r="T27" i="50"/>
  <c r="AD26" i="50"/>
  <c r="AC26" i="50"/>
  <c r="AB26" i="50"/>
  <c r="AA26" i="50"/>
  <c r="Z26" i="50"/>
  <c r="Y26" i="50"/>
  <c r="X26" i="50"/>
  <c r="W26" i="50"/>
  <c r="V26" i="50"/>
  <c r="U26" i="50"/>
  <c r="T26" i="50"/>
  <c r="AD25" i="50"/>
  <c r="AC25" i="50"/>
  <c r="AB25" i="50"/>
  <c r="AA25" i="50"/>
  <c r="Z25" i="50"/>
  <c r="Y25" i="50"/>
  <c r="X25" i="50"/>
  <c r="W25" i="50"/>
  <c r="V25" i="50"/>
  <c r="U25" i="50"/>
  <c r="T25" i="50"/>
  <c r="AD24" i="50"/>
  <c r="AC24" i="50"/>
  <c r="AB24" i="50"/>
  <c r="AA24" i="50"/>
  <c r="Z24" i="50"/>
  <c r="Y24" i="50"/>
  <c r="X24" i="50"/>
  <c r="W24" i="50"/>
  <c r="V24" i="50"/>
  <c r="U24" i="50"/>
  <c r="T24" i="50"/>
  <c r="AD23" i="50"/>
  <c r="AC23" i="50"/>
  <c r="AB23" i="50"/>
  <c r="AA23" i="50"/>
  <c r="Z23" i="50"/>
  <c r="Y23" i="50"/>
  <c r="X23" i="50"/>
  <c r="W23" i="50"/>
  <c r="V23" i="50"/>
  <c r="U23" i="50"/>
  <c r="T23" i="50"/>
  <c r="AD22" i="50"/>
  <c r="AC22" i="50"/>
  <c r="AB22" i="50"/>
  <c r="AA22" i="50"/>
  <c r="Z22" i="50"/>
  <c r="Y22" i="50"/>
  <c r="X22" i="50"/>
  <c r="W22" i="50"/>
  <c r="V22" i="50"/>
  <c r="U22" i="50"/>
  <c r="T22" i="50"/>
  <c r="AD21" i="50"/>
  <c r="AC21" i="50"/>
  <c r="AB21" i="50"/>
  <c r="AA21" i="50"/>
  <c r="Z21" i="50"/>
  <c r="Y21" i="50"/>
  <c r="X21" i="50"/>
  <c r="W21" i="50"/>
  <c r="V21" i="50"/>
  <c r="U21" i="50"/>
  <c r="T21" i="50"/>
  <c r="AD20" i="50"/>
  <c r="AC20" i="50"/>
  <c r="AB20" i="50"/>
  <c r="AA20" i="50"/>
  <c r="Z20" i="50"/>
  <c r="Y20" i="50"/>
  <c r="X20" i="50"/>
  <c r="W20" i="50"/>
  <c r="V20" i="50"/>
  <c r="U20" i="50"/>
  <c r="T20" i="50"/>
  <c r="AD19" i="50"/>
  <c r="AC19" i="50"/>
  <c r="AB19" i="50"/>
  <c r="AA19" i="50"/>
  <c r="Z19" i="50"/>
  <c r="Y19" i="50"/>
  <c r="X19" i="50"/>
  <c r="W19" i="50"/>
  <c r="V19" i="50"/>
  <c r="U19" i="50"/>
  <c r="T19" i="50"/>
  <c r="AD18" i="50"/>
  <c r="AC18" i="50"/>
  <c r="AB18" i="50"/>
  <c r="AA18" i="50"/>
  <c r="Z18" i="50"/>
  <c r="Y18" i="50"/>
  <c r="X18" i="50"/>
  <c r="W18" i="50"/>
  <c r="V18" i="50"/>
  <c r="U18" i="50"/>
  <c r="T18" i="50"/>
  <c r="AD17" i="50"/>
  <c r="AC17" i="50"/>
  <c r="AB17" i="50"/>
  <c r="AA17" i="50"/>
  <c r="Z17" i="50"/>
  <c r="Y17" i="50"/>
  <c r="X17" i="50"/>
  <c r="W17" i="50"/>
  <c r="V17" i="50"/>
  <c r="U17" i="50"/>
  <c r="T17" i="50"/>
  <c r="AD16" i="50"/>
  <c r="AC16" i="50"/>
  <c r="AA16" i="50"/>
  <c r="Y16" i="50"/>
  <c r="W16" i="50"/>
  <c r="U16" i="50"/>
  <c r="AC15" i="50"/>
  <c r="AA15" i="50"/>
  <c r="Y15" i="50"/>
  <c r="W15" i="50"/>
  <c r="T15" i="50"/>
  <c r="AC14" i="50"/>
  <c r="AA14" i="50"/>
  <c r="X14" i="50"/>
  <c r="V14" i="50"/>
  <c r="T14" i="50"/>
  <c r="AC13" i="50"/>
  <c r="Z13" i="50"/>
  <c r="V13" i="50"/>
  <c r="AA12" i="50"/>
  <c r="X12" i="50"/>
  <c r="T12" i="50"/>
  <c r="AB11" i="50"/>
  <c r="X11" i="50"/>
  <c r="AC10" i="50"/>
  <c r="Y10" i="50"/>
  <c r="V10" i="50"/>
  <c r="T10" i="50"/>
  <c r="AD9" i="50"/>
  <c r="AA9" i="50"/>
  <c r="X9" i="50"/>
  <c r="U9" i="50"/>
  <c r="AD8" i="50"/>
  <c r="Z8" i="50"/>
  <c r="W8" i="50"/>
  <c r="AA7" i="50"/>
  <c r="W7" i="50"/>
  <c r="T7" i="50"/>
  <c r="AD6" i="50"/>
  <c r="AA6" i="50"/>
  <c r="W6" i="50"/>
  <c r="T6" i="50"/>
  <c r="W85" i="50"/>
  <c r="AC84" i="50"/>
  <c r="AA84" i="50"/>
  <c r="AD40" i="47"/>
  <c r="V39" i="47"/>
  <c r="AC38" i="47"/>
  <c r="T38" i="47"/>
  <c r="AA36" i="47"/>
  <c r="AA35" i="47"/>
  <c r="AD33" i="47"/>
  <c r="T33" i="47"/>
  <c r="AD32" i="47"/>
  <c r="U32" i="47"/>
  <c r="V18" i="47"/>
  <c r="Z31" i="47"/>
  <c r="Y31" i="47"/>
  <c r="X31" i="47"/>
  <c r="W31" i="47"/>
  <c r="V31" i="47"/>
  <c r="U31" i="47"/>
  <c r="T31" i="47"/>
  <c r="AD30" i="47"/>
  <c r="AC30" i="47"/>
  <c r="AB30" i="47"/>
  <c r="AA30" i="47"/>
  <c r="Z30" i="47"/>
  <c r="Y30" i="47"/>
  <c r="X30" i="47"/>
  <c r="W30" i="47"/>
  <c r="V30" i="47"/>
  <c r="U30" i="47"/>
  <c r="T30" i="47"/>
  <c r="AD29" i="47"/>
  <c r="AC29" i="47"/>
  <c r="AB29" i="47"/>
  <c r="AA29" i="47"/>
  <c r="Z29" i="47"/>
  <c r="Y29" i="47"/>
  <c r="X29" i="47"/>
  <c r="W29" i="47"/>
  <c r="V29" i="47"/>
  <c r="U29" i="47"/>
  <c r="T29" i="47"/>
  <c r="AD28" i="47"/>
  <c r="AC28" i="47"/>
  <c r="AB28" i="47"/>
  <c r="AA28" i="47"/>
  <c r="Z28" i="47"/>
  <c r="Y28" i="47"/>
  <c r="X28" i="47"/>
  <c r="W28" i="47"/>
  <c r="V28" i="47"/>
  <c r="U28" i="47"/>
  <c r="T28" i="47"/>
  <c r="AD27" i="47"/>
  <c r="AC27" i="47"/>
  <c r="AB27" i="47"/>
  <c r="AA27" i="47"/>
  <c r="Z27" i="47"/>
  <c r="Y27" i="47"/>
  <c r="X27" i="47"/>
  <c r="W27" i="47"/>
  <c r="V27" i="47"/>
  <c r="U27" i="47"/>
  <c r="T27" i="47"/>
  <c r="AD26" i="47"/>
  <c r="AC26" i="47"/>
  <c r="AB26" i="47"/>
  <c r="AA26" i="47"/>
  <c r="Z26" i="47"/>
  <c r="Y26" i="47"/>
  <c r="X26" i="47"/>
  <c r="W26" i="47"/>
  <c r="V26" i="47"/>
  <c r="U26" i="47"/>
  <c r="T26" i="47"/>
  <c r="AD25" i="47"/>
  <c r="AC25" i="47"/>
  <c r="AB25" i="47"/>
  <c r="AA25" i="47"/>
  <c r="Z25" i="47"/>
  <c r="Y25" i="47"/>
  <c r="X25" i="47"/>
  <c r="W25" i="47"/>
  <c r="V25" i="47"/>
  <c r="U25" i="47"/>
  <c r="T25" i="47"/>
  <c r="AD24" i="47"/>
  <c r="AC24" i="47"/>
  <c r="AB24" i="47"/>
  <c r="AA24" i="47"/>
  <c r="Z24" i="47"/>
  <c r="Y24" i="47"/>
  <c r="X24" i="47"/>
  <c r="W24" i="47"/>
  <c r="V24" i="47"/>
  <c r="U24" i="47"/>
  <c r="T24" i="47"/>
  <c r="AD22" i="47"/>
  <c r="AC22" i="47"/>
  <c r="AB22" i="47"/>
  <c r="AA22" i="47"/>
  <c r="Z22" i="47"/>
  <c r="Y22" i="47"/>
  <c r="X22" i="47"/>
  <c r="W22" i="47"/>
  <c r="V22" i="47"/>
  <c r="U22" i="47"/>
  <c r="T22" i="47"/>
  <c r="AD21" i="47"/>
  <c r="AC21" i="47"/>
  <c r="AB21" i="47"/>
  <c r="AA21" i="47"/>
  <c r="Z21" i="47"/>
  <c r="Y21" i="47"/>
  <c r="X21" i="47"/>
  <c r="W21" i="47"/>
  <c r="V21" i="47"/>
  <c r="U21" i="47"/>
  <c r="T21" i="47"/>
  <c r="AD20" i="47"/>
  <c r="AC20" i="47"/>
  <c r="AB20" i="47"/>
  <c r="AA20" i="47"/>
  <c r="Z20" i="47"/>
  <c r="Y20" i="47"/>
  <c r="X20" i="47"/>
  <c r="W20" i="47"/>
  <c r="V20" i="47"/>
  <c r="U20" i="47"/>
  <c r="T20" i="47"/>
  <c r="AD19" i="47"/>
  <c r="AC19" i="47"/>
  <c r="AB19" i="47"/>
  <c r="AA19" i="47"/>
  <c r="Z19" i="47"/>
  <c r="Y19" i="47"/>
  <c r="X19" i="47"/>
  <c r="W19" i="47"/>
  <c r="V19" i="47"/>
  <c r="U19" i="47"/>
  <c r="T19" i="47"/>
  <c r="AD18" i="47"/>
  <c r="AC18" i="47"/>
  <c r="AB18" i="47"/>
  <c r="Z18" i="47"/>
  <c r="U18" i="47"/>
  <c r="W17" i="47"/>
  <c r="V17" i="47"/>
  <c r="U17" i="47"/>
  <c r="T17" i="47"/>
  <c r="AD16" i="47"/>
  <c r="AC16" i="47"/>
  <c r="AB16" i="47"/>
  <c r="AA16" i="47"/>
  <c r="Z16" i="47"/>
  <c r="Y16" i="47"/>
  <c r="X16" i="47"/>
  <c r="W16" i="47"/>
  <c r="V16" i="47"/>
  <c r="U16" i="47"/>
  <c r="T16" i="47"/>
  <c r="AD15" i="47"/>
  <c r="AC15" i="47"/>
  <c r="AB15" i="47"/>
  <c r="AA15" i="47"/>
  <c r="Z15" i="47"/>
  <c r="Y15" i="47"/>
  <c r="X15" i="47"/>
  <c r="W15" i="47"/>
  <c r="V15" i="47"/>
  <c r="U15" i="47"/>
  <c r="T15" i="47"/>
  <c r="AD14" i="47"/>
  <c r="AC14" i="47"/>
  <c r="AB14" i="47"/>
  <c r="AA14" i="47"/>
  <c r="Z14" i="47"/>
  <c r="Y14" i="47"/>
  <c r="X14" i="47"/>
  <c r="W14" i="47"/>
  <c r="V14" i="47"/>
  <c r="U14" i="47"/>
  <c r="T14" i="47"/>
  <c r="AD13" i="47"/>
  <c r="AC13" i="47"/>
  <c r="AB13" i="47"/>
  <c r="AA13" i="47"/>
  <c r="Z13" i="47"/>
  <c r="Y13" i="47"/>
  <c r="X13" i="47"/>
  <c r="W13" i="47"/>
  <c r="V13" i="47"/>
  <c r="U13" i="47"/>
  <c r="T13" i="47"/>
  <c r="AD12" i="47"/>
  <c r="AC12" i="47"/>
  <c r="AB12" i="47"/>
  <c r="AA12" i="47"/>
  <c r="Z12" i="47"/>
  <c r="Y12" i="47"/>
  <c r="X12" i="47"/>
  <c r="W12" i="47"/>
  <c r="V12" i="47"/>
  <c r="U12" i="47"/>
  <c r="T12" i="47"/>
  <c r="AD11" i="47"/>
  <c r="AC11" i="47"/>
  <c r="AB11" i="47"/>
  <c r="AA11" i="47"/>
  <c r="Z11" i="47"/>
  <c r="Y11" i="47"/>
  <c r="X11" i="47"/>
  <c r="W11" i="47"/>
  <c r="V11" i="47"/>
  <c r="U11" i="47"/>
  <c r="T11" i="47"/>
  <c r="AD10" i="47"/>
  <c r="AC10" i="47"/>
  <c r="AB10" i="47"/>
  <c r="AA10" i="47"/>
  <c r="Z10" i="47"/>
  <c r="Y10" i="47"/>
  <c r="X10" i="47"/>
  <c r="W10" i="47"/>
  <c r="V10" i="47"/>
  <c r="U10" i="47"/>
  <c r="T10" i="47"/>
  <c r="AD9" i="47"/>
  <c r="AC9" i="47"/>
  <c r="AB9" i="47"/>
  <c r="AA9" i="47"/>
  <c r="Z9" i="47"/>
  <c r="Y9" i="47"/>
  <c r="X9" i="47"/>
  <c r="W9" i="47"/>
  <c r="V9" i="47"/>
  <c r="U9" i="47"/>
  <c r="T9" i="47"/>
  <c r="AD8" i="47"/>
  <c r="AC8" i="47"/>
  <c r="AB8" i="47"/>
  <c r="AA8" i="47"/>
  <c r="Z8" i="47"/>
  <c r="Y8" i="47"/>
  <c r="X8" i="47"/>
  <c r="W8" i="47"/>
  <c r="V8" i="47"/>
  <c r="U8" i="47"/>
  <c r="T8" i="47"/>
  <c r="AD7" i="47"/>
  <c r="AC7" i="47"/>
  <c r="AB7" i="47"/>
  <c r="AA7" i="47"/>
  <c r="Z7" i="47"/>
  <c r="Y7" i="47"/>
  <c r="X7" i="47"/>
  <c r="W7" i="47"/>
  <c r="V7" i="47"/>
  <c r="U7" i="47"/>
  <c r="T7" i="47"/>
  <c r="AD6" i="47"/>
  <c r="AC6" i="47"/>
  <c r="AB6" i="47"/>
  <c r="AA6" i="47"/>
  <c r="Z6" i="47"/>
  <c r="Y6" i="47"/>
  <c r="X6" i="47"/>
  <c r="W6" i="47"/>
  <c r="V6" i="47"/>
  <c r="U6" i="47"/>
  <c r="T6" i="47"/>
  <c r="Z40" i="47"/>
  <c r="Y39" i="47"/>
  <c r="AA38" i="47"/>
  <c r="Y37" i="47"/>
  <c r="AB36" i="47"/>
  <c r="U36" i="47"/>
  <c r="AB32" i="47"/>
  <c r="AC39" i="47"/>
  <c r="AD38" i="47"/>
  <c r="X38" i="47"/>
  <c r="AB37" i="47"/>
  <c r="Y35" i="47"/>
  <c r="X34" i="47"/>
  <c r="V32" i="47"/>
  <c r="AA18" i="47"/>
  <c r="AB40" i="47"/>
  <c r="Y38" i="47"/>
  <c r="AA37" i="47"/>
  <c r="V37" i="47"/>
  <c r="AC36" i="47"/>
  <c r="X35" i="47"/>
  <c r="AD34" i="47"/>
  <c r="AC33" i="47"/>
  <c r="W33" i="47"/>
  <c r="X39" i="47"/>
  <c r="V38" i="47"/>
  <c r="Z37" i="47"/>
  <c r="AD36" i="47"/>
  <c r="X36" i="47"/>
  <c r="W34" i="47"/>
  <c r="T34" i="47"/>
  <c r="AB33" i="47"/>
  <c r="X33" i="47"/>
  <c r="AA32" i="47"/>
  <c r="W32" i="47"/>
  <c r="AD31" i="47"/>
  <c r="W18" i="47"/>
  <c r="AC40" i="47"/>
  <c r="U40" i="47"/>
  <c r="AB39" i="47"/>
  <c r="Z38" i="47"/>
  <c r="U37" i="47"/>
  <c r="Y36" i="47"/>
  <c r="V33" i="47"/>
  <c r="T18" i="47"/>
  <c r="AA40" i="47"/>
  <c r="X40" i="47"/>
  <c r="W40" i="47"/>
  <c r="T40" i="47"/>
  <c r="AD39" i="47"/>
  <c r="Z39" i="47"/>
  <c r="W39" i="47"/>
  <c r="AC37" i="47"/>
  <c r="W37" i="47"/>
  <c r="V36" i="47"/>
  <c r="Z35" i="47"/>
  <c r="V35" i="47"/>
  <c r="AA34" i="47"/>
  <c r="U34" i="47"/>
  <c r="Y33" i="47"/>
  <c r="Y32" i="47"/>
  <c r="X18" i="47"/>
  <c r="V40" i="47"/>
  <c r="AD37" i="47"/>
  <c r="T37" i="47"/>
  <c r="W36" i="47"/>
  <c r="T36" i="47"/>
  <c r="AC35" i="47"/>
  <c r="U35" i="47"/>
  <c r="AC34" i="47"/>
  <c r="Z33" i="47"/>
  <c r="U33" i="47"/>
  <c r="Y40" i="47"/>
  <c r="AA39" i="47"/>
  <c r="U39" i="47"/>
  <c r="AB38" i="47"/>
  <c r="W38" i="47"/>
  <c r="X37" i="47"/>
  <c r="AD35" i="47"/>
  <c r="W35" i="47"/>
  <c r="AB34" i="47"/>
  <c r="V34" i="47"/>
  <c r="AA33" i="47"/>
  <c r="Z32" i="47"/>
  <c r="T32" i="47"/>
  <c r="AB31" i="47"/>
  <c r="T39" i="47"/>
  <c r="U38" i="47"/>
  <c r="Z36" i="47"/>
  <c r="T35" i="47"/>
  <c r="Y34" i="47"/>
  <c r="AC32" i="47"/>
  <c r="AC31" i="47"/>
  <c r="Y18" i="47"/>
  <c r="AB35" i="47"/>
  <c r="X32" i="47"/>
  <c r="AA31" i="47"/>
  <c r="Z34" i="47"/>
  <c r="H22" i="45"/>
  <c r="J22" i="45" s="1"/>
  <c r="H20" i="45"/>
  <c r="J20" i="45" s="1"/>
  <c r="H19" i="45"/>
  <c r="J19" i="45" s="1"/>
  <c r="H17" i="45"/>
  <c r="J17" i="45" s="1"/>
  <c r="T4" i="42"/>
  <c r="AE64" i="47" l="1"/>
  <c r="AE69" i="47"/>
  <c r="AE72" i="47"/>
  <c r="AE71" i="47"/>
  <c r="AE53" i="47"/>
  <c r="AE47" i="47"/>
  <c r="AE56" i="47"/>
  <c r="AE55" i="47"/>
  <c r="AE57" i="47"/>
  <c r="AE50" i="47"/>
  <c r="AE49" i="47"/>
  <c r="AE80" i="47"/>
  <c r="AE81" i="47"/>
  <c r="AE78" i="47"/>
  <c r="AE84" i="47"/>
  <c r="AE82" i="47"/>
  <c r="AE79" i="47"/>
  <c r="AE83" i="47"/>
  <c r="AE46" i="47"/>
  <c r="AE54" i="47"/>
  <c r="AE68" i="47"/>
  <c r="AE65" i="47"/>
  <c r="AE48" i="47"/>
  <c r="AE45" i="47"/>
  <c r="AE51" i="47"/>
  <c r="AE67" i="47"/>
  <c r="AE75" i="47"/>
  <c r="AE58" i="47"/>
  <c r="AE76" i="47"/>
  <c r="AE74" i="47"/>
  <c r="AE27" i="47"/>
  <c r="AE73" i="47"/>
  <c r="AE77" i="47"/>
  <c r="AE85" i="47"/>
  <c r="AE52" i="47"/>
  <c r="AE83" i="50"/>
  <c r="AE79" i="50"/>
  <c r="AE85" i="50"/>
  <c r="AE80" i="50"/>
  <c r="T100" i="47"/>
  <c r="AC100" i="47"/>
  <c r="Y100" i="47"/>
  <c r="Z100" i="47"/>
  <c r="AE42" i="47"/>
  <c r="AE89" i="47"/>
  <c r="AE93" i="47"/>
  <c r="AE91" i="47"/>
  <c r="AE44" i="47"/>
  <c r="AE59" i="47"/>
  <c r="AE62" i="47"/>
  <c r="AE96" i="47"/>
  <c r="AE90" i="47"/>
  <c r="AE61" i="47"/>
  <c r="AE88" i="47"/>
  <c r="AE41" i="47"/>
  <c r="AE60" i="47"/>
  <c r="AE63" i="47"/>
  <c r="AE92" i="47"/>
  <c r="AE95" i="47"/>
  <c r="AE94" i="47"/>
  <c r="AE86" i="47"/>
  <c r="AE87" i="47"/>
  <c r="AE43" i="47"/>
  <c r="AB100" i="47"/>
  <c r="V100" i="47"/>
  <c r="T101" i="47"/>
  <c r="W102" i="47"/>
  <c r="AC102" i="47"/>
  <c r="X101" i="47"/>
  <c r="Y101" i="47"/>
  <c r="W103" i="47"/>
  <c r="AA103" i="47"/>
  <c r="T103" i="47"/>
  <c r="X100" i="47"/>
  <c r="AD100" i="47"/>
  <c r="AB101" i="47"/>
  <c r="X102" i="47"/>
  <c r="AB102" i="47"/>
  <c r="U101" i="47"/>
  <c r="V101" i="47"/>
  <c r="V103" i="47"/>
  <c r="Y103" i="47"/>
  <c r="AC103" i="47"/>
  <c r="U102" i="47"/>
  <c r="W100" i="47"/>
  <c r="AD101" i="47"/>
  <c r="Z102" i="47"/>
  <c r="T102" i="47"/>
  <c r="AA101" i="47"/>
  <c r="Z101" i="47"/>
  <c r="X103" i="47"/>
  <c r="AB103" i="47"/>
  <c r="AA100" i="47"/>
  <c r="U100" i="47"/>
  <c r="AC101" i="47"/>
  <c r="Y102" i="47"/>
  <c r="AA102" i="47"/>
  <c r="W101" i="47"/>
  <c r="AD102" i="47"/>
  <c r="U103" i="47"/>
  <c r="Z103" i="47"/>
  <c r="AD103" i="47"/>
  <c r="V102" i="47"/>
  <c r="AE97" i="47"/>
  <c r="AE82" i="50"/>
  <c r="AE28" i="50"/>
  <c r="AE24" i="50"/>
  <c r="AE22" i="50"/>
  <c r="AE20" i="50"/>
  <c r="AE16" i="50"/>
  <c r="AE8" i="50"/>
  <c r="AE7" i="50"/>
  <c r="AC93" i="50"/>
  <c r="AC94" i="50"/>
  <c r="AC95" i="50"/>
  <c r="AC96" i="50"/>
  <c r="Y93" i="50"/>
  <c r="Y94" i="50"/>
  <c r="Y95" i="50"/>
  <c r="Y96" i="50"/>
  <c r="X93" i="50"/>
  <c r="X94" i="50"/>
  <c r="X95" i="50"/>
  <c r="X96" i="50"/>
  <c r="U93" i="50"/>
  <c r="U94" i="50"/>
  <c r="U95" i="50"/>
  <c r="U96" i="50"/>
  <c r="AB93" i="50"/>
  <c r="AB94" i="50"/>
  <c r="AB95" i="50"/>
  <c r="AB96" i="50"/>
  <c r="Z93" i="50"/>
  <c r="Z94" i="50"/>
  <c r="Z95" i="50"/>
  <c r="Z96" i="50"/>
  <c r="V93" i="50"/>
  <c r="V94" i="50"/>
  <c r="V95" i="50"/>
  <c r="V96" i="50"/>
  <c r="AD93" i="50"/>
  <c r="AD94" i="50"/>
  <c r="AD95" i="50"/>
  <c r="AD96" i="50"/>
  <c r="AA93" i="50"/>
  <c r="AA94" i="50"/>
  <c r="AA95" i="50"/>
  <c r="AA96" i="50"/>
  <c r="AE6" i="50"/>
  <c r="W93" i="50"/>
  <c r="W94" i="50"/>
  <c r="W95" i="50"/>
  <c r="W96" i="50"/>
  <c r="T93" i="50"/>
  <c r="T94" i="50"/>
  <c r="T95" i="50"/>
  <c r="T96" i="50"/>
  <c r="AE89" i="50"/>
  <c r="AE88" i="50"/>
  <c r="AE87" i="50"/>
  <c r="AE84" i="50"/>
  <c r="AE76" i="50"/>
  <c r="AE75" i="50"/>
  <c r="AE73" i="50"/>
  <c r="AE72" i="50"/>
  <c r="AE71" i="50"/>
  <c r="AE29" i="50"/>
  <c r="AE27" i="50"/>
  <c r="AE26" i="50"/>
  <c r="AE70" i="50"/>
  <c r="AE69" i="50"/>
  <c r="AE68" i="50"/>
  <c r="AE67" i="50"/>
  <c r="AE66" i="50"/>
  <c r="AE65" i="50"/>
  <c r="AE64" i="50"/>
  <c r="AE63" i="50"/>
  <c r="AE62" i="50"/>
  <c r="AE61" i="50"/>
  <c r="AE60" i="50"/>
  <c r="AE59" i="50"/>
  <c r="AE58" i="50"/>
  <c r="AE57" i="50"/>
  <c r="AE56" i="50"/>
  <c r="AE55" i="50"/>
  <c r="AE11" i="50"/>
  <c r="AE10" i="50"/>
  <c r="AE9" i="50"/>
  <c r="AE37" i="50"/>
  <c r="AE36" i="50"/>
  <c r="AE35" i="50"/>
  <c r="AE33" i="50"/>
  <c r="AE32" i="50"/>
  <c r="AE14" i="50"/>
  <c r="AE30" i="50"/>
  <c r="AE23" i="50"/>
  <c r="AE17" i="50"/>
  <c r="AE77" i="50"/>
  <c r="AE54" i="50"/>
  <c r="AE53" i="50"/>
  <c r="AE52" i="50"/>
  <c r="AE51" i="50"/>
  <c r="AE50" i="50"/>
  <c r="AE49" i="50"/>
  <c r="AE48" i="50"/>
  <c r="AE47" i="50"/>
  <c r="AE46" i="50"/>
  <c r="AE45" i="50"/>
  <c r="AE44" i="50"/>
  <c r="AE43" i="50"/>
  <c r="AE42" i="50"/>
  <c r="AE41" i="50"/>
  <c r="AE40" i="50"/>
  <c r="AE39" i="50"/>
  <c r="AE38" i="50"/>
  <c r="AE34" i="50"/>
  <c r="AE13" i="50"/>
  <c r="AE12" i="50"/>
  <c r="AE31" i="50"/>
  <c r="AE21" i="50"/>
  <c r="AE18" i="50"/>
  <c r="AE15" i="50"/>
  <c r="AE86" i="50"/>
  <c r="AE25" i="50"/>
  <c r="AE19" i="50"/>
  <c r="AE6" i="47"/>
  <c r="AE7" i="47"/>
  <c r="AE33" i="47"/>
  <c r="AE34" i="47"/>
  <c r="AE32" i="47"/>
  <c r="AE18" i="47"/>
  <c r="AE40" i="47"/>
  <c r="AE39" i="47"/>
  <c r="AE37" i="47"/>
  <c r="AE36" i="47"/>
  <c r="AE38" i="47"/>
  <c r="AE35" i="47"/>
  <c r="AE29" i="47"/>
  <c r="AE25" i="47"/>
  <c r="AE24" i="47"/>
  <c r="AE22" i="47"/>
  <c r="AE21" i="47"/>
  <c r="AE14" i="47"/>
  <c r="AE15" i="47"/>
  <c r="AE19" i="47"/>
  <c r="AE13" i="47"/>
  <c r="AE12" i="47"/>
  <c r="AE8" i="47"/>
  <c r="AE11" i="47"/>
  <c r="AE16" i="47"/>
  <c r="AE10" i="47"/>
  <c r="AE9" i="47"/>
  <c r="AE31" i="47"/>
  <c r="AE30" i="47"/>
  <c r="AE28" i="47"/>
  <c r="AE26" i="47"/>
  <c r="AE20" i="47"/>
  <c r="AE17" i="47"/>
  <c r="K230" i="42"/>
  <c r="S236" i="42"/>
  <c r="AK292" i="42"/>
  <c r="AJ292" i="42"/>
  <c r="AI292" i="42"/>
  <c r="AH292" i="42"/>
  <c r="AG292" i="42"/>
  <c r="AE292" i="42"/>
  <c r="AC292" i="42"/>
  <c r="AA292" i="42"/>
  <c r="S292" i="42"/>
  <c r="R292" i="42"/>
  <c r="Q292" i="42"/>
  <c r="P292" i="42"/>
  <c r="O292" i="42"/>
  <c r="N292" i="42"/>
  <c r="M292" i="42"/>
  <c r="L292" i="42"/>
  <c r="K292" i="42"/>
  <c r="I292" i="42"/>
  <c r="H292" i="42"/>
  <c r="G292" i="42"/>
  <c r="AK291" i="42"/>
  <c r="AJ291" i="42"/>
  <c r="AI291" i="42"/>
  <c r="AH291" i="42"/>
  <c r="AG291" i="42"/>
  <c r="AE291" i="42"/>
  <c r="AC291" i="42"/>
  <c r="AA291" i="42"/>
  <c r="S291" i="42"/>
  <c r="R291" i="42"/>
  <c r="Q291" i="42"/>
  <c r="P291" i="42"/>
  <c r="O291" i="42"/>
  <c r="N291" i="42"/>
  <c r="M291" i="42"/>
  <c r="L291" i="42"/>
  <c r="K291" i="42"/>
  <c r="I291" i="42"/>
  <c r="H291" i="42"/>
  <c r="G291" i="42"/>
  <c r="AK290" i="42"/>
  <c r="AJ290" i="42"/>
  <c r="AI290" i="42"/>
  <c r="AH290" i="42"/>
  <c r="AG290" i="42"/>
  <c r="AE290" i="42"/>
  <c r="AC290" i="42"/>
  <c r="AA290" i="42"/>
  <c r="S290" i="42"/>
  <c r="R290" i="42"/>
  <c r="Q290" i="42"/>
  <c r="P290" i="42"/>
  <c r="O290" i="42"/>
  <c r="N290" i="42"/>
  <c r="M290" i="42"/>
  <c r="L290" i="42"/>
  <c r="K290" i="42"/>
  <c r="I290" i="42"/>
  <c r="H290" i="42"/>
  <c r="G290" i="42"/>
  <c r="AK289" i="42"/>
  <c r="AJ289" i="42"/>
  <c r="AI289" i="42"/>
  <c r="AH289" i="42"/>
  <c r="AG289" i="42"/>
  <c r="AF289" i="42"/>
  <c r="AE289" i="42"/>
  <c r="AD289" i="42"/>
  <c r="AC289" i="42"/>
  <c r="AB289" i="42"/>
  <c r="AA289" i="42"/>
  <c r="S289" i="42"/>
  <c r="R289" i="42"/>
  <c r="Q289" i="42"/>
  <c r="P289" i="42"/>
  <c r="O289" i="42"/>
  <c r="N289" i="42"/>
  <c r="M289" i="42"/>
  <c r="L289" i="42"/>
  <c r="K289" i="42"/>
  <c r="I289" i="42"/>
  <c r="H289" i="42"/>
  <c r="G289" i="42"/>
  <c r="AK288" i="42"/>
  <c r="AJ288" i="42"/>
  <c r="AI288" i="42"/>
  <c r="AH288" i="42"/>
  <c r="AG288" i="42"/>
  <c r="AE288" i="42"/>
  <c r="AC288" i="42"/>
  <c r="AA288" i="42"/>
  <c r="S288" i="42"/>
  <c r="R288" i="42"/>
  <c r="Q288" i="42"/>
  <c r="P288" i="42"/>
  <c r="O288" i="42"/>
  <c r="N288" i="42"/>
  <c r="M288" i="42"/>
  <c r="L288" i="42"/>
  <c r="K288" i="42"/>
  <c r="I288" i="42"/>
  <c r="H288" i="42"/>
  <c r="G288" i="42"/>
  <c r="AK287" i="42"/>
  <c r="AJ287" i="42"/>
  <c r="AI287" i="42"/>
  <c r="AH287" i="42"/>
  <c r="AG287" i="42"/>
  <c r="AE287" i="42"/>
  <c r="AC287" i="42"/>
  <c r="AA287" i="42"/>
  <c r="S287" i="42"/>
  <c r="R287" i="42"/>
  <c r="Q287" i="42"/>
  <c r="P287" i="42"/>
  <c r="O287" i="42"/>
  <c r="N287" i="42"/>
  <c r="M287" i="42"/>
  <c r="L287" i="42"/>
  <c r="K287" i="42"/>
  <c r="I287" i="42"/>
  <c r="H287" i="42"/>
  <c r="G287" i="42"/>
  <c r="AK286" i="42"/>
  <c r="AJ286" i="42"/>
  <c r="AI286" i="42"/>
  <c r="AH286" i="42"/>
  <c r="AG286" i="42"/>
  <c r="AE286" i="42"/>
  <c r="AC286" i="42"/>
  <c r="AA286" i="42"/>
  <c r="S286" i="42"/>
  <c r="R286" i="42"/>
  <c r="Q286" i="42"/>
  <c r="P286" i="42"/>
  <c r="O286" i="42"/>
  <c r="N286" i="42"/>
  <c r="M286" i="42"/>
  <c r="L286" i="42"/>
  <c r="K286" i="42"/>
  <c r="I286" i="42"/>
  <c r="H286" i="42"/>
  <c r="G286" i="42"/>
  <c r="AK285" i="42"/>
  <c r="AJ285" i="42"/>
  <c r="AI285" i="42"/>
  <c r="AH285" i="42"/>
  <c r="AG285" i="42"/>
  <c r="AF285" i="42"/>
  <c r="AE285" i="42"/>
  <c r="AD285" i="42"/>
  <c r="AC285" i="42"/>
  <c r="AB285" i="42"/>
  <c r="AA285" i="42"/>
  <c r="S285" i="42"/>
  <c r="R285" i="42"/>
  <c r="Q285" i="42"/>
  <c r="P285" i="42"/>
  <c r="O285" i="42"/>
  <c r="N285" i="42"/>
  <c r="M285" i="42"/>
  <c r="L285" i="42"/>
  <c r="K285" i="42"/>
  <c r="I285" i="42"/>
  <c r="H285" i="42"/>
  <c r="G285" i="42"/>
  <c r="AK284" i="42"/>
  <c r="AJ284" i="42"/>
  <c r="AI284" i="42"/>
  <c r="AH284" i="42"/>
  <c r="AG284" i="42"/>
  <c r="AE284" i="42"/>
  <c r="AC284" i="42"/>
  <c r="AA284" i="42"/>
  <c r="S284" i="42"/>
  <c r="R284" i="42"/>
  <c r="Q284" i="42"/>
  <c r="P284" i="42"/>
  <c r="O284" i="42"/>
  <c r="N284" i="42"/>
  <c r="M284" i="42"/>
  <c r="L284" i="42"/>
  <c r="K284" i="42"/>
  <c r="I284" i="42"/>
  <c r="H284" i="42"/>
  <c r="G284" i="42"/>
  <c r="AK283" i="42"/>
  <c r="AJ283" i="42"/>
  <c r="AI283" i="42"/>
  <c r="AH283" i="42"/>
  <c r="AG283" i="42"/>
  <c r="AE283" i="42"/>
  <c r="AC283" i="42"/>
  <c r="AA283" i="42"/>
  <c r="S283" i="42"/>
  <c r="R283" i="42"/>
  <c r="Q283" i="42"/>
  <c r="P283" i="42"/>
  <c r="O283" i="42"/>
  <c r="N283" i="42"/>
  <c r="M283" i="42"/>
  <c r="L283" i="42"/>
  <c r="K283" i="42"/>
  <c r="I283" i="42"/>
  <c r="H283" i="42"/>
  <c r="G283" i="42"/>
  <c r="AK282" i="42"/>
  <c r="AJ282" i="42"/>
  <c r="AI282" i="42"/>
  <c r="AH282" i="42"/>
  <c r="AG282" i="42"/>
  <c r="AE282" i="42"/>
  <c r="AC282" i="42"/>
  <c r="AA282" i="42"/>
  <c r="S282" i="42"/>
  <c r="R282" i="42"/>
  <c r="Q282" i="42"/>
  <c r="P282" i="42"/>
  <c r="O282" i="42"/>
  <c r="N282" i="42"/>
  <c r="M282" i="42"/>
  <c r="L282" i="42"/>
  <c r="K282" i="42"/>
  <c r="I282" i="42"/>
  <c r="H282" i="42"/>
  <c r="G282" i="42"/>
  <c r="AK281" i="42"/>
  <c r="AJ281" i="42"/>
  <c r="AI281" i="42"/>
  <c r="AH281" i="42"/>
  <c r="AG281" i="42"/>
  <c r="AF281" i="42"/>
  <c r="AE281" i="42"/>
  <c r="AD281" i="42"/>
  <c r="AC281" i="42"/>
  <c r="AB281" i="42"/>
  <c r="AA281" i="42"/>
  <c r="S281" i="42"/>
  <c r="R281" i="42"/>
  <c r="Q281" i="42"/>
  <c r="P281" i="42"/>
  <c r="O281" i="42"/>
  <c r="N281" i="42"/>
  <c r="M281" i="42"/>
  <c r="L281" i="42"/>
  <c r="K281" i="42"/>
  <c r="I281" i="42"/>
  <c r="H281" i="42"/>
  <c r="G281" i="42"/>
  <c r="S278" i="42"/>
  <c r="R278" i="42"/>
  <c r="Q278" i="42"/>
  <c r="P278" i="42"/>
  <c r="O278" i="42"/>
  <c r="N278" i="42"/>
  <c r="M278" i="42"/>
  <c r="L278" i="42"/>
  <c r="K278" i="42"/>
  <c r="AK277" i="42"/>
  <c r="AJ277" i="42"/>
  <c r="AI277" i="42"/>
  <c r="AH277" i="42"/>
  <c r="AG277" i="42"/>
  <c r="AF277" i="42"/>
  <c r="AE277" i="42"/>
  <c r="AD277" i="42"/>
  <c r="AC277" i="42"/>
  <c r="AB277" i="42"/>
  <c r="AA277" i="42"/>
  <c r="S277" i="42"/>
  <c r="R277" i="42"/>
  <c r="Q277" i="42"/>
  <c r="P277" i="42"/>
  <c r="O277" i="42"/>
  <c r="N277" i="42"/>
  <c r="M277" i="42"/>
  <c r="L277" i="42"/>
  <c r="K277" i="42"/>
  <c r="H277" i="42"/>
  <c r="G277" i="42"/>
  <c r="AK276" i="42"/>
  <c r="AJ276" i="42"/>
  <c r="AI276" i="42"/>
  <c r="AH276" i="42"/>
  <c r="AG276" i="42"/>
  <c r="AF276" i="42"/>
  <c r="AE276" i="42"/>
  <c r="AD276" i="42"/>
  <c r="AC276" i="42"/>
  <c r="AB276" i="42"/>
  <c r="AA276" i="42"/>
  <c r="S276" i="42"/>
  <c r="R276" i="42"/>
  <c r="Q276" i="42"/>
  <c r="P276" i="42"/>
  <c r="O276" i="42"/>
  <c r="N276" i="42"/>
  <c r="M276" i="42"/>
  <c r="L276" i="42"/>
  <c r="K276" i="42"/>
  <c r="H276" i="42"/>
  <c r="G276" i="42"/>
  <c r="AK275" i="42"/>
  <c r="AJ275" i="42"/>
  <c r="AI275" i="42"/>
  <c r="AH275" i="42"/>
  <c r="AG275" i="42"/>
  <c r="AF275" i="42"/>
  <c r="AE275" i="42"/>
  <c r="AD275" i="42"/>
  <c r="AC275" i="42"/>
  <c r="AB275" i="42"/>
  <c r="AA275" i="42"/>
  <c r="S275" i="42"/>
  <c r="R275" i="42"/>
  <c r="Q275" i="42"/>
  <c r="P275" i="42"/>
  <c r="O275" i="42"/>
  <c r="N275" i="42"/>
  <c r="M275" i="42"/>
  <c r="L275" i="42"/>
  <c r="K275" i="42"/>
  <c r="H275" i="42"/>
  <c r="G275" i="42"/>
  <c r="AK274" i="42"/>
  <c r="AJ274" i="42"/>
  <c r="AI274" i="42"/>
  <c r="AH274" i="42"/>
  <c r="AG274" i="42"/>
  <c r="AF274" i="42"/>
  <c r="AE274" i="42"/>
  <c r="AD274" i="42"/>
  <c r="AC274" i="42"/>
  <c r="AB274" i="42"/>
  <c r="AA274" i="42"/>
  <c r="S274" i="42"/>
  <c r="R274" i="42"/>
  <c r="Q274" i="42"/>
  <c r="P274" i="42"/>
  <c r="O274" i="42"/>
  <c r="N274" i="42"/>
  <c r="M274" i="42"/>
  <c r="L274" i="42"/>
  <c r="K274" i="42"/>
  <c r="H274" i="42"/>
  <c r="G274" i="42"/>
  <c r="AK272" i="42"/>
  <c r="AJ272" i="42"/>
  <c r="AI272" i="42"/>
  <c r="AH272" i="42"/>
  <c r="AG272" i="42"/>
  <c r="AF272" i="42"/>
  <c r="AE272" i="42"/>
  <c r="AD272" i="42"/>
  <c r="AC272" i="42"/>
  <c r="AB272" i="42"/>
  <c r="AA272" i="42"/>
  <c r="S272" i="42"/>
  <c r="R272" i="42"/>
  <c r="Q272" i="42"/>
  <c r="P272" i="42"/>
  <c r="O272" i="42"/>
  <c r="N272" i="42"/>
  <c r="M272" i="42"/>
  <c r="L272" i="42"/>
  <c r="K272" i="42"/>
  <c r="I272" i="42"/>
  <c r="H272" i="42"/>
  <c r="G272" i="42"/>
  <c r="AK271" i="42"/>
  <c r="AJ271" i="42"/>
  <c r="AI271" i="42"/>
  <c r="AH271" i="42"/>
  <c r="AG271" i="42"/>
  <c r="AF271" i="42"/>
  <c r="AE271" i="42"/>
  <c r="AD271" i="42"/>
  <c r="AC271" i="42"/>
  <c r="AB271" i="42"/>
  <c r="AA271" i="42"/>
  <c r="S271" i="42"/>
  <c r="R271" i="42"/>
  <c r="Q271" i="42"/>
  <c r="P271" i="42"/>
  <c r="O271" i="42"/>
  <c r="N271" i="42"/>
  <c r="M271" i="42"/>
  <c r="L271" i="42"/>
  <c r="K271" i="42"/>
  <c r="I271" i="42"/>
  <c r="H271" i="42"/>
  <c r="G271" i="42"/>
  <c r="AK270" i="42"/>
  <c r="AJ270" i="42"/>
  <c r="AI270" i="42"/>
  <c r="AH270" i="42"/>
  <c r="AG270" i="42"/>
  <c r="AF270" i="42"/>
  <c r="AE270" i="42"/>
  <c r="AD270" i="42"/>
  <c r="AC270" i="42"/>
  <c r="AB270" i="42"/>
  <c r="AA270" i="42"/>
  <c r="S270" i="42"/>
  <c r="R270" i="42"/>
  <c r="Q270" i="42"/>
  <c r="P270" i="42"/>
  <c r="O270" i="42"/>
  <c r="N270" i="42"/>
  <c r="M270" i="42"/>
  <c r="L270" i="42"/>
  <c r="K270" i="42"/>
  <c r="I270" i="42"/>
  <c r="H270" i="42"/>
  <c r="G270" i="42"/>
  <c r="AK269" i="42"/>
  <c r="AJ269" i="42"/>
  <c r="AI269" i="42"/>
  <c r="AH269" i="42"/>
  <c r="AG269" i="42"/>
  <c r="AF269" i="42"/>
  <c r="AE269" i="42"/>
  <c r="AD269" i="42"/>
  <c r="AC269" i="42"/>
  <c r="AB269" i="42"/>
  <c r="AA269" i="42"/>
  <c r="S269" i="42"/>
  <c r="R269" i="42"/>
  <c r="Q269" i="42"/>
  <c r="P269" i="42"/>
  <c r="O269" i="42"/>
  <c r="N269" i="42"/>
  <c r="M269" i="42"/>
  <c r="L269" i="42"/>
  <c r="K269" i="42"/>
  <c r="I269" i="42"/>
  <c r="H269" i="42"/>
  <c r="G269" i="42"/>
  <c r="AK267" i="42"/>
  <c r="AJ267" i="42"/>
  <c r="AI267" i="42"/>
  <c r="AH267" i="42"/>
  <c r="AG267" i="42"/>
  <c r="AF267" i="42"/>
  <c r="AE267" i="42"/>
  <c r="AD267" i="42"/>
  <c r="AC267" i="42"/>
  <c r="AB267" i="42"/>
  <c r="AA267" i="42"/>
  <c r="S267" i="42"/>
  <c r="R267" i="42"/>
  <c r="Q267" i="42"/>
  <c r="P267" i="42"/>
  <c r="O267" i="42"/>
  <c r="N267" i="42"/>
  <c r="M267" i="42"/>
  <c r="L267" i="42"/>
  <c r="K267" i="42"/>
  <c r="I267" i="42"/>
  <c r="H267" i="42"/>
  <c r="G267" i="42"/>
  <c r="AK266" i="42"/>
  <c r="AJ266" i="42"/>
  <c r="AI266" i="42"/>
  <c r="AH266" i="42"/>
  <c r="AG266" i="42"/>
  <c r="AF266" i="42"/>
  <c r="AE266" i="42"/>
  <c r="AD266" i="42"/>
  <c r="AC266" i="42"/>
  <c r="AB266" i="42"/>
  <c r="AA266" i="42"/>
  <c r="S266" i="42"/>
  <c r="R266" i="42"/>
  <c r="Q266" i="42"/>
  <c r="P266" i="42"/>
  <c r="O266" i="42"/>
  <c r="N266" i="42"/>
  <c r="M266" i="42"/>
  <c r="L266" i="42"/>
  <c r="K266" i="42"/>
  <c r="I266" i="42"/>
  <c r="H266" i="42"/>
  <c r="G266" i="42"/>
  <c r="AK265" i="42"/>
  <c r="AJ265" i="42"/>
  <c r="AI265" i="42"/>
  <c r="AH265" i="42"/>
  <c r="AG265" i="42"/>
  <c r="AF265" i="42"/>
  <c r="AE265" i="42"/>
  <c r="AD265" i="42"/>
  <c r="AC265" i="42"/>
  <c r="AB265" i="42"/>
  <c r="AA265" i="42"/>
  <c r="S265" i="42"/>
  <c r="R265" i="42"/>
  <c r="Q265" i="42"/>
  <c r="P265" i="42"/>
  <c r="O265" i="42"/>
  <c r="N265" i="42"/>
  <c r="M265" i="42"/>
  <c r="L265" i="42"/>
  <c r="K265" i="42"/>
  <c r="I265" i="42"/>
  <c r="H265" i="42"/>
  <c r="G265" i="42"/>
  <c r="AK264" i="42"/>
  <c r="AJ264" i="42"/>
  <c r="AI264" i="42"/>
  <c r="AH264" i="42"/>
  <c r="AG264" i="42"/>
  <c r="AF264" i="42"/>
  <c r="AE264" i="42"/>
  <c r="AD264" i="42"/>
  <c r="AC264" i="42"/>
  <c r="AB264" i="42"/>
  <c r="AA264" i="42"/>
  <c r="S264" i="42"/>
  <c r="R264" i="42"/>
  <c r="Q264" i="42"/>
  <c r="P264" i="42"/>
  <c r="O264" i="42"/>
  <c r="N264" i="42"/>
  <c r="M264" i="42"/>
  <c r="L264" i="42"/>
  <c r="K264" i="42"/>
  <c r="I264" i="42"/>
  <c r="H264" i="42"/>
  <c r="G264" i="42"/>
  <c r="AK262" i="42"/>
  <c r="AJ262" i="42"/>
  <c r="AI262" i="42"/>
  <c r="AH262" i="42"/>
  <c r="AG262" i="42"/>
  <c r="AF262" i="42"/>
  <c r="AE262" i="42"/>
  <c r="AD262" i="42"/>
  <c r="AC262" i="42"/>
  <c r="AB262" i="42"/>
  <c r="AA262" i="42"/>
  <c r="S262" i="42"/>
  <c r="R262" i="42"/>
  <c r="Q262" i="42"/>
  <c r="P262" i="42"/>
  <c r="O262" i="42"/>
  <c r="N262" i="42"/>
  <c r="M262" i="42"/>
  <c r="L262" i="42"/>
  <c r="K262" i="42"/>
  <c r="I262" i="42"/>
  <c r="H262" i="42"/>
  <c r="G262" i="42"/>
  <c r="AK261" i="42"/>
  <c r="AJ261" i="42"/>
  <c r="AI261" i="42"/>
  <c r="AH261" i="42"/>
  <c r="AG261" i="42"/>
  <c r="AF261" i="42"/>
  <c r="AE261" i="42"/>
  <c r="AD261" i="42"/>
  <c r="AC261" i="42"/>
  <c r="AB261" i="42"/>
  <c r="AA261" i="42"/>
  <c r="S261" i="42"/>
  <c r="R261" i="42"/>
  <c r="Q261" i="42"/>
  <c r="P261" i="42"/>
  <c r="O261" i="42"/>
  <c r="N261" i="42"/>
  <c r="M261" i="42"/>
  <c r="L261" i="42"/>
  <c r="K261" i="42"/>
  <c r="I261" i="42"/>
  <c r="H261" i="42"/>
  <c r="G261" i="42"/>
  <c r="AK260" i="42"/>
  <c r="AJ260" i="42"/>
  <c r="AI260" i="42"/>
  <c r="AH260" i="42"/>
  <c r="AG260" i="42"/>
  <c r="AF260" i="42"/>
  <c r="AE260" i="42"/>
  <c r="AD260" i="42"/>
  <c r="AC260" i="42"/>
  <c r="AB260" i="42"/>
  <c r="AA260" i="42"/>
  <c r="S260" i="42"/>
  <c r="R260" i="42"/>
  <c r="Q260" i="42"/>
  <c r="P260" i="42"/>
  <c r="O260" i="42"/>
  <c r="N260" i="42"/>
  <c r="M260" i="42"/>
  <c r="L260" i="42"/>
  <c r="K260" i="42"/>
  <c r="I260" i="42"/>
  <c r="H260" i="42"/>
  <c r="G260" i="42"/>
  <c r="AK259" i="42"/>
  <c r="AJ259" i="42"/>
  <c r="AI259" i="42"/>
  <c r="AH259" i="42"/>
  <c r="AG259" i="42"/>
  <c r="AF259" i="42"/>
  <c r="AE259" i="42"/>
  <c r="AD259" i="42"/>
  <c r="AC259" i="42"/>
  <c r="AB259" i="42"/>
  <c r="AA259" i="42"/>
  <c r="S259" i="42"/>
  <c r="R259" i="42"/>
  <c r="Q259" i="42"/>
  <c r="P259" i="42"/>
  <c r="O259" i="42"/>
  <c r="N259" i="42"/>
  <c r="M259" i="42"/>
  <c r="L259" i="42"/>
  <c r="K259" i="42"/>
  <c r="I259" i="42"/>
  <c r="H259" i="42"/>
  <c r="G259" i="42"/>
  <c r="AK257" i="42"/>
  <c r="AJ257" i="42"/>
  <c r="AI257" i="42"/>
  <c r="AH257" i="42"/>
  <c r="AG257" i="42"/>
  <c r="AF257" i="42"/>
  <c r="AE257" i="42"/>
  <c r="AD257" i="42"/>
  <c r="AC257" i="42"/>
  <c r="AB257" i="42"/>
  <c r="AA257" i="42"/>
  <c r="S257" i="42"/>
  <c r="R257" i="42"/>
  <c r="Q257" i="42"/>
  <c r="P257" i="42"/>
  <c r="O257" i="42"/>
  <c r="N257" i="42"/>
  <c r="M257" i="42"/>
  <c r="L257" i="42"/>
  <c r="K257" i="42"/>
  <c r="I257" i="42"/>
  <c r="H257" i="42"/>
  <c r="G257" i="42"/>
  <c r="AK256" i="42"/>
  <c r="AJ256" i="42"/>
  <c r="AI256" i="42"/>
  <c r="AH256" i="42"/>
  <c r="AG256" i="42"/>
  <c r="AF256" i="42"/>
  <c r="AE256" i="42"/>
  <c r="AD256" i="42"/>
  <c r="AC256" i="42"/>
  <c r="AB256" i="42"/>
  <c r="AA256" i="42"/>
  <c r="S256" i="42"/>
  <c r="R256" i="42"/>
  <c r="Q256" i="42"/>
  <c r="P256" i="42"/>
  <c r="O256" i="42"/>
  <c r="N256" i="42"/>
  <c r="M256" i="42"/>
  <c r="L256" i="42"/>
  <c r="K256" i="42"/>
  <c r="I256" i="42"/>
  <c r="H256" i="42"/>
  <c r="G256" i="42"/>
  <c r="AK255" i="42"/>
  <c r="AJ255" i="42"/>
  <c r="AI255" i="42"/>
  <c r="AH255" i="42"/>
  <c r="AG255" i="42"/>
  <c r="AF255" i="42"/>
  <c r="AE255" i="42"/>
  <c r="AD255" i="42"/>
  <c r="AC255" i="42"/>
  <c r="AB255" i="42"/>
  <c r="AA255" i="42"/>
  <c r="S255" i="42"/>
  <c r="R255" i="42"/>
  <c r="Q255" i="42"/>
  <c r="P255" i="42"/>
  <c r="O255" i="42"/>
  <c r="N255" i="42"/>
  <c r="M255" i="42"/>
  <c r="L255" i="42"/>
  <c r="K255" i="42"/>
  <c r="I255" i="42"/>
  <c r="H255" i="42"/>
  <c r="G255" i="42"/>
  <c r="AK254" i="42"/>
  <c r="AJ254" i="42"/>
  <c r="AI254" i="42"/>
  <c r="AH254" i="42"/>
  <c r="AG254" i="42"/>
  <c r="AF254" i="42"/>
  <c r="AE254" i="42"/>
  <c r="AD254" i="42"/>
  <c r="AC254" i="42"/>
  <c r="AB254" i="42"/>
  <c r="AA254" i="42"/>
  <c r="S254" i="42"/>
  <c r="R254" i="42"/>
  <c r="Q254" i="42"/>
  <c r="P254" i="42"/>
  <c r="O254" i="42"/>
  <c r="N254" i="42"/>
  <c r="M254" i="42"/>
  <c r="L254" i="42"/>
  <c r="K254" i="42"/>
  <c r="I254" i="42"/>
  <c r="H254" i="42"/>
  <c r="G254" i="42"/>
  <c r="S251" i="42"/>
  <c r="R251" i="42"/>
  <c r="Q251" i="42"/>
  <c r="P251" i="42"/>
  <c r="O251" i="42"/>
  <c r="N251" i="42"/>
  <c r="M251" i="42"/>
  <c r="L251" i="42"/>
  <c r="K251" i="42"/>
  <c r="AK250" i="42"/>
  <c r="AJ250" i="42"/>
  <c r="AI250" i="42"/>
  <c r="AH250" i="42"/>
  <c r="AG250" i="42"/>
  <c r="AF250" i="42"/>
  <c r="AE250" i="42"/>
  <c r="AD250" i="42"/>
  <c r="AC250" i="42"/>
  <c r="AB250" i="42"/>
  <c r="AA250" i="42"/>
  <c r="S250" i="42"/>
  <c r="R250" i="42"/>
  <c r="Q250" i="42"/>
  <c r="P250" i="42"/>
  <c r="O250" i="42"/>
  <c r="N250" i="42"/>
  <c r="M250" i="42"/>
  <c r="L250" i="42"/>
  <c r="K250" i="42"/>
  <c r="H250" i="42"/>
  <c r="G250" i="42"/>
  <c r="AK249" i="42"/>
  <c r="AJ249" i="42"/>
  <c r="AI249" i="42"/>
  <c r="AH249" i="42"/>
  <c r="AG249" i="42"/>
  <c r="AF249" i="42"/>
  <c r="AE249" i="42"/>
  <c r="AD249" i="42"/>
  <c r="AC249" i="42"/>
  <c r="AB249" i="42"/>
  <c r="AA249" i="42"/>
  <c r="S249" i="42"/>
  <c r="R249" i="42"/>
  <c r="Q249" i="42"/>
  <c r="P249" i="42"/>
  <c r="O249" i="42"/>
  <c r="N249" i="42"/>
  <c r="M249" i="42"/>
  <c r="L249" i="42"/>
  <c r="K249" i="42"/>
  <c r="H249" i="42"/>
  <c r="G249" i="42"/>
  <c r="AK248" i="42"/>
  <c r="AJ248" i="42"/>
  <c r="AI248" i="42"/>
  <c r="AH248" i="42"/>
  <c r="AG248" i="42"/>
  <c r="AF248" i="42"/>
  <c r="AE248" i="42"/>
  <c r="AD248" i="42"/>
  <c r="AC248" i="42"/>
  <c r="AB248" i="42"/>
  <c r="AA248" i="42"/>
  <c r="S248" i="42"/>
  <c r="R248" i="42"/>
  <c r="Q248" i="42"/>
  <c r="P248" i="42"/>
  <c r="O248" i="42"/>
  <c r="N248" i="42"/>
  <c r="M248" i="42"/>
  <c r="L248" i="42"/>
  <c r="K248" i="42"/>
  <c r="H248" i="42"/>
  <c r="G248" i="42"/>
  <c r="AK247" i="42"/>
  <c r="AJ247" i="42"/>
  <c r="AI247" i="42"/>
  <c r="AH247" i="42"/>
  <c r="AG247" i="42"/>
  <c r="AF247" i="42"/>
  <c r="AE247" i="42"/>
  <c r="AD247" i="42"/>
  <c r="AC247" i="42"/>
  <c r="AB247" i="42"/>
  <c r="AA247" i="42"/>
  <c r="S247" i="42"/>
  <c r="R247" i="42"/>
  <c r="Q247" i="42"/>
  <c r="P247" i="42"/>
  <c r="O247" i="42"/>
  <c r="N247" i="42"/>
  <c r="M247" i="42"/>
  <c r="L247" i="42"/>
  <c r="K247" i="42"/>
  <c r="H247" i="42"/>
  <c r="G247" i="42"/>
  <c r="F247" i="42"/>
  <c r="S246" i="42"/>
  <c r="R246" i="42"/>
  <c r="Q246" i="42"/>
  <c r="P246" i="42"/>
  <c r="O246" i="42"/>
  <c r="N246" i="42"/>
  <c r="M246" i="42"/>
  <c r="L246" i="42"/>
  <c r="K246" i="42"/>
  <c r="AK245" i="42"/>
  <c r="AJ245" i="42"/>
  <c r="AI245" i="42"/>
  <c r="AH245" i="42"/>
  <c r="AG245" i="42"/>
  <c r="AF245" i="42"/>
  <c r="AE245" i="42"/>
  <c r="AD245" i="42"/>
  <c r="AC245" i="42"/>
  <c r="AB245" i="42"/>
  <c r="AA245" i="42"/>
  <c r="S245" i="42"/>
  <c r="R245" i="42"/>
  <c r="Q245" i="42"/>
  <c r="P245" i="42"/>
  <c r="O245" i="42"/>
  <c r="N245" i="42"/>
  <c r="M245" i="42"/>
  <c r="L245" i="42"/>
  <c r="K245" i="42"/>
  <c r="H245" i="42"/>
  <c r="G245" i="42"/>
  <c r="AK244" i="42"/>
  <c r="AJ244" i="42"/>
  <c r="AI244" i="42"/>
  <c r="AH244" i="42"/>
  <c r="AG244" i="42"/>
  <c r="AF244" i="42"/>
  <c r="AE244" i="42"/>
  <c r="AD244" i="42"/>
  <c r="AC244" i="42"/>
  <c r="AB244" i="42"/>
  <c r="AA244" i="42"/>
  <c r="S244" i="42"/>
  <c r="R244" i="42"/>
  <c r="Q244" i="42"/>
  <c r="P244" i="42"/>
  <c r="O244" i="42"/>
  <c r="N244" i="42"/>
  <c r="M244" i="42"/>
  <c r="L244" i="42"/>
  <c r="K244" i="42"/>
  <c r="H244" i="42"/>
  <c r="G244" i="42"/>
  <c r="AK243" i="42"/>
  <c r="AJ243" i="42"/>
  <c r="AI243" i="42"/>
  <c r="AH243" i="42"/>
  <c r="AG243" i="42"/>
  <c r="AF243" i="42"/>
  <c r="AE243" i="42"/>
  <c r="AD243" i="42"/>
  <c r="AC243" i="42"/>
  <c r="AB243" i="42"/>
  <c r="AA243" i="42"/>
  <c r="S243" i="42"/>
  <c r="R243" i="42"/>
  <c r="Q243" i="42"/>
  <c r="P243" i="42"/>
  <c r="O243" i="42"/>
  <c r="N243" i="42"/>
  <c r="M243" i="42"/>
  <c r="L243" i="42"/>
  <c r="K243" i="42"/>
  <c r="H243" i="42"/>
  <c r="G243" i="42"/>
  <c r="AK242" i="42"/>
  <c r="AJ242" i="42"/>
  <c r="AI242" i="42"/>
  <c r="AH242" i="42"/>
  <c r="AG242" i="42"/>
  <c r="AF242" i="42"/>
  <c r="AE242" i="42"/>
  <c r="AD242" i="42"/>
  <c r="AC242" i="42"/>
  <c r="AB242" i="42"/>
  <c r="AA242" i="42"/>
  <c r="S242" i="42"/>
  <c r="R242" i="42"/>
  <c r="Q242" i="42"/>
  <c r="P242" i="42"/>
  <c r="O242" i="42"/>
  <c r="N242" i="42"/>
  <c r="M242" i="42"/>
  <c r="L242" i="42"/>
  <c r="K242" i="42"/>
  <c r="H242" i="42"/>
  <c r="G242" i="42"/>
  <c r="F242" i="42"/>
  <c r="S241" i="42"/>
  <c r="R241" i="42"/>
  <c r="Q241" i="42"/>
  <c r="P241" i="42"/>
  <c r="O241" i="42"/>
  <c r="N241" i="42"/>
  <c r="M241" i="42"/>
  <c r="L241" i="42"/>
  <c r="K241" i="42"/>
  <c r="AK240" i="42"/>
  <c r="AJ240" i="42"/>
  <c r="AI240" i="42"/>
  <c r="AH240" i="42"/>
  <c r="AG240" i="42"/>
  <c r="AF240" i="42"/>
  <c r="AE240" i="42"/>
  <c r="AD240" i="42"/>
  <c r="AC240" i="42"/>
  <c r="AB240" i="42"/>
  <c r="AA240" i="42"/>
  <c r="S240" i="42"/>
  <c r="R240" i="42"/>
  <c r="Q240" i="42"/>
  <c r="P240" i="42"/>
  <c r="O240" i="42"/>
  <c r="N240" i="42"/>
  <c r="M240" i="42"/>
  <c r="L240" i="42"/>
  <c r="K240" i="42"/>
  <c r="H240" i="42"/>
  <c r="G240" i="42"/>
  <c r="AK239" i="42"/>
  <c r="AJ239" i="42"/>
  <c r="AI239" i="42"/>
  <c r="AH239" i="42"/>
  <c r="AG239" i="42"/>
  <c r="AF239" i="42"/>
  <c r="AE239" i="42"/>
  <c r="AD239" i="42"/>
  <c r="AC239" i="42"/>
  <c r="AB239" i="42"/>
  <c r="AA239" i="42"/>
  <c r="S239" i="42"/>
  <c r="R239" i="42"/>
  <c r="Q239" i="42"/>
  <c r="P239" i="42"/>
  <c r="O239" i="42"/>
  <c r="N239" i="42"/>
  <c r="M239" i="42"/>
  <c r="L239" i="42"/>
  <c r="K239" i="42"/>
  <c r="H239" i="42"/>
  <c r="G239" i="42"/>
  <c r="AK238" i="42"/>
  <c r="AJ238" i="42"/>
  <c r="AI238" i="42"/>
  <c r="AH238" i="42"/>
  <c r="AG238" i="42"/>
  <c r="AF238" i="42"/>
  <c r="AE238" i="42"/>
  <c r="AD238" i="42"/>
  <c r="AC238" i="42"/>
  <c r="AB238" i="42"/>
  <c r="AA238" i="42"/>
  <c r="S238" i="42"/>
  <c r="R238" i="42"/>
  <c r="Q238" i="42"/>
  <c r="P238" i="42"/>
  <c r="O238" i="42"/>
  <c r="N238" i="42"/>
  <c r="M238" i="42"/>
  <c r="L238" i="42"/>
  <c r="K238" i="42"/>
  <c r="H238" i="42"/>
  <c r="G238" i="42"/>
  <c r="AK237" i="42"/>
  <c r="AJ237" i="42"/>
  <c r="AI237" i="42"/>
  <c r="AH237" i="42"/>
  <c r="AG237" i="42"/>
  <c r="AF237" i="42"/>
  <c r="AE237" i="42"/>
  <c r="AD237" i="42"/>
  <c r="AC237" i="42"/>
  <c r="AB237" i="42"/>
  <c r="AA237" i="42"/>
  <c r="S237" i="42"/>
  <c r="R237" i="42"/>
  <c r="Q237" i="42"/>
  <c r="P237" i="42"/>
  <c r="O237" i="42"/>
  <c r="N237" i="42"/>
  <c r="M237" i="42"/>
  <c r="L237" i="42"/>
  <c r="K237" i="42"/>
  <c r="H237" i="42"/>
  <c r="G237" i="42"/>
  <c r="F237" i="42"/>
  <c r="R236" i="42"/>
  <c r="Q236" i="42"/>
  <c r="P236" i="42"/>
  <c r="O236" i="42"/>
  <c r="N236" i="42"/>
  <c r="M236" i="42"/>
  <c r="L236" i="42"/>
  <c r="K236" i="42"/>
  <c r="AK235" i="42"/>
  <c r="AJ235" i="42"/>
  <c r="AI235" i="42"/>
  <c r="AH235" i="42"/>
  <c r="AG235" i="42"/>
  <c r="AF235" i="42"/>
  <c r="AE235" i="42"/>
  <c r="AD235" i="42"/>
  <c r="AC235" i="42"/>
  <c r="AB235" i="42"/>
  <c r="AA235" i="42"/>
  <c r="S235" i="42"/>
  <c r="R235" i="42"/>
  <c r="Q235" i="42"/>
  <c r="P235" i="42"/>
  <c r="O235" i="42"/>
  <c r="N235" i="42"/>
  <c r="M235" i="42"/>
  <c r="L235" i="42"/>
  <c r="K235" i="42"/>
  <c r="H235" i="42"/>
  <c r="G235" i="42"/>
  <c r="AK234" i="42"/>
  <c r="AJ234" i="42"/>
  <c r="AI234" i="42"/>
  <c r="AH234" i="42"/>
  <c r="AG234" i="42"/>
  <c r="AF234" i="42"/>
  <c r="AE234" i="42"/>
  <c r="AD234" i="42"/>
  <c r="AC234" i="42"/>
  <c r="AB234" i="42"/>
  <c r="AA234" i="42"/>
  <c r="S234" i="42"/>
  <c r="R234" i="42"/>
  <c r="Q234" i="42"/>
  <c r="P234" i="42"/>
  <c r="O234" i="42"/>
  <c r="N234" i="42"/>
  <c r="M234" i="42"/>
  <c r="L234" i="42"/>
  <c r="K234" i="42"/>
  <c r="H234" i="42"/>
  <c r="G234" i="42"/>
  <c r="AK233" i="42"/>
  <c r="AJ233" i="42"/>
  <c r="AI233" i="42"/>
  <c r="AH233" i="42"/>
  <c r="AG233" i="42"/>
  <c r="AF233" i="42"/>
  <c r="AE233" i="42"/>
  <c r="AD233" i="42"/>
  <c r="AC233" i="42"/>
  <c r="AB233" i="42"/>
  <c r="AA233" i="42"/>
  <c r="S233" i="42"/>
  <c r="R233" i="42"/>
  <c r="Q233" i="42"/>
  <c r="P233" i="42"/>
  <c r="O233" i="42"/>
  <c r="N233" i="42"/>
  <c r="M233" i="42"/>
  <c r="L233" i="42"/>
  <c r="K233" i="42"/>
  <c r="H233" i="42"/>
  <c r="G233" i="42"/>
  <c r="AK232" i="42"/>
  <c r="AJ232" i="42"/>
  <c r="AI232" i="42"/>
  <c r="AH232" i="42"/>
  <c r="AG232" i="42"/>
  <c r="AF232" i="42"/>
  <c r="AE232" i="42"/>
  <c r="AD232" i="42"/>
  <c r="AC232" i="42"/>
  <c r="AB232" i="42"/>
  <c r="AA232" i="42"/>
  <c r="S232" i="42"/>
  <c r="R232" i="42"/>
  <c r="Q232" i="42"/>
  <c r="P232" i="42"/>
  <c r="O232" i="42"/>
  <c r="N232" i="42"/>
  <c r="M232" i="42"/>
  <c r="L232" i="42"/>
  <c r="K232" i="42"/>
  <c r="H232" i="42"/>
  <c r="G232" i="42"/>
  <c r="F232" i="42"/>
  <c r="S230" i="42"/>
  <c r="R230" i="42"/>
  <c r="Q230" i="42"/>
  <c r="P230" i="42"/>
  <c r="O230" i="42"/>
  <c r="N230" i="42"/>
  <c r="M230" i="42"/>
  <c r="L230" i="42"/>
  <c r="AK229" i="42"/>
  <c r="AJ229" i="42"/>
  <c r="AI229" i="42"/>
  <c r="AH229" i="42"/>
  <c r="AG229" i="42"/>
  <c r="AF229" i="42"/>
  <c r="AE229" i="42"/>
  <c r="AD229" i="42"/>
  <c r="AC229" i="42"/>
  <c r="AB229" i="42"/>
  <c r="AA229" i="42"/>
  <c r="S229" i="42"/>
  <c r="R229" i="42"/>
  <c r="Q229" i="42"/>
  <c r="P229" i="42"/>
  <c r="O229" i="42"/>
  <c r="N229" i="42"/>
  <c r="M229" i="42"/>
  <c r="L229" i="42"/>
  <c r="K229" i="42"/>
  <c r="H229" i="42"/>
  <c r="G229" i="42"/>
  <c r="AK228" i="42"/>
  <c r="AJ228" i="42"/>
  <c r="AI228" i="42"/>
  <c r="AH228" i="42"/>
  <c r="AG228" i="42"/>
  <c r="AF228" i="42"/>
  <c r="AE228" i="42"/>
  <c r="AD228" i="42"/>
  <c r="AC228" i="42"/>
  <c r="AB228" i="42"/>
  <c r="AA228" i="42"/>
  <c r="S228" i="42"/>
  <c r="R228" i="42"/>
  <c r="Q228" i="42"/>
  <c r="P228" i="42"/>
  <c r="O228" i="42"/>
  <c r="N228" i="42"/>
  <c r="M228" i="42"/>
  <c r="L228" i="42"/>
  <c r="K228" i="42"/>
  <c r="H228" i="42"/>
  <c r="G228" i="42"/>
  <c r="AK227" i="42"/>
  <c r="AJ227" i="42"/>
  <c r="AI227" i="42"/>
  <c r="AH227" i="42"/>
  <c r="AG227" i="42"/>
  <c r="AF227" i="42"/>
  <c r="AE227" i="42"/>
  <c r="AD227" i="42"/>
  <c r="AC227" i="42"/>
  <c r="AB227" i="42"/>
  <c r="AA227" i="42"/>
  <c r="S227" i="42"/>
  <c r="R227" i="42"/>
  <c r="Q227" i="42"/>
  <c r="P227" i="42"/>
  <c r="O227" i="42"/>
  <c r="N227" i="42"/>
  <c r="M227" i="42"/>
  <c r="L227" i="42"/>
  <c r="K227" i="42"/>
  <c r="H227" i="42"/>
  <c r="G227" i="42"/>
  <c r="AK226" i="42"/>
  <c r="AJ226" i="42"/>
  <c r="AI226" i="42"/>
  <c r="AH226" i="42"/>
  <c r="AG226" i="42"/>
  <c r="AF226" i="42"/>
  <c r="AE226" i="42"/>
  <c r="AD226" i="42"/>
  <c r="AC226" i="42"/>
  <c r="AB226" i="42"/>
  <c r="AA226" i="42"/>
  <c r="S226" i="42"/>
  <c r="R226" i="42"/>
  <c r="Q226" i="42"/>
  <c r="P226" i="42"/>
  <c r="O226" i="42"/>
  <c r="N226" i="42"/>
  <c r="M226" i="42"/>
  <c r="L226" i="42"/>
  <c r="K226" i="42"/>
  <c r="H226" i="42"/>
  <c r="G226" i="42"/>
  <c r="F226" i="42"/>
  <c r="W162" i="42"/>
  <c r="X162" i="42" s="1"/>
  <c r="V162" i="42"/>
  <c r="U162" i="42"/>
  <c r="T162" i="42"/>
  <c r="I162" i="42"/>
  <c r="W161" i="42"/>
  <c r="X161" i="42" s="1"/>
  <c r="V161" i="42"/>
  <c r="U161" i="42"/>
  <c r="T161" i="42"/>
  <c r="I161" i="42"/>
  <c r="W160" i="42"/>
  <c r="X160" i="42" s="1"/>
  <c r="V160" i="42"/>
  <c r="U160" i="42"/>
  <c r="T160" i="42"/>
  <c r="I160" i="42"/>
  <c r="W159" i="42"/>
  <c r="X159" i="42" s="1"/>
  <c r="V159" i="42"/>
  <c r="U159" i="42"/>
  <c r="T159" i="42"/>
  <c r="I159" i="42"/>
  <c r="W158" i="42"/>
  <c r="X158" i="42" s="1"/>
  <c r="V158" i="42"/>
  <c r="U158" i="42"/>
  <c r="T158" i="42"/>
  <c r="I158" i="42"/>
  <c r="W157" i="42"/>
  <c r="X157" i="42" s="1"/>
  <c r="V157" i="42"/>
  <c r="U157" i="42"/>
  <c r="T157" i="42"/>
  <c r="I157" i="42"/>
  <c r="W156" i="42"/>
  <c r="X156" i="42" s="1"/>
  <c r="V156" i="42"/>
  <c r="U156" i="42"/>
  <c r="T156" i="42"/>
  <c r="I156" i="42"/>
  <c r="W155" i="42"/>
  <c r="X155" i="42" s="1"/>
  <c r="V155" i="42"/>
  <c r="U155" i="42"/>
  <c r="T155" i="42"/>
  <c r="I155" i="42"/>
  <c r="W154" i="42"/>
  <c r="X154" i="42" s="1"/>
  <c r="V154" i="42"/>
  <c r="U154" i="42"/>
  <c r="T154" i="42"/>
  <c r="I154" i="42"/>
  <c r="W153" i="42"/>
  <c r="X153" i="42" s="1"/>
  <c r="V153" i="42"/>
  <c r="U153" i="42"/>
  <c r="T153" i="42"/>
  <c r="I153" i="42"/>
  <c r="W152" i="42"/>
  <c r="X152" i="42" s="1"/>
  <c r="V152" i="42"/>
  <c r="U152" i="42"/>
  <c r="T152" i="42"/>
  <c r="I152" i="42"/>
  <c r="W151" i="42"/>
  <c r="X151" i="42" s="1"/>
  <c r="V151" i="42"/>
  <c r="U151" i="42"/>
  <c r="T151" i="42"/>
  <c r="I151" i="42"/>
  <c r="W150" i="42"/>
  <c r="X150" i="42" s="1"/>
  <c r="V150" i="42"/>
  <c r="U150" i="42"/>
  <c r="T150" i="42"/>
  <c r="I150" i="42"/>
  <c r="W149" i="42"/>
  <c r="X149" i="42" s="1"/>
  <c r="V149" i="42"/>
  <c r="U149" i="42"/>
  <c r="T149" i="42"/>
  <c r="I149" i="42"/>
  <c r="W148" i="42"/>
  <c r="V148" i="42"/>
  <c r="U148" i="42"/>
  <c r="T148" i="42"/>
  <c r="I148" i="42"/>
  <c r="W147" i="42"/>
  <c r="V147" i="42"/>
  <c r="U147" i="42"/>
  <c r="T147" i="42"/>
  <c r="I147" i="42"/>
  <c r="W146" i="42"/>
  <c r="X146" i="42" s="1"/>
  <c r="V146" i="42"/>
  <c r="U146" i="42"/>
  <c r="T146" i="42"/>
  <c r="I146" i="42"/>
  <c r="W144" i="42"/>
  <c r="V144" i="42"/>
  <c r="U144" i="42"/>
  <c r="T144" i="42"/>
  <c r="I144" i="42"/>
  <c r="I245" i="42" s="1"/>
  <c r="W143" i="42"/>
  <c r="X143" i="42" s="1"/>
  <c r="V143" i="42"/>
  <c r="U143" i="42"/>
  <c r="T143" i="42"/>
  <c r="I143" i="42"/>
  <c r="W142" i="42"/>
  <c r="X142" i="42" s="1"/>
  <c r="V142" i="42"/>
  <c r="U142" i="42"/>
  <c r="T142" i="42"/>
  <c r="I142" i="42"/>
  <c r="W141" i="42"/>
  <c r="X141" i="42" s="1"/>
  <c r="V141" i="42"/>
  <c r="U141" i="42"/>
  <c r="T141" i="42"/>
  <c r="I141" i="42"/>
  <c r="W140" i="42"/>
  <c r="X140" i="42" s="1"/>
  <c r="V140" i="42"/>
  <c r="U140" i="42"/>
  <c r="T140" i="42"/>
  <c r="I140" i="42"/>
  <c r="W139" i="42"/>
  <c r="X139" i="42" s="1"/>
  <c r="V139" i="42"/>
  <c r="U139" i="42"/>
  <c r="T139" i="42"/>
  <c r="I139" i="42"/>
  <c r="W138" i="42"/>
  <c r="X138" i="42" s="1"/>
  <c r="V138" i="42"/>
  <c r="U138" i="42"/>
  <c r="T138" i="42"/>
  <c r="I138" i="42"/>
  <c r="W137" i="42"/>
  <c r="X137" i="42" s="1"/>
  <c r="V137" i="42"/>
  <c r="U137" i="42"/>
  <c r="T137" i="42"/>
  <c r="I137" i="42"/>
  <c r="W136" i="42"/>
  <c r="X136" i="42" s="1"/>
  <c r="V136" i="42"/>
  <c r="U136" i="42"/>
  <c r="T136" i="42"/>
  <c r="I136" i="42"/>
  <c r="W135" i="42"/>
  <c r="X135" i="42" s="1"/>
  <c r="V135" i="42"/>
  <c r="U135" i="42"/>
  <c r="T135" i="42"/>
  <c r="I135" i="42"/>
  <c r="W134" i="42"/>
  <c r="X134" i="42" s="1"/>
  <c r="V134" i="42"/>
  <c r="U134" i="42"/>
  <c r="T134" i="42"/>
  <c r="I134" i="42"/>
  <c r="W133" i="42"/>
  <c r="X133" i="42" s="1"/>
  <c r="V133" i="42"/>
  <c r="U133" i="42"/>
  <c r="T133" i="42"/>
  <c r="I133" i="42"/>
  <c r="W132" i="42"/>
  <c r="V132" i="42"/>
  <c r="U132" i="42"/>
  <c r="T132" i="42"/>
  <c r="I132" i="42"/>
  <c r="W131" i="42"/>
  <c r="X131" i="42" s="1"/>
  <c r="V131" i="42"/>
  <c r="U131" i="42"/>
  <c r="T131" i="42"/>
  <c r="I131" i="42"/>
  <c r="W130" i="42"/>
  <c r="X130" i="42" s="1"/>
  <c r="V130" i="42"/>
  <c r="U130" i="42"/>
  <c r="T130" i="42"/>
  <c r="I130" i="42"/>
  <c r="W129" i="42"/>
  <c r="X129" i="42" s="1"/>
  <c r="V129" i="42"/>
  <c r="U129" i="42"/>
  <c r="T129" i="42"/>
  <c r="I129" i="42"/>
  <c r="W128" i="42"/>
  <c r="V128" i="42"/>
  <c r="U128" i="42"/>
  <c r="T128" i="42"/>
  <c r="I128" i="42"/>
  <c r="Y125" i="42"/>
  <c r="W125" i="42"/>
  <c r="X125" i="42" s="1"/>
  <c r="V125" i="42"/>
  <c r="U125" i="42"/>
  <c r="T125" i="42"/>
  <c r="J125" i="42"/>
  <c r="Y124" i="42"/>
  <c r="W124" i="42"/>
  <c r="X124" i="42" s="1"/>
  <c r="V124" i="42"/>
  <c r="U124" i="42"/>
  <c r="T124" i="42"/>
  <c r="J124" i="42"/>
  <c r="Y123" i="42"/>
  <c r="W123" i="42"/>
  <c r="X123" i="42" s="1"/>
  <c r="V123" i="42"/>
  <c r="U123" i="42"/>
  <c r="T123" i="42"/>
  <c r="J123" i="42"/>
  <c r="Y122" i="42"/>
  <c r="W122" i="42"/>
  <c r="X122" i="42" s="1"/>
  <c r="V122" i="42"/>
  <c r="U122" i="42"/>
  <c r="T122" i="42"/>
  <c r="J122" i="42"/>
  <c r="Y121" i="42"/>
  <c r="W121" i="42"/>
  <c r="X121" i="42" s="1"/>
  <c r="V121" i="42"/>
  <c r="U121" i="42"/>
  <c r="T121" i="42"/>
  <c r="J121" i="42"/>
  <c r="Y120" i="42"/>
  <c r="W120" i="42"/>
  <c r="V120" i="42"/>
  <c r="U120" i="42"/>
  <c r="T120" i="42"/>
  <c r="J120" i="42"/>
  <c r="Y119" i="42"/>
  <c r="W119" i="42"/>
  <c r="X119" i="42" s="1"/>
  <c r="V119" i="42"/>
  <c r="U119" i="42"/>
  <c r="T119" i="42"/>
  <c r="J119" i="42"/>
  <c r="Y118" i="42"/>
  <c r="W118" i="42"/>
  <c r="X118" i="42" s="1"/>
  <c r="V118" i="42"/>
  <c r="U118" i="42"/>
  <c r="T118" i="42"/>
  <c r="J118" i="42"/>
  <c r="Y117" i="42"/>
  <c r="W117" i="42"/>
  <c r="X117" i="42" s="1"/>
  <c r="V117" i="42"/>
  <c r="U117" i="42"/>
  <c r="T117" i="42"/>
  <c r="J117" i="42"/>
  <c r="Y116" i="42"/>
  <c r="W116" i="42"/>
  <c r="X116" i="42" s="1"/>
  <c r="V116" i="42"/>
  <c r="U116" i="42"/>
  <c r="T116" i="42"/>
  <c r="J116" i="42"/>
  <c r="Y115" i="42"/>
  <c r="W115" i="42"/>
  <c r="X115" i="42" s="1"/>
  <c r="V115" i="42"/>
  <c r="U115" i="42"/>
  <c r="T115" i="42"/>
  <c r="J115" i="42"/>
  <c r="Y114" i="42"/>
  <c r="W114" i="42"/>
  <c r="X114" i="42" s="1"/>
  <c r="V114" i="42"/>
  <c r="U114" i="42"/>
  <c r="T114" i="42"/>
  <c r="J114" i="42"/>
  <c r="Y113" i="42"/>
  <c r="W113" i="42"/>
  <c r="X113" i="42" s="1"/>
  <c r="V113" i="42"/>
  <c r="U113" i="42"/>
  <c r="T113" i="42"/>
  <c r="J113" i="42"/>
  <c r="Y112" i="42"/>
  <c r="W112" i="42"/>
  <c r="X112" i="42" s="1"/>
  <c r="V112" i="42"/>
  <c r="U112" i="42"/>
  <c r="T112" i="42"/>
  <c r="J112" i="42"/>
  <c r="Y111" i="42"/>
  <c r="W111" i="42"/>
  <c r="X111" i="42" s="1"/>
  <c r="V111" i="42"/>
  <c r="U111" i="42"/>
  <c r="T111" i="42"/>
  <c r="J111" i="42"/>
  <c r="Y110" i="42"/>
  <c r="W110" i="42"/>
  <c r="V110" i="42"/>
  <c r="U110" i="42"/>
  <c r="T110" i="42"/>
  <c r="J110" i="42"/>
  <c r="Y109" i="42"/>
  <c r="W109" i="42"/>
  <c r="X109" i="42" s="1"/>
  <c r="V109" i="42"/>
  <c r="U109" i="42"/>
  <c r="T109" i="42"/>
  <c r="J109" i="42"/>
  <c r="Y108" i="42"/>
  <c r="W108" i="42"/>
  <c r="X108" i="42" s="1"/>
  <c r="V108" i="42"/>
  <c r="U108" i="42"/>
  <c r="T108" i="42"/>
  <c r="J108" i="42"/>
  <c r="Y107" i="42"/>
  <c r="W107" i="42"/>
  <c r="X107" i="42" s="1"/>
  <c r="V107" i="42"/>
  <c r="U107" i="42"/>
  <c r="T107" i="42"/>
  <c r="J107" i="42"/>
  <c r="Y106" i="42"/>
  <c r="W106" i="42"/>
  <c r="X106" i="42" s="1"/>
  <c r="V106" i="42"/>
  <c r="U106" i="42"/>
  <c r="T106" i="42"/>
  <c r="J106" i="42"/>
  <c r="Y105" i="42"/>
  <c r="W105" i="42"/>
  <c r="X105" i="42" s="1"/>
  <c r="V105" i="42"/>
  <c r="U105" i="42"/>
  <c r="T105" i="42"/>
  <c r="J105" i="42"/>
  <c r="Y104" i="42"/>
  <c r="W104" i="42"/>
  <c r="V104" i="42"/>
  <c r="U104" i="42"/>
  <c r="T104" i="42"/>
  <c r="J104" i="42"/>
  <c r="Y103" i="42"/>
  <c r="W103" i="42"/>
  <c r="X103" i="42" s="1"/>
  <c r="V103" i="42"/>
  <c r="U103" i="42"/>
  <c r="T103" i="42"/>
  <c r="J103" i="42"/>
  <c r="Y102" i="42"/>
  <c r="W102" i="42"/>
  <c r="X102" i="42" s="1"/>
  <c r="V102" i="42"/>
  <c r="U102" i="42"/>
  <c r="T102" i="42"/>
  <c r="J102" i="42"/>
  <c r="Y101" i="42"/>
  <c r="W101" i="42"/>
  <c r="X101" i="42" s="1"/>
  <c r="V101" i="42"/>
  <c r="U101" i="42"/>
  <c r="T101" i="42"/>
  <c r="J101" i="42"/>
  <c r="Y100" i="42"/>
  <c r="W100" i="42"/>
  <c r="X100" i="42" s="1"/>
  <c r="V100" i="42"/>
  <c r="U100" i="42"/>
  <c r="T100" i="42"/>
  <c r="J100" i="42"/>
  <c r="Y99" i="42"/>
  <c r="W99" i="42"/>
  <c r="X99" i="42" s="1"/>
  <c r="V99" i="42"/>
  <c r="U99" i="42"/>
  <c r="T99" i="42"/>
  <c r="J99" i="42"/>
  <c r="Y98" i="42"/>
  <c r="W98" i="42"/>
  <c r="X98" i="42" s="1"/>
  <c r="V98" i="42"/>
  <c r="U98" i="42"/>
  <c r="T98" i="42"/>
  <c r="J98" i="42"/>
  <c r="Y97" i="42"/>
  <c r="W97" i="42"/>
  <c r="X97" i="42" s="1"/>
  <c r="V97" i="42"/>
  <c r="U97" i="42"/>
  <c r="T97" i="42"/>
  <c r="J97" i="42"/>
  <c r="Y96" i="42"/>
  <c r="W96" i="42"/>
  <c r="X96" i="42" s="1"/>
  <c r="V96" i="42"/>
  <c r="U96" i="42"/>
  <c r="T96" i="42"/>
  <c r="J96" i="42"/>
  <c r="Y95" i="42"/>
  <c r="W95" i="42"/>
  <c r="X95" i="42" s="1"/>
  <c r="V95" i="42"/>
  <c r="U95" i="42"/>
  <c r="T95" i="42"/>
  <c r="J95" i="42"/>
  <c r="Y93" i="42"/>
  <c r="W93" i="42"/>
  <c r="X93" i="42" s="1"/>
  <c r="V93" i="42"/>
  <c r="U93" i="42"/>
  <c r="T93" i="42"/>
  <c r="J93" i="42"/>
  <c r="Y92" i="42"/>
  <c r="W92" i="42"/>
  <c r="X92" i="42" s="1"/>
  <c r="V92" i="42"/>
  <c r="U92" i="42"/>
  <c r="T92" i="42"/>
  <c r="J92" i="42"/>
  <c r="Y91" i="42"/>
  <c r="W91" i="42"/>
  <c r="X91" i="42" s="1"/>
  <c r="V91" i="42"/>
  <c r="U91" i="42"/>
  <c r="T91" i="42"/>
  <c r="J91" i="42"/>
  <c r="Y90" i="42"/>
  <c r="W90" i="42"/>
  <c r="V90" i="42"/>
  <c r="U90" i="42"/>
  <c r="T90" i="42"/>
  <c r="J90" i="42"/>
  <c r="Y89" i="42"/>
  <c r="W89" i="42"/>
  <c r="X89" i="42" s="1"/>
  <c r="V89" i="42"/>
  <c r="U89" i="42"/>
  <c r="T89" i="42"/>
  <c r="J89" i="42"/>
  <c r="Y88" i="42"/>
  <c r="W88" i="42"/>
  <c r="X88" i="42" s="1"/>
  <c r="V88" i="42"/>
  <c r="U88" i="42"/>
  <c r="T88" i="42"/>
  <c r="J88" i="42"/>
  <c r="Y87" i="42"/>
  <c r="W87" i="42"/>
  <c r="X87" i="42" s="1"/>
  <c r="V87" i="42"/>
  <c r="U87" i="42"/>
  <c r="T87" i="42"/>
  <c r="J87" i="42"/>
  <c r="Y86" i="42"/>
  <c r="W86" i="42"/>
  <c r="X86" i="42" s="1"/>
  <c r="V86" i="42"/>
  <c r="U86" i="42"/>
  <c r="T86" i="42"/>
  <c r="J86" i="42"/>
  <c r="Y85" i="42"/>
  <c r="W85" i="42"/>
  <c r="X85" i="42" s="1"/>
  <c r="V85" i="42"/>
  <c r="U85" i="42"/>
  <c r="T85" i="42"/>
  <c r="J85" i="42"/>
  <c r="Y84" i="42"/>
  <c r="W84" i="42"/>
  <c r="X84" i="42" s="1"/>
  <c r="V84" i="42"/>
  <c r="U84" i="42"/>
  <c r="T84" i="42"/>
  <c r="J84" i="42"/>
  <c r="Y83" i="42"/>
  <c r="W83" i="42"/>
  <c r="X83" i="42" s="1"/>
  <c r="V83" i="42"/>
  <c r="U83" i="42"/>
  <c r="T83" i="42"/>
  <c r="J83" i="42"/>
  <c r="Y82" i="42"/>
  <c r="W82" i="42"/>
  <c r="X82" i="42" s="1"/>
  <c r="V82" i="42"/>
  <c r="U82" i="42"/>
  <c r="T82" i="42"/>
  <c r="J82" i="42"/>
  <c r="Y81" i="42"/>
  <c r="W81" i="42"/>
  <c r="X81" i="42" s="1"/>
  <c r="V81" i="42"/>
  <c r="U81" i="42"/>
  <c r="T81" i="42"/>
  <c r="J81" i="42"/>
  <c r="Y80" i="42"/>
  <c r="W80" i="42"/>
  <c r="V80" i="42"/>
  <c r="U80" i="42"/>
  <c r="T80" i="42"/>
  <c r="J80" i="42"/>
  <c r="Y79" i="42"/>
  <c r="W79" i="42"/>
  <c r="X79" i="42" s="1"/>
  <c r="V79" i="42"/>
  <c r="U79" i="42"/>
  <c r="T79" i="42"/>
  <c r="J79" i="42"/>
  <c r="Y78" i="42"/>
  <c r="W78" i="42"/>
  <c r="V78" i="42"/>
  <c r="U78" i="42"/>
  <c r="T78" i="42"/>
  <c r="J78" i="42"/>
  <c r="Y77" i="42"/>
  <c r="W77" i="42"/>
  <c r="V77" i="42"/>
  <c r="U77" i="42"/>
  <c r="T77" i="42"/>
  <c r="J77" i="42"/>
  <c r="Y76" i="42"/>
  <c r="W76" i="42"/>
  <c r="X76" i="42" s="1"/>
  <c r="V76" i="42"/>
  <c r="U76" i="42"/>
  <c r="T76" i="42"/>
  <c r="J76" i="42"/>
  <c r="Y75" i="42"/>
  <c r="W75" i="42"/>
  <c r="X75" i="42" s="1"/>
  <c r="V75" i="42"/>
  <c r="U75" i="42"/>
  <c r="T75" i="42"/>
  <c r="J75" i="42"/>
  <c r="Y74" i="42"/>
  <c r="W74" i="42"/>
  <c r="X74" i="42" s="1"/>
  <c r="V74" i="42"/>
  <c r="U74" i="42"/>
  <c r="T74" i="42"/>
  <c r="J74" i="42"/>
  <c r="Y73" i="42"/>
  <c r="W73" i="42"/>
  <c r="X73" i="42" s="1"/>
  <c r="V73" i="42"/>
  <c r="U73" i="42"/>
  <c r="T73" i="42"/>
  <c r="J73" i="42"/>
  <c r="Y72" i="42"/>
  <c r="W72" i="42"/>
  <c r="X72" i="42" s="1"/>
  <c r="V72" i="42"/>
  <c r="U72" i="42"/>
  <c r="T72" i="42"/>
  <c r="J72" i="42"/>
  <c r="Y71" i="42"/>
  <c r="W71" i="42"/>
  <c r="X71" i="42" s="1"/>
  <c r="V71" i="42"/>
  <c r="U71" i="42"/>
  <c r="T71" i="42"/>
  <c r="J71" i="42"/>
  <c r="Y70" i="42"/>
  <c r="W70" i="42"/>
  <c r="X70" i="42" s="1"/>
  <c r="V70" i="42"/>
  <c r="U70" i="42"/>
  <c r="T70" i="42"/>
  <c r="J70" i="42"/>
  <c r="Y69" i="42"/>
  <c r="W69" i="42"/>
  <c r="V69" i="42"/>
  <c r="U69" i="42"/>
  <c r="T69" i="42"/>
  <c r="J69" i="42"/>
  <c r="Y68" i="42"/>
  <c r="W68" i="42"/>
  <c r="V68" i="42"/>
  <c r="U68" i="42"/>
  <c r="T68" i="42"/>
  <c r="J68" i="42"/>
  <c r="Y67" i="42"/>
  <c r="W67" i="42"/>
  <c r="X67" i="42" s="1"/>
  <c r="V67" i="42"/>
  <c r="U67" i="42"/>
  <c r="T67" i="42"/>
  <c r="J67" i="42"/>
  <c r="Y63" i="42"/>
  <c r="W63" i="42"/>
  <c r="X63" i="42" s="1"/>
  <c r="V63" i="42"/>
  <c r="U63" i="42"/>
  <c r="T63" i="42"/>
  <c r="J63" i="42"/>
  <c r="Y62" i="42"/>
  <c r="W62" i="42"/>
  <c r="X62" i="42" s="1"/>
  <c r="V62" i="42"/>
  <c r="U62" i="42"/>
  <c r="T62" i="42"/>
  <c r="J62" i="42"/>
  <c r="Y61" i="42"/>
  <c r="W61" i="42"/>
  <c r="V61" i="42"/>
  <c r="U61" i="42"/>
  <c r="T61" i="42"/>
  <c r="J61" i="42"/>
  <c r="Y60" i="42"/>
  <c r="W60" i="42"/>
  <c r="V60" i="42"/>
  <c r="U60" i="42"/>
  <c r="T60" i="42"/>
  <c r="J60" i="42"/>
  <c r="Y58" i="42"/>
  <c r="W58" i="42"/>
  <c r="X58" i="42" s="1"/>
  <c r="V58" i="42"/>
  <c r="U58" i="42"/>
  <c r="T58" i="42"/>
  <c r="J58" i="42"/>
  <c r="Y57" i="42"/>
  <c r="W57" i="42"/>
  <c r="X57" i="42" s="1"/>
  <c r="V57" i="42"/>
  <c r="U57" i="42"/>
  <c r="T57" i="42"/>
  <c r="J57" i="42"/>
  <c r="Y56" i="42"/>
  <c r="W56" i="42"/>
  <c r="X56" i="42" s="1"/>
  <c r="V56" i="42"/>
  <c r="U56" i="42"/>
  <c r="T56" i="42"/>
  <c r="J56" i="42"/>
  <c r="Y55" i="42"/>
  <c r="W55" i="42"/>
  <c r="X55" i="42" s="1"/>
  <c r="V55" i="42"/>
  <c r="U55" i="42"/>
  <c r="T55" i="42"/>
  <c r="J55" i="42"/>
  <c r="Y54" i="42"/>
  <c r="W54" i="42"/>
  <c r="X54" i="42" s="1"/>
  <c r="V54" i="42"/>
  <c r="U54" i="42"/>
  <c r="T54" i="42"/>
  <c r="J54" i="42"/>
  <c r="Y53" i="42"/>
  <c r="W53" i="42"/>
  <c r="X53" i="42" s="1"/>
  <c r="V53" i="42"/>
  <c r="U53" i="42"/>
  <c r="T53" i="42"/>
  <c r="J53" i="42"/>
  <c r="Y50" i="42"/>
  <c r="W50" i="42"/>
  <c r="X50" i="42" s="1"/>
  <c r="V50" i="42"/>
  <c r="U50" i="42"/>
  <c r="T50" i="42"/>
  <c r="J50" i="42"/>
  <c r="Y48" i="42"/>
  <c r="W48" i="42"/>
  <c r="V48" i="42"/>
  <c r="U48" i="42"/>
  <c r="T48" i="42"/>
  <c r="J48" i="42"/>
  <c r="Y47" i="42"/>
  <c r="W47" i="42"/>
  <c r="X47" i="42" s="1"/>
  <c r="V47" i="42"/>
  <c r="U47" i="42"/>
  <c r="T47" i="42"/>
  <c r="J47" i="42"/>
  <c r="Y46" i="42"/>
  <c r="W46" i="42"/>
  <c r="X46" i="42" s="1"/>
  <c r="V46" i="42"/>
  <c r="U46" i="42"/>
  <c r="T46" i="42"/>
  <c r="J46" i="42"/>
  <c r="Y45" i="42"/>
  <c r="W45" i="42"/>
  <c r="X45" i="42" s="1"/>
  <c r="V45" i="42"/>
  <c r="U45" i="42"/>
  <c r="T45" i="42"/>
  <c r="J45" i="42"/>
  <c r="Y44" i="42"/>
  <c r="W44" i="42"/>
  <c r="X44" i="42" s="1"/>
  <c r="V44" i="42"/>
  <c r="U44" i="42"/>
  <c r="T44" i="42"/>
  <c r="J44" i="42"/>
  <c r="Y43" i="42"/>
  <c r="W43" i="42"/>
  <c r="V43" i="42"/>
  <c r="U43" i="42"/>
  <c r="T43" i="42"/>
  <c r="J43" i="42"/>
  <c r="Y42" i="42"/>
  <c r="W42" i="42"/>
  <c r="X42" i="42" s="1"/>
  <c r="V42" i="42"/>
  <c r="U42" i="42"/>
  <c r="T42" i="42"/>
  <c r="J42" i="42"/>
  <c r="Y41" i="42"/>
  <c r="W41" i="42"/>
  <c r="X41" i="42" s="1"/>
  <c r="V41" i="42"/>
  <c r="U41" i="42"/>
  <c r="T41" i="42"/>
  <c r="J41" i="42"/>
  <c r="Y39" i="42"/>
  <c r="W39" i="42"/>
  <c r="V39" i="42"/>
  <c r="U39" i="42"/>
  <c r="T39" i="42"/>
  <c r="J39" i="42"/>
  <c r="Y38" i="42"/>
  <c r="W38" i="42"/>
  <c r="V38" i="42"/>
  <c r="U38" i="42"/>
  <c r="T38" i="42"/>
  <c r="J38" i="42"/>
  <c r="Y36" i="42"/>
  <c r="W36" i="42"/>
  <c r="X36" i="42" s="1"/>
  <c r="V36" i="42"/>
  <c r="U36" i="42"/>
  <c r="T36" i="42"/>
  <c r="J36" i="42"/>
  <c r="Y35" i="42"/>
  <c r="W35" i="42"/>
  <c r="X35" i="42" s="1"/>
  <c r="V35" i="42"/>
  <c r="U35" i="42"/>
  <c r="T35" i="42"/>
  <c r="J35" i="42"/>
  <c r="Y34" i="42"/>
  <c r="W34" i="42"/>
  <c r="V34" i="42"/>
  <c r="U34" i="42"/>
  <c r="T34" i="42"/>
  <c r="J34" i="42"/>
  <c r="Y33" i="42"/>
  <c r="W33" i="42"/>
  <c r="V33" i="42"/>
  <c r="U33" i="42"/>
  <c r="T33" i="42"/>
  <c r="J33" i="42"/>
  <c r="Y32" i="42"/>
  <c r="W32" i="42"/>
  <c r="X32" i="42" s="1"/>
  <c r="V32" i="42"/>
  <c r="U32" i="42"/>
  <c r="T32" i="42"/>
  <c r="J32" i="42"/>
  <c r="Y31" i="42"/>
  <c r="W31" i="42"/>
  <c r="X31" i="42" s="1"/>
  <c r="V31" i="42"/>
  <c r="U31" i="42"/>
  <c r="T31" i="42"/>
  <c r="J31" i="42"/>
  <c r="Y30" i="42"/>
  <c r="W30" i="42"/>
  <c r="X30" i="42" s="1"/>
  <c r="V30" i="42"/>
  <c r="U30" i="42"/>
  <c r="T30" i="42"/>
  <c r="J30" i="42"/>
  <c r="Y29" i="42"/>
  <c r="W29" i="42"/>
  <c r="X29" i="42" s="1"/>
  <c r="V29" i="42"/>
  <c r="U29" i="42"/>
  <c r="T29" i="42"/>
  <c r="J29" i="42"/>
  <c r="Y28" i="42"/>
  <c r="W28" i="42"/>
  <c r="X28" i="42" s="1"/>
  <c r="V28" i="42"/>
  <c r="U28" i="42"/>
  <c r="T28" i="42"/>
  <c r="J28" i="42"/>
  <c r="Y27" i="42"/>
  <c r="W27" i="42"/>
  <c r="X27" i="42" s="1"/>
  <c r="V27" i="42"/>
  <c r="U27" i="42"/>
  <c r="T27" i="42"/>
  <c r="J27" i="42"/>
  <c r="Y26" i="42"/>
  <c r="W26" i="42"/>
  <c r="X26" i="42" s="1"/>
  <c r="V26" i="42"/>
  <c r="U26" i="42"/>
  <c r="T26" i="42"/>
  <c r="J26" i="42"/>
  <c r="Y25" i="42"/>
  <c r="W25" i="42"/>
  <c r="X25" i="42" s="1"/>
  <c r="V25" i="42"/>
  <c r="U25" i="42"/>
  <c r="T25" i="42"/>
  <c r="J25" i="42"/>
  <c r="Y24" i="42"/>
  <c r="W24" i="42"/>
  <c r="X24" i="42" s="1"/>
  <c r="V24" i="42"/>
  <c r="U24" i="42"/>
  <c r="T24" i="42"/>
  <c r="J24" i="42"/>
  <c r="Y22" i="42"/>
  <c r="W22" i="42"/>
  <c r="X22" i="42" s="1"/>
  <c r="V22" i="42"/>
  <c r="U22" i="42"/>
  <c r="T22" i="42"/>
  <c r="J22" i="42"/>
  <c r="Y21" i="42"/>
  <c r="W21" i="42"/>
  <c r="X21" i="42" s="1"/>
  <c r="V21" i="42"/>
  <c r="U21" i="42"/>
  <c r="T21" i="42"/>
  <c r="J21" i="42"/>
  <c r="Y20" i="42"/>
  <c r="W20" i="42"/>
  <c r="X20" i="42" s="1"/>
  <c r="V20" i="42"/>
  <c r="U20" i="42"/>
  <c r="T20" i="42"/>
  <c r="J20" i="42"/>
  <c r="Y19" i="42"/>
  <c r="W19" i="42"/>
  <c r="X19" i="42" s="1"/>
  <c r="V19" i="42"/>
  <c r="U19" i="42"/>
  <c r="T19" i="42"/>
  <c r="J19" i="42"/>
  <c r="Y18" i="42"/>
  <c r="W18" i="42"/>
  <c r="X18" i="42" s="1"/>
  <c r="V18" i="42"/>
  <c r="U18" i="42"/>
  <c r="T18" i="42"/>
  <c r="J18" i="42"/>
  <c r="Y17" i="42"/>
  <c r="W17" i="42"/>
  <c r="X17" i="42" s="1"/>
  <c r="V17" i="42"/>
  <c r="U17" i="42"/>
  <c r="T17" i="42"/>
  <c r="J17" i="42"/>
  <c r="Y16" i="42"/>
  <c r="W16" i="42"/>
  <c r="X16" i="42" s="1"/>
  <c r="V16" i="42"/>
  <c r="U16" i="42"/>
  <c r="T16" i="42"/>
  <c r="J16" i="42"/>
  <c r="Y15" i="42"/>
  <c r="W15" i="42"/>
  <c r="X15" i="42" s="1"/>
  <c r="V15" i="42"/>
  <c r="U15" i="42"/>
  <c r="T15" i="42"/>
  <c r="J15" i="42"/>
  <c r="Y14" i="42"/>
  <c r="W14" i="42"/>
  <c r="X14" i="42" s="1"/>
  <c r="V14" i="42"/>
  <c r="U14" i="42"/>
  <c r="T14" i="42"/>
  <c r="J14" i="42"/>
  <c r="Y13" i="42"/>
  <c r="W13" i="42"/>
  <c r="V13" i="42"/>
  <c r="U13" i="42"/>
  <c r="T13" i="42"/>
  <c r="J13" i="42"/>
  <c r="Y12" i="42"/>
  <c r="W12" i="42"/>
  <c r="V12" i="42"/>
  <c r="U12" i="42"/>
  <c r="T12" i="42"/>
  <c r="J12" i="42"/>
  <c r="Y11" i="42"/>
  <c r="W11" i="42"/>
  <c r="X11" i="42" s="1"/>
  <c r="V11" i="42"/>
  <c r="U11" i="42"/>
  <c r="T11" i="42"/>
  <c r="J11" i="42"/>
  <c r="Y10" i="42"/>
  <c r="W10" i="42"/>
  <c r="X10" i="42" s="1"/>
  <c r="V10" i="42"/>
  <c r="U10" i="42"/>
  <c r="T10" i="42"/>
  <c r="J10" i="42"/>
  <c r="Y9" i="42"/>
  <c r="W9" i="42"/>
  <c r="X9" i="42" s="1"/>
  <c r="V9" i="42"/>
  <c r="U9" i="42"/>
  <c r="T9" i="42"/>
  <c r="J9" i="42"/>
  <c r="Y8" i="42"/>
  <c r="W8" i="42"/>
  <c r="X8" i="42" s="1"/>
  <c r="V8" i="42"/>
  <c r="U8" i="42"/>
  <c r="T8" i="42"/>
  <c r="J8" i="42"/>
  <c r="Y7" i="42"/>
  <c r="W7" i="42"/>
  <c r="X7" i="42" s="1"/>
  <c r="V7" i="42"/>
  <c r="U7" i="42"/>
  <c r="T7" i="42"/>
  <c r="J7" i="42"/>
  <c r="Y6" i="42"/>
  <c r="W6" i="42"/>
  <c r="X6" i="42" s="1"/>
  <c r="V6" i="42"/>
  <c r="U6" i="42"/>
  <c r="T6" i="42"/>
  <c r="J6" i="42"/>
  <c r="Y5" i="42"/>
  <c r="W5" i="42"/>
  <c r="X5" i="42" s="1"/>
  <c r="V5" i="42"/>
  <c r="U5" i="42"/>
  <c r="T5" i="42"/>
  <c r="J5" i="42"/>
  <c r="Y4" i="42"/>
  <c r="W4" i="42"/>
  <c r="X4" i="42" s="1"/>
  <c r="V4" i="42"/>
  <c r="U4" i="42"/>
  <c r="J4" i="42"/>
  <c r="Y3" i="42"/>
  <c r="W3" i="42"/>
  <c r="V3" i="42"/>
  <c r="U3" i="42"/>
  <c r="T3" i="42"/>
  <c r="J3" i="42"/>
  <c r="AE101" i="47" l="1"/>
  <c r="AE100" i="47"/>
  <c r="AE102" i="47"/>
  <c r="AE103" i="47"/>
  <c r="AE90" i="50"/>
  <c r="T226" i="42"/>
  <c r="W246" i="42"/>
  <c r="U243" i="42"/>
  <c r="W243" i="42"/>
  <c r="V243" i="42"/>
  <c r="T255" i="42"/>
  <c r="Y264" i="42"/>
  <c r="Y282" i="42"/>
  <c r="V282" i="42"/>
  <c r="T265" i="42"/>
  <c r="U226" i="42"/>
  <c r="I242" i="42"/>
  <c r="U265" i="42"/>
  <c r="W241" i="42"/>
  <c r="J282" i="42"/>
  <c r="U271" i="42"/>
  <c r="U282" i="42"/>
  <c r="Y291" i="42"/>
  <c r="V250" i="42"/>
  <c r="U234" i="42"/>
  <c r="W251" i="42"/>
  <c r="X132" i="42"/>
  <c r="V290" i="42"/>
  <c r="W282" i="42"/>
  <c r="W250" i="42"/>
  <c r="T290" i="42"/>
  <c r="Y250" i="42"/>
  <c r="J228" i="42"/>
  <c r="U290" i="42"/>
  <c r="Y235" i="42"/>
  <c r="T283" i="42"/>
  <c r="T285" i="42"/>
  <c r="W290" i="42"/>
  <c r="T240" i="42"/>
  <c r="U292" i="42"/>
  <c r="U240" i="42"/>
  <c r="V292" i="42"/>
  <c r="T292" i="42"/>
  <c r="V240" i="42"/>
  <c r="Y270" i="42"/>
  <c r="J286" i="42"/>
  <c r="J269" i="42"/>
  <c r="J272" i="42"/>
  <c r="T248" i="42"/>
  <c r="V265" i="42"/>
  <c r="V266" i="42"/>
  <c r="V247" i="42"/>
  <c r="V248" i="42"/>
  <c r="V249" i="42"/>
  <c r="Y243" i="42"/>
  <c r="Y284" i="42"/>
  <c r="Y240" i="42"/>
  <c r="V271" i="42"/>
  <c r="I235" i="42"/>
  <c r="I233" i="42"/>
  <c r="I275" i="42"/>
  <c r="I226" i="42"/>
  <c r="I277" i="42"/>
  <c r="I229" i="42"/>
  <c r="I276" i="42"/>
  <c r="I234" i="42"/>
  <c r="I274" i="42"/>
  <c r="I228" i="42"/>
  <c r="I232" i="42"/>
  <c r="I227" i="42"/>
  <c r="F251" i="42"/>
  <c r="Y272" i="42"/>
  <c r="W237" i="42"/>
  <c r="W240" i="42"/>
  <c r="X13" i="42"/>
  <c r="J287" i="42"/>
  <c r="X80" i="42"/>
  <c r="V284" i="42"/>
  <c r="V283" i="42"/>
  <c r="W283" i="42"/>
  <c r="W284" i="42"/>
  <c r="U248" i="42"/>
  <c r="X60" i="42"/>
  <c r="W266" i="42"/>
  <c r="W265" i="42"/>
  <c r="T239" i="42"/>
  <c r="U283" i="42"/>
  <c r="U239" i="42"/>
  <c r="T242" i="42"/>
  <c r="T245" i="42"/>
  <c r="T244" i="42"/>
  <c r="W247" i="42"/>
  <c r="W248" i="42"/>
  <c r="W249" i="42"/>
  <c r="J281" i="42"/>
  <c r="V239" i="42"/>
  <c r="V242" i="42"/>
  <c r="V245" i="42"/>
  <c r="V226" i="42"/>
  <c r="J262" i="42"/>
  <c r="W245" i="42"/>
  <c r="W271" i="42"/>
  <c r="X90" i="42"/>
  <c r="Y277" i="42"/>
  <c r="J248" i="42"/>
  <c r="X77" i="42"/>
  <c r="W285" i="42"/>
  <c r="Y261" i="42"/>
  <c r="Y260" i="42"/>
  <c r="U242" i="42"/>
  <c r="U245" i="42"/>
  <c r="U244" i="42"/>
  <c r="X38" i="42"/>
  <c r="I250" i="42"/>
  <c r="I248" i="42"/>
  <c r="Y245" i="42"/>
  <c r="T270" i="42"/>
  <c r="I239" i="42"/>
  <c r="J288" i="42"/>
  <c r="V233" i="42"/>
  <c r="U277" i="42"/>
  <c r="T243" i="42"/>
  <c r="T262" i="42"/>
  <c r="T260" i="42"/>
  <c r="T234" i="42"/>
  <c r="U262" i="42"/>
  <c r="U259" i="42"/>
  <c r="U260" i="42"/>
  <c r="T276" i="42"/>
  <c r="T274" i="42"/>
  <c r="T275" i="42"/>
  <c r="X128" i="42"/>
  <c r="X61" i="42"/>
  <c r="U276" i="42"/>
  <c r="U275" i="42"/>
  <c r="U274" i="42"/>
  <c r="V285" i="42"/>
  <c r="V277" i="42"/>
  <c r="V274" i="42"/>
  <c r="V276" i="42"/>
  <c r="V275" i="42"/>
  <c r="J238" i="42"/>
  <c r="Y290" i="42"/>
  <c r="Y292" i="42"/>
  <c r="Y289" i="42"/>
  <c r="X110" i="42"/>
  <c r="W227" i="42"/>
  <c r="T249" i="42"/>
  <c r="Y227" i="42"/>
  <c r="U261" i="42"/>
  <c r="V235" i="42"/>
  <c r="V227" i="42"/>
  <c r="V232" i="42"/>
  <c r="V257" i="42"/>
  <c r="V254" i="42"/>
  <c r="V288" i="42"/>
  <c r="W254" i="42"/>
  <c r="Y249" i="42"/>
  <c r="T271" i="42"/>
  <c r="T282" i="42"/>
  <c r="J271" i="42"/>
  <c r="T277" i="42"/>
  <c r="J242" i="42"/>
  <c r="U227" i="42"/>
  <c r="U232" i="42"/>
  <c r="U257" i="42"/>
  <c r="J285" i="42"/>
  <c r="V234" i="42"/>
  <c r="W277" i="42"/>
  <c r="W274" i="42"/>
  <c r="W276" i="42"/>
  <c r="W275" i="42"/>
  <c r="Y256" i="42"/>
  <c r="Y255" i="42"/>
  <c r="Y234" i="42"/>
  <c r="Y232" i="42"/>
  <c r="Y257" i="42"/>
  <c r="Y228" i="42"/>
  <c r="Y237" i="42"/>
  <c r="Y276" i="42"/>
  <c r="Y274" i="42"/>
  <c r="J237" i="42"/>
  <c r="J240" i="42"/>
  <c r="J239" i="42"/>
  <c r="U249" i="42"/>
  <c r="U254" i="42"/>
  <c r="W289" i="42"/>
  <c r="J264" i="42"/>
  <c r="T250" i="42"/>
  <c r="Y254" i="42"/>
  <c r="W229" i="42"/>
  <c r="W255" i="42"/>
  <c r="W233" i="42"/>
  <c r="W226" i="42"/>
  <c r="X3" i="42"/>
  <c r="W235" i="42"/>
  <c r="W256" i="42"/>
  <c r="W234" i="42"/>
  <c r="W232" i="42"/>
  <c r="W257" i="42"/>
  <c r="W228" i="42"/>
  <c r="Y248" i="42"/>
  <c r="Y247" i="42"/>
  <c r="X34" i="42"/>
  <c r="J261" i="42"/>
  <c r="J260" i="42"/>
  <c r="J259" i="42"/>
  <c r="Y275" i="42"/>
  <c r="J255" i="42"/>
  <c r="J234" i="42"/>
  <c r="J226" i="42"/>
  <c r="J229" i="42"/>
  <c r="T235" i="42"/>
  <c r="T257" i="42"/>
  <c r="T227" i="42"/>
  <c r="T232" i="42"/>
  <c r="X43" i="42"/>
  <c r="W262" i="42"/>
  <c r="W261" i="42"/>
  <c r="T259" i="42"/>
  <c r="U285" i="42"/>
  <c r="V259" i="42"/>
  <c r="V262" i="42"/>
  <c r="V260" i="42"/>
  <c r="U269" i="42"/>
  <c r="J245" i="42"/>
  <c r="Y266" i="42"/>
  <c r="W260" i="42"/>
  <c r="J275" i="42"/>
  <c r="J276" i="42"/>
  <c r="J277" i="42"/>
  <c r="J289" i="42"/>
  <c r="J290" i="42"/>
  <c r="J292" i="42"/>
  <c r="J291" i="42"/>
  <c r="T254" i="42"/>
  <c r="T261" i="42"/>
  <c r="T291" i="42"/>
  <c r="T289" i="42"/>
  <c r="J256" i="42"/>
  <c r="U289" i="42"/>
  <c r="J232" i="42"/>
  <c r="V261" i="42"/>
  <c r="V289" i="42"/>
  <c r="J233" i="42"/>
  <c r="J274" i="42"/>
  <c r="W288" i="42"/>
  <c r="X69" i="42"/>
  <c r="X144" i="42"/>
  <c r="X148" i="42"/>
  <c r="Y288" i="42"/>
  <c r="Y285" i="42"/>
  <c r="Y242" i="42"/>
  <c r="U250" i="42"/>
  <c r="J266" i="42"/>
  <c r="T238" i="42"/>
  <c r="T284" i="42"/>
  <c r="T288" i="42"/>
  <c r="T287" i="42"/>
  <c r="T286" i="42"/>
  <c r="U238" i="42"/>
  <c r="U286" i="42"/>
  <c r="U288" i="42"/>
  <c r="U287" i="42"/>
  <c r="X104" i="42"/>
  <c r="X120" i="42"/>
  <c r="V238" i="42"/>
  <c r="V281" i="42"/>
  <c r="J267" i="42"/>
  <c r="J265" i="42"/>
  <c r="V286" i="42"/>
  <c r="V287" i="42"/>
  <c r="T272" i="42"/>
  <c r="Y259" i="42"/>
  <c r="W281" i="42"/>
  <c r="T266" i="42"/>
  <c r="T264" i="42"/>
  <c r="T267" i="42"/>
  <c r="W287" i="42"/>
  <c r="W286" i="42"/>
  <c r="X48" i="42"/>
  <c r="U266" i="42"/>
  <c r="U264" i="42"/>
  <c r="U267" i="42"/>
  <c r="X68" i="42"/>
  <c r="X147" i="42"/>
  <c r="T237" i="42"/>
  <c r="W244" i="42"/>
  <c r="W242" i="42"/>
  <c r="Y283" i="42"/>
  <c r="Y281" i="42"/>
  <c r="V264" i="42"/>
  <c r="V267" i="42"/>
  <c r="Y287" i="42"/>
  <c r="Y286" i="42"/>
  <c r="W272" i="42"/>
  <c r="W269" i="42"/>
  <c r="W270" i="42"/>
  <c r="W236" i="42"/>
  <c r="U237" i="42"/>
  <c r="T269" i="42"/>
  <c r="X33" i="42"/>
  <c r="J247" i="42"/>
  <c r="J250" i="42"/>
  <c r="J249" i="42"/>
  <c r="J284" i="42"/>
  <c r="J283" i="42"/>
  <c r="W264" i="42"/>
  <c r="W267" i="42"/>
  <c r="X78" i="42"/>
  <c r="I247" i="42"/>
  <c r="I249" i="42"/>
  <c r="V237" i="42"/>
  <c r="W278" i="42"/>
  <c r="T281" i="42"/>
  <c r="J270" i="42"/>
  <c r="W292" i="42"/>
  <c r="U284" i="42"/>
  <c r="W230" i="42"/>
  <c r="U272" i="42"/>
  <c r="U270" i="42"/>
  <c r="V272" i="42"/>
  <c r="V270" i="42"/>
  <c r="I240" i="42"/>
  <c r="U235" i="42"/>
  <c r="Y244" i="42"/>
  <c r="T247" i="42"/>
  <c r="Y269" i="42"/>
  <c r="Y271" i="42"/>
  <c r="Y262" i="42"/>
  <c r="V269" i="42"/>
  <c r="U281" i="42"/>
  <c r="J243" i="42"/>
  <c r="U247" i="42"/>
  <c r="Y265" i="42"/>
  <c r="Y267" i="42"/>
  <c r="J254" i="42"/>
  <c r="T233" i="42"/>
  <c r="T256" i="42"/>
  <c r="T229" i="42"/>
  <c r="Y238" i="42"/>
  <c r="Y239" i="42"/>
  <c r="U291" i="42"/>
  <c r="T228" i="42"/>
  <c r="W259" i="42"/>
  <c r="W239" i="42"/>
  <c r="X39" i="42"/>
  <c r="J227" i="42"/>
  <c r="J257" i="42"/>
  <c r="J235" i="42"/>
  <c r="X12" i="42"/>
  <c r="U233" i="42"/>
  <c r="U256" i="42"/>
  <c r="U229" i="42"/>
  <c r="U255" i="42"/>
  <c r="V291" i="42"/>
  <c r="I243" i="42"/>
  <c r="I244" i="42"/>
  <c r="U228" i="42"/>
  <c r="V256" i="42"/>
  <c r="V229" i="42"/>
  <c r="V255" i="42"/>
  <c r="W291" i="42"/>
  <c r="V228" i="42"/>
  <c r="W238" i="42"/>
  <c r="Y229" i="42"/>
  <c r="I237" i="42"/>
  <c r="Y226" i="42"/>
  <c r="Y233" i="42"/>
  <c r="I238" i="42"/>
  <c r="J244" i="42"/>
  <c r="V244" i="42"/>
  <c r="AE96" i="50" l="1"/>
  <c r="AE95" i="50"/>
  <c r="AE94" i="50"/>
  <c r="AE93" i="50"/>
  <c r="X276" i="42"/>
  <c r="X290" i="42"/>
  <c r="X262" i="42"/>
  <c r="X261" i="42"/>
  <c r="X259" i="42"/>
  <c r="X260" i="42"/>
  <c r="X269" i="42"/>
  <c r="X272" i="42"/>
  <c r="X271" i="42"/>
  <c r="X270" i="42"/>
  <c r="X256" i="42"/>
  <c r="X257" i="42"/>
  <c r="X254" i="42"/>
  <c r="X255" i="42"/>
  <c r="X287" i="42"/>
  <c r="X286" i="42"/>
  <c r="X288" i="42"/>
  <c r="X285" i="42"/>
  <c r="X283" i="42"/>
  <c r="X281" i="42"/>
  <c r="X284" i="42"/>
  <c r="X291" i="42"/>
  <c r="X275" i="42"/>
  <c r="X282" i="42"/>
  <c r="X274" i="42"/>
  <c r="X277" i="42"/>
  <c r="X266" i="42"/>
  <c r="X264" i="42"/>
  <c r="X265" i="42"/>
  <c r="X267" i="42"/>
  <c r="X289" i="42"/>
  <c r="X292" i="42"/>
  <c r="M40" i="16" l="1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B2" i="16"/>
  <c r="B1" i="16"/>
  <c r="W15" i="16" l="1"/>
  <c r="T17" i="16"/>
  <c r="W9" i="16"/>
  <c r="T21" i="16"/>
  <c r="X35" i="16"/>
  <c r="AC22" i="16"/>
  <c r="Z29" i="16"/>
  <c r="AC16" i="16"/>
  <c r="T19" i="16"/>
  <c r="V9" i="16"/>
  <c r="W35" i="16"/>
  <c r="AD10" i="16"/>
  <c r="AD25" i="16"/>
  <c r="AC14" i="16"/>
  <c r="Y29" i="16"/>
  <c r="V33" i="16"/>
  <c r="AD14" i="16"/>
  <c r="AD27" i="16"/>
  <c r="AD16" i="16"/>
  <c r="AD6" i="16"/>
  <c r="U9" i="16"/>
  <c r="AD20" i="16"/>
  <c r="AC10" i="16"/>
  <c r="AD22" i="16"/>
  <c r="T13" i="16"/>
  <c r="AC27" i="16"/>
  <c r="W39" i="16"/>
  <c r="Y35" i="16"/>
  <c r="AD29" i="16"/>
  <c r="T24" i="16"/>
  <c r="V37" i="16"/>
  <c r="T11" i="16"/>
  <c r="AA25" i="16"/>
  <c r="X31" i="16"/>
  <c r="W37" i="16"/>
  <c r="AA18" i="16"/>
  <c r="AB25" i="16"/>
  <c r="Y31" i="16"/>
  <c r="X37" i="16"/>
  <c r="AD12" i="16"/>
  <c r="AB18" i="16"/>
  <c r="AC25" i="16"/>
  <c r="Z31" i="16"/>
  <c r="AD38" i="16"/>
  <c r="T7" i="16"/>
  <c r="X13" i="16"/>
  <c r="T33" i="16"/>
  <c r="T39" i="16"/>
  <c r="X7" i="16"/>
  <c r="AC20" i="16"/>
  <c r="Y27" i="16"/>
  <c r="U33" i="16"/>
  <c r="AA31" i="16"/>
  <c r="AC33" i="16"/>
  <c r="Z35" i="16"/>
  <c r="Y37" i="16"/>
  <c r="U39" i="16"/>
  <c r="Y7" i="16"/>
  <c r="X9" i="16"/>
  <c r="U11" i="16"/>
  <c r="Y13" i="16"/>
  <c r="X15" i="16"/>
  <c r="U17" i="16"/>
  <c r="X19" i="16"/>
  <c r="U21" i="16"/>
  <c r="U24" i="16"/>
  <c r="T28" i="16"/>
  <c r="T30" i="16"/>
  <c r="AB31" i="16"/>
  <c r="AD33" i="16"/>
  <c r="AA35" i="16"/>
  <c r="Z37" i="16"/>
  <c r="V39" i="16"/>
  <c r="Z7" i="16"/>
  <c r="Y9" i="16"/>
  <c r="V11" i="16"/>
  <c r="Z13" i="16"/>
  <c r="Y15" i="16"/>
  <c r="V17" i="16"/>
  <c r="Y19" i="16"/>
  <c r="Y21" i="16"/>
  <c r="V24" i="16"/>
  <c r="W26" i="16"/>
  <c r="U28" i="16"/>
  <c r="U30" i="16"/>
  <c r="AC31" i="16"/>
  <c r="AB35" i="16"/>
  <c r="AA37" i="16"/>
  <c r="AC39" i="16"/>
  <c r="AA7" i="16"/>
  <c r="Z9" i="16"/>
  <c r="W11" i="16"/>
  <c r="AA13" i="16"/>
  <c r="Z15" i="16"/>
  <c r="W17" i="16"/>
  <c r="Z19" i="16"/>
  <c r="Z21" i="16"/>
  <c r="W24" i="16"/>
  <c r="X26" i="16"/>
  <c r="V28" i="16"/>
  <c r="V30" i="16"/>
  <c r="T34" i="16"/>
  <c r="AB37" i="16"/>
  <c r="AD39" i="16"/>
  <c r="AA9" i="16"/>
  <c r="AA11" i="16"/>
  <c r="AB13" i="16"/>
  <c r="AA15" i="16"/>
  <c r="X17" i="16"/>
  <c r="AA19" i="16"/>
  <c r="AA21" i="16"/>
  <c r="X24" i="16"/>
  <c r="Y26" i="16"/>
  <c r="W28" i="16"/>
  <c r="W30" i="16"/>
  <c r="W32" i="16"/>
  <c r="U34" i="16"/>
  <c r="T36" i="16"/>
  <c r="AC37" i="16"/>
  <c r="T6" i="16"/>
  <c r="T8" i="16"/>
  <c r="AB9" i="16"/>
  <c r="AC13" i="16"/>
  <c r="AB15" i="16"/>
  <c r="AB19" i="16"/>
  <c r="AB21" i="16"/>
  <c r="Z26" i="16"/>
  <c r="AA28" i="16"/>
  <c r="X30" i="16"/>
  <c r="X32" i="16"/>
  <c r="V34" i="16"/>
  <c r="U36" i="16"/>
  <c r="T40" i="16"/>
  <c r="U6" i="16"/>
  <c r="U8" i="16"/>
  <c r="AC9" i="16"/>
  <c r="T12" i="16"/>
  <c r="AC15" i="16"/>
  <c r="T18" i="16"/>
  <c r="AC19" i="16"/>
  <c r="AC21" i="16"/>
  <c r="T25" i="16"/>
  <c r="AA26" i="16"/>
  <c r="AB28" i="16"/>
  <c r="AB30" i="16"/>
  <c r="Y32" i="16"/>
  <c r="W34" i="16"/>
  <c r="V36" i="16"/>
  <c r="T38" i="16"/>
  <c r="U40" i="16"/>
  <c r="V6" i="16"/>
  <c r="V8" i="16"/>
  <c r="AD9" i="16"/>
  <c r="U12" i="16"/>
  <c r="T14" i="16"/>
  <c r="AD15" i="16"/>
  <c r="U18" i="16"/>
  <c r="AD19" i="16"/>
  <c r="AD21" i="16"/>
  <c r="U25" i="16"/>
  <c r="AB26" i="16"/>
  <c r="AC28" i="16"/>
  <c r="AC30" i="16"/>
  <c r="Z32" i="16"/>
  <c r="X34" i="16"/>
  <c r="W36" i="16"/>
  <c r="U38" i="16"/>
  <c r="V40" i="16"/>
  <c r="W6" i="16"/>
  <c r="W8" i="16"/>
  <c r="V12" i="16"/>
  <c r="U14" i="16"/>
  <c r="V18" i="16"/>
  <c r="V25" i="16"/>
  <c r="AC26" i="16"/>
  <c r="AD28" i="16"/>
  <c r="AA32" i="16"/>
  <c r="Y34" i="16"/>
  <c r="X36" i="16"/>
  <c r="Y38" i="16"/>
  <c r="W40" i="16"/>
  <c r="X6" i="16"/>
  <c r="X8" i="16"/>
  <c r="Y10" i="16"/>
  <c r="W12" i="16"/>
  <c r="V14" i="16"/>
  <c r="V16" i="16"/>
  <c r="W18" i="16"/>
  <c r="V20" i="16"/>
  <c r="V22" i="16"/>
  <c r="W25" i="16"/>
  <c r="AD26" i="16"/>
  <c r="T31" i="16"/>
  <c r="AB32" i="16"/>
  <c r="AC34" i="16"/>
  <c r="AB36" i="16"/>
  <c r="Z38" i="16"/>
  <c r="X40" i="16"/>
  <c r="Y6" i="16"/>
  <c r="Y8" i="16"/>
  <c r="Z10" i="16"/>
  <c r="X12" i="16"/>
  <c r="W14" i="16"/>
  <c r="Z16" i="16"/>
  <c r="X18" i="16"/>
  <c r="W20" i="16"/>
  <c r="W22" i="16"/>
  <c r="X25" i="16"/>
  <c r="V29" i="16"/>
  <c r="U31" i="16"/>
  <c r="AC32" i="16"/>
  <c r="AD34" i="16"/>
  <c r="AC36" i="16"/>
  <c r="AA38" i="16"/>
  <c r="Y40" i="16"/>
  <c r="AB6" i="16"/>
  <c r="Z8" i="16"/>
  <c r="AA10" i="16"/>
  <c r="Y12" i="16"/>
  <c r="X14" i="16"/>
  <c r="AA16" i="16"/>
  <c r="Y18" i="16"/>
  <c r="X20" i="16"/>
  <c r="X22" i="16"/>
  <c r="Y25" i="16"/>
  <c r="T27" i="16"/>
  <c r="W29" i="16"/>
  <c r="V31" i="16"/>
  <c r="AD32" i="16"/>
  <c r="AD36" i="16"/>
  <c r="AB38" i="16"/>
  <c r="Z40" i="16"/>
  <c r="AC6" i="16"/>
  <c r="AD8" i="16"/>
  <c r="AB10" i="16"/>
  <c r="Z12" i="16"/>
  <c r="Y14" i="16"/>
  <c r="AB16" i="16"/>
  <c r="Z18" i="16"/>
  <c r="Y20" i="16"/>
  <c r="AB22" i="16"/>
  <c r="Z25" i="16"/>
  <c r="X27" i="16"/>
  <c r="X29" i="16"/>
  <c r="W31" i="16"/>
  <c r="V35" i="16"/>
  <c r="AC38" i="16"/>
  <c r="AA40" i="16"/>
  <c r="U7" i="16"/>
  <c r="AA8" i="16"/>
  <c r="AB11" i="16"/>
  <c r="U13" i="16"/>
  <c r="Z14" i="16"/>
  <c r="Y17" i="16"/>
  <c r="U19" i="16"/>
  <c r="Z20" i="16"/>
  <c r="Y24" i="16"/>
  <c r="Z27" i="16"/>
  <c r="Y30" i="16"/>
  <c r="AD31" i="16"/>
  <c r="Z33" i="16"/>
  <c r="Y36" i="16"/>
  <c r="AD37" i="16"/>
  <c r="AD40" i="16"/>
  <c r="AA39" i="16"/>
  <c r="X38" i="16"/>
  <c r="U37" i="16"/>
  <c r="AB34" i="16"/>
  <c r="Y33" i="16"/>
  <c r="V32" i="16"/>
  <c r="AC29" i="16"/>
  <c r="Z28" i="16"/>
  <c r="W27" i="16"/>
  <c r="T26" i="16"/>
  <c r="AD24" i="16"/>
  <c r="AA22" i="16"/>
  <c r="X21" i="16"/>
  <c r="U20" i="16"/>
  <c r="AB17" i="16"/>
  <c r="Y16" i="16"/>
  <c r="V15" i="16"/>
  <c r="AC12" i="16"/>
  <c r="Z11" i="16"/>
  <c r="W10" i="16"/>
  <c r="T9" i="16"/>
  <c r="AD7" i="16"/>
  <c r="AA6" i="16"/>
  <c r="AC40" i="16"/>
  <c r="Z39" i="16"/>
  <c r="W38" i="16"/>
  <c r="T37" i="16"/>
  <c r="AD35" i="16"/>
  <c r="AA34" i="16"/>
  <c r="X33" i="16"/>
  <c r="U32" i="16"/>
  <c r="AB29" i="16"/>
  <c r="Y28" i="16"/>
  <c r="V27" i="16"/>
  <c r="AC24" i="16"/>
  <c r="Z22" i="16"/>
  <c r="W21" i="16"/>
  <c r="T20" i="16"/>
  <c r="AD18" i="16"/>
  <c r="AA17" i="16"/>
  <c r="X16" i="16"/>
  <c r="U15" i="16"/>
  <c r="AB12" i="16"/>
  <c r="Y11" i="16"/>
  <c r="V10" i="16"/>
  <c r="AC7" i="16"/>
  <c r="Z6" i="16"/>
  <c r="AB40" i="16"/>
  <c r="Y39" i="16"/>
  <c r="V38" i="16"/>
  <c r="AC35" i="16"/>
  <c r="Z34" i="16"/>
  <c r="W33" i="16"/>
  <c r="T32" i="16"/>
  <c r="AD30" i="16"/>
  <c r="AA29" i="16"/>
  <c r="X28" i="16"/>
  <c r="U27" i="16"/>
  <c r="AB24" i="16"/>
  <c r="Y22" i="16"/>
  <c r="V21" i="16"/>
  <c r="AC18" i="16"/>
  <c r="Z17" i="16"/>
  <c r="W16" i="16"/>
  <c r="T15" i="16"/>
  <c r="AD13" i="16"/>
  <c r="AA12" i="16"/>
  <c r="X11" i="16"/>
  <c r="U10" i="16"/>
  <c r="AB7" i="16"/>
  <c r="V7" i="16"/>
  <c r="AB8" i="16"/>
  <c r="T10" i="16"/>
  <c r="AC11" i="16"/>
  <c r="V13" i="16"/>
  <c r="AA14" i="16"/>
  <c r="T16" i="16"/>
  <c r="AC17" i="16"/>
  <c r="V19" i="16"/>
  <c r="AA20" i="16"/>
  <c r="T22" i="16"/>
  <c r="Z24" i="16"/>
  <c r="U26" i="16"/>
  <c r="AA27" i="16"/>
  <c r="T29" i="16"/>
  <c r="Z30" i="16"/>
  <c r="AA33" i="16"/>
  <c r="T35" i="16"/>
  <c r="Z36" i="16"/>
  <c r="X39" i="16"/>
  <c r="W7" i="16"/>
  <c r="AC8" i="16"/>
  <c r="X10" i="16"/>
  <c r="AD11" i="16"/>
  <c r="W13" i="16"/>
  <c r="AB14" i="16"/>
  <c r="U16" i="16"/>
  <c r="AD17" i="16"/>
  <c r="W19" i="16"/>
  <c r="AB20" i="16"/>
  <c r="U22" i="16"/>
  <c r="AA24" i="16"/>
  <c r="V26" i="16"/>
  <c r="AB27" i="16"/>
  <c r="U29" i="16"/>
  <c r="AA30" i="16"/>
  <c r="AB33" i="16"/>
  <c r="U35" i="16"/>
  <c r="AA36" i="16"/>
  <c r="AB39" i="16"/>
  <c r="AE15" i="16" l="1"/>
  <c r="AE36" i="16"/>
  <c r="AE18" i="16"/>
  <c r="AE19" i="16"/>
  <c r="AE26" i="16"/>
  <c r="AE8" i="16"/>
  <c r="AE21" i="16"/>
  <c r="AE25" i="16"/>
  <c r="AE6" i="16"/>
  <c r="AE34" i="16"/>
  <c r="AE37" i="16"/>
  <c r="AE24" i="16"/>
  <c r="AE22" i="16"/>
  <c r="AE13" i="16"/>
  <c r="AE29" i="16"/>
  <c r="AE17" i="16"/>
  <c r="AE32" i="16"/>
  <c r="AE14" i="16"/>
  <c r="AE11" i="16"/>
  <c r="AE7" i="16"/>
  <c r="AA44" i="16"/>
  <c r="AA43" i="16"/>
  <c r="AE39" i="16"/>
  <c r="AE33" i="16"/>
  <c r="AE27" i="16"/>
  <c r="AE12" i="16"/>
  <c r="AE20" i="16"/>
  <c r="AE35" i="16"/>
  <c r="AE40" i="16"/>
  <c r="AE28" i="16"/>
  <c r="AE16" i="16"/>
  <c r="AE10" i="16"/>
  <c r="AE30" i="16"/>
  <c r="AE38" i="16"/>
  <c r="AE31" i="16"/>
  <c r="AE9" i="16"/>
  <c r="Y46" i="16"/>
  <c r="Y44" i="16"/>
  <c r="U46" i="16"/>
  <c r="T46" i="16"/>
  <c r="AB44" i="16"/>
  <c r="AD43" i="16"/>
  <c r="U45" i="16"/>
  <c r="T45" i="16"/>
  <c r="AD45" i="16"/>
  <c r="U44" i="16"/>
  <c r="X46" i="16"/>
  <c r="AD44" i="16"/>
  <c r="X43" i="16"/>
  <c r="W46" i="16"/>
  <c r="T43" i="16"/>
  <c r="V44" i="16"/>
  <c r="X44" i="16"/>
  <c r="X45" i="16"/>
  <c r="Y43" i="16"/>
  <c r="W43" i="16"/>
  <c r="AC43" i="16"/>
  <c r="T44" i="16"/>
  <c r="W44" i="16"/>
  <c r="AD46" i="16"/>
  <c r="AB45" i="16"/>
  <c r="AC44" i="16"/>
  <c r="V46" i="16"/>
  <c r="V45" i="16"/>
  <c r="V43" i="16"/>
  <c r="AA46" i="16"/>
  <c r="AA45" i="16"/>
  <c r="AB46" i="16"/>
  <c r="Z46" i="16"/>
  <c r="Z44" i="16"/>
  <c r="Z45" i="16"/>
  <c r="Z43" i="16"/>
  <c r="AC45" i="16"/>
  <c r="AB43" i="16"/>
  <c r="AC46" i="16"/>
  <c r="Y45" i="16"/>
  <c r="U43" i="16"/>
  <c r="W45" i="16"/>
  <c r="AE41" i="16" l="1"/>
  <c r="AE46" i="16" l="1"/>
  <c r="AE45" i="16"/>
</calcChain>
</file>

<file path=xl/sharedStrings.xml><?xml version="1.0" encoding="utf-8"?>
<sst xmlns="http://schemas.openxmlformats.org/spreadsheetml/2006/main" count="1548" uniqueCount="393">
  <si>
    <t>No.</t>
    <phoneticPr fontId="14"/>
  </si>
  <si>
    <t>date</t>
    <phoneticPr fontId="14"/>
  </si>
  <si>
    <t>weather durting start time
of sampring</t>
    <phoneticPr fontId="14"/>
  </si>
  <si>
    <r>
      <rPr>
        <b/>
        <sz val="11"/>
        <color theme="1"/>
        <rFont val="ＭＳ Ｐゴシック"/>
        <family val="3"/>
        <charset val="128"/>
      </rPr>
      <t>捕集面積</t>
    </r>
    <rPh sb="0" eb="2">
      <t>ホシュウ</t>
    </rPh>
    <rPh sb="2" eb="4">
      <t>メンセキ</t>
    </rPh>
    <phoneticPr fontId="11"/>
  </si>
  <si>
    <t>cm2</t>
  </si>
  <si>
    <r>
      <rPr>
        <b/>
        <sz val="11"/>
        <color theme="1"/>
        <rFont val="ＭＳ Ｐゴシック"/>
        <family val="3"/>
        <charset val="128"/>
      </rPr>
      <t>くりぬき面積</t>
    </r>
    <rPh sb="4" eb="6">
      <t>メンセキ</t>
    </rPh>
    <phoneticPr fontId="11"/>
  </si>
  <si>
    <t>No Data</t>
    <phoneticPr fontId="14"/>
  </si>
  <si>
    <t>09/01/2024</t>
    <phoneticPr fontId="13"/>
  </si>
  <si>
    <t>14/01/2024</t>
    <phoneticPr fontId="13"/>
  </si>
  <si>
    <t>19/01/2024</t>
    <phoneticPr fontId="13"/>
  </si>
  <si>
    <t>24/01/2024</t>
    <phoneticPr fontId="13"/>
  </si>
  <si>
    <t>29/01/2024</t>
    <phoneticPr fontId="13"/>
  </si>
  <si>
    <t>05/02/2024</t>
    <phoneticPr fontId="13"/>
  </si>
  <si>
    <t>12/05/2024</t>
    <phoneticPr fontId="13"/>
  </si>
  <si>
    <t>18/05/2024</t>
    <phoneticPr fontId="13"/>
  </si>
  <si>
    <t>25/05/2024</t>
    <phoneticPr fontId="13"/>
  </si>
  <si>
    <t>05/03/2024</t>
    <phoneticPr fontId="13"/>
  </si>
  <si>
    <t>10/03/2024</t>
    <phoneticPr fontId="13"/>
  </si>
  <si>
    <t>18/03/2024</t>
    <phoneticPr fontId="13"/>
  </si>
  <si>
    <t>25/03/2024</t>
    <phoneticPr fontId="13"/>
  </si>
  <si>
    <t>02/04/2024</t>
    <phoneticPr fontId="13"/>
  </si>
  <si>
    <t>16/04/2024</t>
    <phoneticPr fontId="13"/>
  </si>
  <si>
    <t>24/04/2024</t>
    <phoneticPr fontId="13"/>
  </si>
  <si>
    <t>02/01/2024</t>
    <phoneticPr fontId="14"/>
  </si>
  <si>
    <r>
      <rPr>
        <sz val="11"/>
        <color theme="1"/>
        <rFont val="ＭＳ Ｐゴシック"/>
        <family val="3"/>
        <charset val="128"/>
      </rPr>
      <t>陰イオン</t>
    </r>
    <r>
      <rPr>
        <sz val="11"/>
        <color theme="1"/>
        <rFont val="Arial"/>
        <family val="2"/>
      </rPr>
      <t>(mg/L)</t>
    </r>
    <rPh sb="0" eb="1">
      <t>イン</t>
    </rPh>
    <phoneticPr fontId="14"/>
  </si>
  <si>
    <r>
      <rPr>
        <sz val="11"/>
        <color theme="1"/>
        <rFont val="ＭＳ Ｐゴシック"/>
        <family val="3"/>
        <charset val="128"/>
      </rPr>
      <t>陽イオン（</t>
    </r>
    <r>
      <rPr>
        <sz val="11"/>
        <color theme="1"/>
        <rFont val="Arial"/>
        <family val="2"/>
      </rPr>
      <t>mg/L)</t>
    </r>
    <rPh sb="0" eb="1">
      <t>ヨウ</t>
    </rPh>
    <phoneticPr fontId="14"/>
  </si>
  <si>
    <r>
      <rPr>
        <sz val="11"/>
        <color theme="1"/>
        <rFont val="ＭＳ Ｐゴシック"/>
        <family val="3"/>
        <charset val="128"/>
      </rPr>
      <t>陰イオン</t>
    </r>
    <r>
      <rPr>
        <sz val="11"/>
        <color theme="1"/>
        <rFont val="Arial"/>
        <family val="2"/>
      </rPr>
      <t>(µg/m^3)</t>
    </r>
    <rPh sb="0" eb="1">
      <t>イン</t>
    </rPh>
    <phoneticPr fontId="14"/>
  </si>
  <si>
    <r>
      <rPr>
        <sz val="11"/>
        <color theme="1"/>
        <rFont val="ＭＳ Ｐゴシック"/>
        <family val="3"/>
        <charset val="128"/>
      </rPr>
      <t>陽イオン（</t>
    </r>
    <r>
      <rPr>
        <sz val="11"/>
        <color theme="1"/>
        <rFont val="Arial"/>
        <family val="2"/>
      </rPr>
      <t>µg/m^3)</t>
    </r>
    <rPh sb="0" eb="1">
      <t>ヨウ</t>
    </rPh>
    <phoneticPr fontId="14"/>
  </si>
  <si>
    <t>sample name</t>
    <phoneticPr fontId="14"/>
  </si>
  <si>
    <r>
      <rPr>
        <sz val="11"/>
        <rFont val="ＭＳ Ｐゴシック"/>
        <family val="3"/>
        <charset val="128"/>
      </rPr>
      <t xml:space="preserve">積算流量
</t>
    </r>
    <r>
      <rPr>
        <sz val="11"/>
        <rFont val="Arial"/>
        <family val="2"/>
      </rPr>
      <t>(m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  <phoneticPr fontId="13"/>
  </si>
  <si>
    <t>filter</t>
  </si>
  <si>
    <r>
      <rPr>
        <sz val="11"/>
        <color theme="1"/>
        <rFont val="ＭＳ Ｐゴシック"/>
        <family val="3"/>
        <charset val="128"/>
      </rPr>
      <t xml:space="preserve">抽出量
</t>
    </r>
    <r>
      <rPr>
        <sz val="11"/>
        <color theme="1"/>
        <rFont val="Arial"/>
        <family val="2"/>
      </rPr>
      <t>(mL)</t>
    </r>
    <rPh sb="0" eb="2">
      <t>チュウシュツ</t>
    </rPh>
    <rPh sb="2" eb="3">
      <t>リョウ</t>
    </rPh>
    <phoneticPr fontId="14"/>
  </si>
  <si>
    <r>
      <t>Cl</t>
    </r>
    <r>
      <rPr>
        <vertAlign val="superscript"/>
        <sz val="11"/>
        <color theme="1"/>
        <rFont val="Arial"/>
        <family val="2"/>
      </rPr>
      <t>-</t>
    </r>
    <phoneticPr fontId="14"/>
  </si>
  <si>
    <r>
      <t>NO2</t>
    </r>
    <r>
      <rPr>
        <vertAlign val="superscript"/>
        <sz val="11"/>
        <color theme="1"/>
        <rFont val="Arial"/>
        <family val="2"/>
      </rPr>
      <t>-</t>
    </r>
    <phoneticPr fontId="14"/>
  </si>
  <si>
    <r>
      <t>Br</t>
    </r>
    <r>
      <rPr>
        <vertAlign val="superscript"/>
        <sz val="11"/>
        <color theme="1"/>
        <rFont val="Arial"/>
        <family val="2"/>
      </rPr>
      <t>-</t>
    </r>
    <phoneticPr fontId="14"/>
  </si>
  <si>
    <r>
      <t>NO3</t>
    </r>
    <r>
      <rPr>
        <vertAlign val="superscript"/>
        <sz val="11"/>
        <color rgb="FFFF0000"/>
        <rFont val="Arial"/>
        <family val="2"/>
      </rPr>
      <t>-</t>
    </r>
    <phoneticPr fontId="14"/>
  </si>
  <si>
    <r>
      <t>SO4</t>
    </r>
    <r>
      <rPr>
        <vertAlign val="superscript"/>
        <sz val="11"/>
        <color theme="1"/>
        <rFont val="Arial"/>
        <family val="2"/>
      </rPr>
      <t>2-</t>
    </r>
    <phoneticPr fontId="14"/>
  </si>
  <si>
    <t>NO2/NO3</t>
    <phoneticPr fontId="14"/>
  </si>
  <si>
    <t>Li+</t>
    <phoneticPr fontId="14"/>
  </si>
  <si>
    <t>Na+</t>
    <phoneticPr fontId="14"/>
  </si>
  <si>
    <t>NH4+</t>
    <phoneticPr fontId="14"/>
  </si>
  <si>
    <t>Mg2+</t>
    <phoneticPr fontId="14"/>
  </si>
  <si>
    <t>Ca2+</t>
    <phoneticPr fontId="14"/>
  </si>
  <si>
    <t>K+</t>
    <phoneticPr fontId="14"/>
  </si>
  <si>
    <r>
      <rPr>
        <sz val="11"/>
        <color theme="1"/>
        <rFont val="ＭＳ Ｐゴシック"/>
        <family val="3"/>
        <charset val="128"/>
      </rPr>
      <t>イオンバランス</t>
    </r>
    <phoneticPr fontId="14"/>
  </si>
  <si>
    <t>average</t>
    <phoneticPr fontId="14"/>
  </si>
  <si>
    <t>stdev</t>
    <phoneticPr fontId="14"/>
  </si>
  <si>
    <t>min</t>
    <phoneticPr fontId="14"/>
  </si>
  <si>
    <t>max</t>
    <phoneticPr fontId="14"/>
  </si>
  <si>
    <t>再測定：</t>
    <rPh sb="0" eb="3">
      <t>サイソクテイ</t>
    </rPh>
    <phoneticPr fontId="14"/>
  </si>
  <si>
    <r>
      <t>0.5</t>
    </r>
    <r>
      <rPr>
        <sz val="11"/>
        <color theme="1"/>
        <rFont val="ＭＳ Ｐゴシック"/>
        <family val="3"/>
        <charset val="128"/>
      </rPr>
      <t>＜</t>
    </r>
    <phoneticPr fontId="14"/>
  </si>
  <si>
    <r>
      <t>NO3</t>
    </r>
    <r>
      <rPr>
        <vertAlign val="superscript"/>
        <sz val="11"/>
        <color theme="1"/>
        <rFont val="Arial"/>
        <family val="2"/>
      </rPr>
      <t xml:space="preserve">- </t>
    </r>
    <r>
      <rPr>
        <sz val="11"/>
        <color theme="1"/>
        <rFont val="Arial"/>
        <family val="2"/>
      </rPr>
      <t>+ NO2</t>
    </r>
    <r>
      <rPr>
        <vertAlign val="superscript"/>
        <sz val="11"/>
        <color theme="1"/>
        <rFont val="Arial"/>
        <family val="2"/>
      </rPr>
      <t>-</t>
    </r>
    <phoneticPr fontId="14"/>
  </si>
  <si>
    <r>
      <t>NO3</t>
    </r>
    <r>
      <rPr>
        <vertAlign val="superscript"/>
        <sz val="11"/>
        <color theme="1"/>
        <rFont val="Arial"/>
        <family val="2"/>
      </rPr>
      <t>-</t>
    </r>
    <phoneticPr fontId="14"/>
  </si>
  <si>
    <t>再測定</t>
    <rPh sb="0" eb="3">
      <t>サイソクテイ</t>
    </rPh>
    <phoneticPr fontId="14"/>
  </si>
  <si>
    <t>測定日</t>
    <rPh sb="0" eb="2">
      <t>ソクテイ</t>
    </rPh>
    <rPh sb="2" eb="3">
      <t>ビ</t>
    </rPh>
    <phoneticPr fontId="14"/>
  </si>
  <si>
    <t>d18O</t>
    <phoneticPr fontId="14"/>
  </si>
  <si>
    <t>d15N</t>
    <phoneticPr fontId="14"/>
  </si>
  <si>
    <t>エリア</t>
    <phoneticPr fontId="14"/>
  </si>
  <si>
    <t>04/05/2023</t>
    <phoneticPr fontId="13"/>
  </si>
  <si>
    <t>12/05/2023</t>
    <phoneticPr fontId="13"/>
  </si>
  <si>
    <t>20/05/2023</t>
    <phoneticPr fontId="13"/>
  </si>
  <si>
    <t>28/05/2023</t>
    <phoneticPr fontId="13"/>
  </si>
  <si>
    <t>05/06/2023</t>
    <phoneticPr fontId="13"/>
  </si>
  <si>
    <t>13/06/2023</t>
    <phoneticPr fontId="13"/>
  </si>
  <si>
    <t>21/06/2023</t>
    <phoneticPr fontId="13"/>
  </si>
  <si>
    <t>06/07/2023</t>
    <phoneticPr fontId="13"/>
  </si>
  <si>
    <t>14/07/2023</t>
    <phoneticPr fontId="13"/>
  </si>
  <si>
    <t>22/07/2023</t>
    <phoneticPr fontId="13"/>
  </si>
  <si>
    <t>30/07/2023</t>
    <phoneticPr fontId="13"/>
  </si>
  <si>
    <t>07/08/2023</t>
    <phoneticPr fontId="13"/>
  </si>
  <si>
    <t>15/08/2023</t>
    <phoneticPr fontId="13"/>
  </si>
  <si>
    <t>01/09/2023</t>
    <phoneticPr fontId="13"/>
  </si>
  <si>
    <t>09/09/2023</t>
    <phoneticPr fontId="13"/>
  </si>
  <si>
    <t>17/09/2023</t>
    <phoneticPr fontId="13"/>
  </si>
  <si>
    <t>03/10/2023</t>
    <phoneticPr fontId="13"/>
  </si>
  <si>
    <t>測定日</t>
    <rPh sb="0" eb="2">
      <t>ソクテイ</t>
    </rPh>
    <rPh sb="2" eb="3">
      <t>ビ</t>
    </rPh>
    <phoneticPr fontId="13"/>
  </si>
  <si>
    <t>積算流量
(m3)</t>
  </si>
  <si>
    <r>
      <rPr>
        <sz val="11"/>
        <color theme="1"/>
        <rFont val="ＭＳ Ｐゴシック"/>
        <family val="3"/>
        <charset val="128"/>
      </rPr>
      <t xml:space="preserve">抽出量
</t>
    </r>
    <r>
      <rPr>
        <sz val="11"/>
        <color theme="1"/>
        <rFont val="Arial"/>
        <family val="2"/>
      </rPr>
      <t>(mL)</t>
    </r>
    <rPh sb="0" eb="2">
      <t>チュウシュツ</t>
    </rPh>
    <rPh sb="2" eb="3">
      <t>リョウ</t>
    </rPh>
    <phoneticPr fontId="29"/>
  </si>
  <si>
    <t>PM2.5</t>
  </si>
  <si>
    <t>湿度</t>
    <rPh sb="0" eb="2">
      <t>シツド</t>
    </rPh>
    <phoneticPr fontId="29"/>
  </si>
  <si>
    <t>温度</t>
    <rPh sb="0" eb="2">
      <t>オンド</t>
    </rPh>
    <phoneticPr fontId="29"/>
  </si>
  <si>
    <t>weather durting start time
of sampring</t>
  </si>
  <si>
    <r>
      <t>Isorropia</t>
    </r>
    <r>
      <rPr>
        <sz val="11"/>
        <color theme="1"/>
        <rFont val="ＭＳ Ｐゴシック"/>
        <family val="3"/>
        <charset val="128"/>
      </rPr>
      <t>計算</t>
    </r>
    <rPh sb="9" eb="11">
      <t>ケイサン</t>
    </rPh>
    <phoneticPr fontId="14"/>
  </si>
  <si>
    <t>μg/m^3</t>
  </si>
  <si>
    <t>%</t>
  </si>
  <si>
    <t>K</t>
    <phoneticPr fontId="14"/>
  </si>
  <si>
    <t>℃</t>
  </si>
  <si>
    <r>
      <t>NO3</t>
    </r>
    <r>
      <rPr>
        <vertAlign val="superscript"/>
        <sz val="11"/>
        <rFont val="Arial"/>
        <family val="2"/>
      </rPr>
      <t>-</t>
    </r>
    <phoneticPr fontId="14"/>
  </si>
  <si>
    <r>
      <t>SO4</t>
    </r>
    <r>
      <rPr>
        <vertAlign val="superscript"/>
        <sz val="11"/>
        <rFont val="Arial"/>
        <family val="2"/>
      </rPr>
      <t>2-</t>
    </r>
    <phoneticPr fontId="14"/>
  </si>
  <si>
    <t>Cl/Na</t>
    <phoneticPr fontId="14"/>
  </si>
  <si>
    <t>NO3/SO4</t>
    <phoneticPr fontId="14"/>
  </si>
  <si>
    <t>WSI</t>
    <phoneticPr fontId="14"/>
  </si>
  <si>
    <t>WSI/PM2.5</t>
    <phoneticPr fontId="14"/>
  </si>
  <si>
    <t>NH3</t>
    <phoneticPr fontId="14"/>
  </si>
  <si>
    <t>ε</t>
  </si>
  <si>
    <t>f</t>
  </si>
  <si>
    <t>ε(1-f)</t>
  </si>
  <si>
    <t>δ15N-NH3</t>
  </si>
  <si>
    <t>07/03/2019</t>
    <phoneticPr fontId="14"/>
  </si>
  <si>
    <t>Clear</t>
  </si>
  <si>
    <t>17/03/2019</t>
    <phoneticPr fontId="14"/>
  </si>
  <si>
    <t>Mastly Sunny</t>
  </si>
  <si>
    <t>27/03/2019</t>
    <phoneticPr fontId="14"/>
  </si>
  <si>
    <t>06/04/2019</t>
    <phoneticPr fontId="14"/>
  </si>
  <si>
    <t>16/04/2019</t>
    <phoneticPr fontId="14"/>
  </si>
  <si>
    <t>Mastly Cloudy with little rain</t>
  </si>
  <si>
    <t>26/04/2019</t>
    <phoneticPr fontId="14"/>
  </si>
  <si>
    <t>06/05/2019</t>
    <phoneticPr fontId="14"/>
  </si>
  <si>
    <t>16/05/2019</t>
    <phoneticPr fontId="14"/>
  </si>
  <si>
    <t>Heavy shower</t>
  </si>
  <si>
    <t>26/05/2019</t>
    <phoneticPr fontId="14"/>
  </si>
  <si>
    <t>05/06/2019</t>
    <phoneticPr fontId="14"/>
  </si>
  <si>
    <t>15/06/2019</t>
    <phoneticPr fontId="14"/>
  </si>
  <si>
    <t>25/06/2019</t>
    <phoneticPr fontId="14"/>
  </si>
  <si>
    <t>Light shower</t>
  </si>
  <si>
    <t>同位体分析できず</t>
    <rPh sb="0" eb="5">
      <t>ドウイタイブンセキ</t>
    </rPh>
    <phoneticPr fontId="14"/>
  </si>
  <si>
    <t>04/07/2019</t>
    <phoneticPr fontId="14"/>
  </si>
  <si>
    <t>09/07/2019</t>
    <phoneticPr fontId="14"/>
  </si>
  <si>
    <t>Mostly sunny</t>
  </si>
  <si>
    <t>14/07/2019</t>
    <phoneticPr fontId="14"/>
  </si>
  <si>
    <t>19/07/2019</t>
    <phoneticPr fontId="14"/>
  </si>
  <si>
    <t>24/07/2019</t>
    <phoneticPr fontId="14"/>
  </si>
  <si>
    <t>Little precipitation</t>
  </si>
  <si>
    <t>29/07/2019</t>
    <phoneticPr fontId="14"/>
  </si>
  <si>
    <t>03/08/2019</t>
    <phoneticPr fontId="14"/>
  </si>
  <si>
    <t>08/08/2019</t>
    <phoneticPr fontId="14"/>
  </si>
  <si>
    <r>
      <rPr>
        <sz val="11"/>
        <color theme="1"/>
        <rFont val="ＭＳ ゴシック"/>
        <family val="2"/>
        <charset val="128"/>
      </rPr>
      <t>イオン濃度が</t>
    </r>
    <r>
      <rPr>
        <sz val="11"/>
        <color theme="1"/>
        <rFont val="Arial"/>
        <family val="2"/>
      </rPr>
      <t>PM2.5</t>
    </r>
    <r>
      <rPr>
        <sz val="11"/>
        <color theme="1"/>
        <rFont val="ＭＳ ゴシック"/>
        <family val="2"/>
        <charset val="128"/>
      </rPr>
      <t>を超えるため，使わない</t>
    </r>
    <phoneticPr fontId="14"/>
  </si>
  <si>
    <t>18/08/2019</t>
    <phoneticPr fontId="14"/>
  </si>
  <si>
    <t>23/08/2019</t>
    <phoneticPr fontId="14"/>
  </si>
  <si>
    <t>Mostly cloudy</t>
  </si>
  <si>
    <t>28/08/2019</t>
    <phoneticPr fontId="14"/>
  </si>
  <si>
    <t>02/09/2019</t>
    <phoneticPr fontId="14"/>
  </si>
  <si>
    <t>07/09/2019</t>
    <phoneticPr fontId="14"/>
  </si>
  <si>
    <t>Heavy precipitation</t>
  </si>
  <si>
    <t>12/09/2019</t>
    <phoneticPr fontId="14"/>
  </si>
  <si>
    <t>Light precipitation</t>
  </si>
  <si>
    <t>17/09/2019</t>
    <phoneticPr fontId="14"/>
  </si>
  <si>
    <t>22/09/2019</t>
    <phoneticPr fontId="14"/>
  </si>
  <si>
    <t>Heavy rain</t>
  </si>
  <si>
    <t>27/09/2019</t>
    <phoneticPr fontId="14"/>
  </si>
  <si>
    <t>06/10/2019</t>
    <phoneticPr fontId="14"/>
  </si>
  <si>
    <t>15/10/2019</t>
    <phoneticPr fontId="14"/>
  </si>
  <si>
    <t>Sunny</t>
  </si>
  <si>
    <t>19/10/2019</t>
    <phoneticPr fontId="14"/>
  </si>
  <si>
    <t>14/10/2019</t>
    <phoneticPr fontId="14"/>
  </si>
  <si>
    <t>Foggy</t>
  </si>
  <si>
    <t>サンプリングの時期がかなり空くため空白</t>
    <rPh sb="7" eb="9">
      <t>ジキ</t>
    </rPh>
    <rPh sb="13" eb="14">
      <t>ア</t>
    </rPh>
    <rPh sb="17" eb="19">
      <t>クウハク</t>
    </rPh>
    <phoneticPr fontId="14"/>
  </si>
  <si>
    <t>26/12/2019</t>
    <phoneticPr fontId="14"/>
  </si>
  <si>
    <t>No Data</t>
  </si>
  <si>
    <t>07/01/2020</t>
    <phoneticPr fontId="14"/>
  </si>
  <si>
    <t>19/08/2020</t>
    <phoneticPr fontId="14"/>
  </si>
  <si>
    <t>29/08/2020</t>
    <phoneticPr fontId="14"/>
  </si>
  <si>
    <t>04/09/2020</t>
    <phoneticPr fontId="14"/>
  </si>
  <si>
    <t>12/09/2020</t>
    <phoneticPr fontId="14"/>
  </si>
  <si>
    <t>24/09/2020</t>
    <phoneticPr fontId="14"/>
  </si>
  <si>
    <t>28/09/2020</t>
    <phoneticPr fontId="14"/>
  </si>
  <si>
    <t>06/10/2020</t>
    <phoneticPr fontId="14"/>
  </si>
  <si>
    <t>14/10/2020</t>
    <phoneticPr fontId="14"/>
  </si>
  <si>
    <t>30/10/2020</t>
    <phoneticPr fontId="14"/>
  </si>
  <si>
    <r>
      <rPr>
        <sz val="11"/>
        <color theme="1"/>
        <rFont val="ＭＳ ゴシック"/>
        <family val="2"/>
        <charset val="128"/>
      </rPr>
      <t>イオン濃度が</t>
    </r>
    <r>
      <rPr>
        <sz val="11"/>
        <color theme="1"/>
        <rFont val="Arial"/>
        <family val="2"/>
      </rPr>
      <t>PM2.5</t>
    </r>
    <r>
      <rPr>
        <sz val="11"/>
        <color theme="1"/>
        <rFont val="ＭＳ ゴシック"/>
        <family val="2"/>
        <charset val="128"/>
      </rPr>
      <t>の</t>
    </r>
    <r>
      <rPr>
        <sz val="11"/>
        <color theme="1"/>
        <rFont val="Arial"/>
        <family val="2"/>
      </rPr>
      <t>80%</t>
    </r>
    <r>
      <rPr>
        <sz val="11"/>
        <color theme="1"/>
        <rFont val="ＭＳ ゴシック"/>
        <family val="2"/>
        <charset val="128"/>
      </rPr>
      <t>を超えるため，使わない</t>
    </r>
    <rPh sb="16" eb="17">
      <t>コ</t>
    </rPh>
    <rPh sb="22" eb="23">
      <t>ツカ</t>
    </rPh>
    <phoneticPr fontId="14"/>
  </si>
  <si>
    <t>23/11/2020</t>
    <phoneticPr fontId="14"/>
  </si>
  <si>
    <t>01/12/2020</t>
    <phoneticPr fontId="14"/>
  </si>
  <si>
    <t>09/12/2020</t>
    <phoneticPr fontId="14"/>
  </si>
  <si>
    <t>13/12/2020</t>
    <phoneticPr fontId="14"/>
  </si>
  <si>
    <t>25/12/2020</t>
    <phoneticPr fontId="14"/>
  </si>
  <si>
    <t>02/01/2021</t>
    <phoneticPr fontId="14"/>
  </si>
  <si>
    <t>18/01/2021</t>
    <phoneticPr fontId="14"/>
  </si>
  <si>
    <t>26/01/2021</t>
    <phoneticPr fontId="14"/>
  </si>
  <si>
    <t>03/02/2021</t>
    <phoneticPr fontId="14"/>
  </si>
  <si>
    <t>11/02/2021</t>
    <phoneticPr fontId="14"/>
  </si>
  <si>
    <r>
      <t>PM2.5</t>
    </r>
    <r>
      <rPr>
        <sz val="11"/>
        <color theme="1"/>
        <rFont val="ＭＳ ゴシック"/>
        <family val="2"/>
        <charset val="128"/>
      </rPr>
      <t>濃度未測定のため使用せず</t>
    </r>
    <rPh sb="5" eb="7">
      <t>ノウド</t>
    </rPh>
    <rPh sb="7" eb="10">
      <t>ミソクテイ</t>
    </rPh>
    <rPh sb="13" eb="15">
      <t>シヨウ</t>
    </rPh>
    <phoneticPr fontId="14"/>
  </si>
  <si>
    <t>10/10/2021</t>
    <phoneticPr fontId="14"/>
  </si>
  <si>
    <t>15/10/2021</t>
    <phoneticPr fontId="14"/>
  </si>
  <si>
    <t>23/10/2021</t>
    <phoneticPr fontId="14"/>
  </si>
  <si>
    <t>01/11/2021</t>
    <phoneticPr fontId="14"/>
  </si>
  <si>
    <t>09/11/2021</t>
    <phoneticPr fontId="14"/>
  </si>
  <si>
    <t>19/11/2021</t>
    <phoneticPr fontId="14"/>
  </si>
  <si>
    <t>27/11/2021</t>
    <phoneticPr fontId="14"/>
  </si>
  <si>
    <t>03/12/2021</t>
    <phoneticPr fontId="14"/>
  </si>
  <si>
    <t>11/12/2021</t>
    <phoneticPr fontId="14"/>
  </si>
  <si>
    <t>19/12/2021</t>
    <phoneticPr fontId="14"/>
  </si>
  <si>
    <t>27/12/2021</t>
    <phoneticPr fontId="14"/>
  </si>
  <si>
    <t>04/01/2022</t>
    <phoneticPr fontId="14"/>
  </si>
  <si>
    <t>12/01/2022</t>
    <phoneticPr fontId="14"/>
  </si>
  <si>
    <t>20/01/2022</t>
    <phoneticPr fontId="14"/>
  </si>
  <si>
    <t>28/01/2022</t>
    <phoneticPr fontId="14"/>
  </si>
  <si>
    <t>05/02/2022</t>
    <phoneticPr fontId="14"/>
  </si>
  <si>
    <t>13/02/2022</t>
    <phoneticPr fontId="14"/>
  </si>
  <si>
    <t>21/02/2022</t>
    <phoneticPr fontId="14"/>
  </si>
  <si>
    <t>01/03/2022</t>
    <phoneticPr fontId="14"/>
  </si>
  <si>
    <t>09/03/2022</t>
    <phoneticPr fontId="14"/>
  </si>
  <si>
    <t>17/03/2022</t>
    <phoneticPr fontId="14"/>
  </si>
  <si>
    <t>25/03/2022</t>
    <phoneticPr fontId="14"/>
  </si>
  <si>
    <t>02/04/2022</t>
    <phoneticPr fontId="14"/>
  </si>
  <si>
    <t>10/04/2022</t>
    <phoneticPr fontId="14"/>
  </si>
  <si>
    <t>18/04/2022</t>
    <phoneticPr fontId="14"/>
  </si>
  <si>
    <t>26/04/2022</t>
    <phoneticPr fontId="14"/>
  </si>
  <si>
    <t>10/05/2022</t>
    <phoneticPr fontId="14"/>
  </si>
  <si>
    <t>17/08/2022</t>
    <phoneticPr fontId="14"/>
  </si>
  <si>
    <t>25/08/2022</t>
    <phoneticPr fontId="14"/>
  </si>
  <si>
    <t>02/09/2022</t>
    <phoneticPr fontId="14"/>
  </si>
  <si>
    <t>10/09/2022</t>
    <phoneticPr fontId="14"/>
  </si>
  <si>
    <t>18/09/2022</t>
    <phoneticPr fontId="14"/>
  </si>
  <si>
    <t>26/09/2022</t>
    <phoneticPr fontId="14"/>
  </si>
  <si>
    <t>04/10/2022</t>
    <phoneticPr fontId="14"/>
  </si>
  <si>
    <t>12/10/2022</t>
    <phoneticPr fontId="14"/>
  </si>
  <si>
    <t>20/10/2022</t>
    <phoneticPr fontId="14"/>
  </si>
  <si>
    <t>28/10/2022</t>
    <phoneticPr fontId="14"/>
  </si>
  <si>
    <t>05/11/2022</t>
    <phoneticPr fontId="14"/>
  </si>
  <si>
    <t>13/11/2022</t>
    <phoneticPr fontId="14"/>
  </si>
  <si>
    <t>21/11/2022</t>
    <phoneticPr fontId="14"/>
  </si>
  <si>
    <t>29/11/2022</t>
    <phoneticPr fontId="14"/>
  </si>
  <si>
    <t>07/12/2022</t>
    <phoneticPr fontId="14"/>
  </si>
  <si>
    <t>15/12/2022</t>
    <phoneticPr fontId="14"/>
  </si>
  <si>
    <t>23/12/2022</t>
    <phoneticPr fontId="14"/>
  </si>
  <si>
    <t>31/12/2022</t>
    <phoneticPr fontId="14"/>
  </si>
  <si>
    <t>08/01/2023</t>
    <phoneticPr fontId="14"/>
  </si>
  <si>
    <t>16/01/2023</t>
    <phoneticPr fontId="14"/>
  </si>
  <si>
    <t>24/01/2023</t>
    <phoneticPr fontId="14"/>
  </si>
  <si>
    <t>01/02/2023</t>
    <phoneticPr fontId="14"/>
  </si>
  <si>
    <t>09/02/2023</t>
    <phoneticPr fontId="14"/>
  </si>
  <si>
    <t>17/02/2023</t>
    <phoneticPr fontId="14"/>
  </si>
  <si>
    <t>25/02/2023</t>
    <phoneticPr fontId="14"/>
  </si>
  <si>
    <t>05/03/2023</t>
    <phoneticPr fontId="14"/>
  </si>
  <si>
    <t>13/03/2023</t>
    <phoneticPr fontId="14"/>
  </si>
  <si>
    <t>21/03/2023</t>
    <phoneticPr fontId="14"/>
  </si>
  <si>
    <t>29/03/2023</t>
    <phoneticPr fontId="14"/>
  </si>
  <si>
    <t>06/04/2023</t>
    <phoneticPr fontId="14"/>
  </si>
  <si>
    <t>16/04/2023</t>
    <phoneticPr fontId="14"/>
  </si>
  <si>
    <t>pre</t>
    <phoneticPr fontId="14"/>
  </si>
  <si>
    <t>post</t>
    <phoneticPr fontId="14"/>
  </si>
  <si>
    <t>dry</t>
    <phoneticPr fontId="14"/>
  </si>
  <si>
    <t>mon</t>
    <phoneticPr fontId="14"/>
  </si>
  <si>
    <t>n=12</t>
    <phoneticPr fontId="14"/>
  </si>
  <si>
    <t>n=16</t>
    <phoneticPr fontId="14"/>
  </si>
  <si>
    <t>n=15</t>
    <phoneticPr fontId="14"/>
  </si>
  <si>
    <t>2020-2021</t>
    <phoneticPr fontId="13"/>
  </si>
  <si>
    <t>2021-2022</t>
    <phoneticPr fontId="13"/>
  </si>
  <si>
    <t>2022-2023</t>
    <phoneticPr fontId="13"/>
  </si>
  <si>
    <r>
      <rPr>
        <sz val="11"/>
        <color theme="1"/>
        <rFont val="ＭＳ Ｐゴシック"/>
        <family val="3"/>
        <charset val="128"/>
      </rPr>
      <t>サンプリングの時期がかなり空くため空白</t>
    </r>
    <rPh sb="7" eb="9">
      <t>ジキ</t>
    </rPh>
    <rPh sb="13" eb="14">
      <t>ア</t>
    </rPh>
    <rPh sb="17" eb="19">
      <t>クウハク</t>
    </rPh>
    <phoneticPr fontId="14"/>
  </si>
  <si>
    <t>2019-2024</t>
  </si>
  <si>
    <t>2019-2024</t>
    <phoneticPr fontId="14"/>
  </si>
  <si>
    <t>dry</t>
    <phoneticPr fontId="13"/>
  </si>
  <si>
    <r>
      <rPr>
        <sz val="11"/>
        <color theme="1"/>
        <rFont val="Meiryo UI"/>
        <family val="2"/>
        <charset val="128"/>
      </rPr>
      <t>陽イオン（</t>
    </r>
    <r>
      <rPr>
        <sz val="11"/>
        <color theme="1"/>
        <rFont val="Arial"/>
        <family val="2"/>
      </rPr>
      <t>µg/m^3)</t>
    </r>
    <phoneticPr fontId="13"/>
  </si>
  <si>
    <t>NO2/NO3</t>
    <phoneticPr fontId="13"/>
  </si>
  <si>
    <t>premon</t>
    <phoneticPr fontId="13"/>
  </si>
  <si>
    <t>mon</t>
    <phoneticPr fontId="13"/>
  </si>
  <si>
    <t>posmon</t>
    <phoneticPr fontId="13"/>
  </si>
  <si>
    <t xml:space="preserve">Sampling date in two locations Dhaka University and Bhola observatory </t>
  </si>
  <si>
    <t>Location</t>
  </si>
  <si>
    <t>Date (dd/mm/yy)</t>
  </si>
  <si>
    <t>Date (yyyy-mm-dd)</t>
  </si>
  <si>
    <t>Dhaka University</t>
  </si>
  <si>
    <t>Bhola</t>
  </si>
  <si>
    <t>2024-02-05</t>
  </si>
  <si>
    <t>13/5/24</t>
  </si>
  <si>
    <t>2024-02-12</t>
  </si>
  <si>
    <t>25/5/24</t>
  </si>
  <si>
    <t>2024-02-19</t>
  </si>
  <si>
    <t>2024-02-26</t>
  </si>
  <si>
    <t>18/6/24</t>
  </si>
  <si>
    <t>2024-03-03</t>
  </si>
  <si>
    <t>26/6/24</t>
  </si>
  <si>
    <t>2024-03-11</t>
  </si>
  <si>
    <t>13/8/24</t>
  </si>
  <si>
    <t>2024-03-25</t>
  </si>
  <si>
    <t>22/8/24</t>
  </si>
  <si>
    <t>2024-04-01</t>
  </si>
  <si>
    <t>30/8/24</t>
  </si>
  <si>
    <t>2024-04-14</t>
  </si>
  <si>
    <t>2024-04-22</t>
  </si>
  <si>
    <t>17/9/24</t>
  </si>
  <si>
    <t>2024-04-29</t>
  </si>
  <si>
    <t>25/9/24</t>
  </si>
  <si>
    <t>2024-05-12</t>
  </si>
  <si>
    <t>2024-06-03</t>
  </si>
  <si>
    <t>14/10/2024</t>
  </si>
  <si>
    <t>2024-06-10</t>
  </si>
  <si>
    <t>22/10/24</t>
  </si>
  <si>
    <t>2024-06-24</t>
  </si>
  <si>
    <t>30/10/24</t>
  </si>
  <si>
    <t>2024-07-08</t>
  </si>
  <si>
    <t>2024-07-14</t>
  </si>
  <si>
    <t>19/11/24</t>
  </si>
  <si>
    <t>2024-07-23</t>
  </si>
  <si>
    <t>27/11/24</t>
  </si>
  <si>
    <t>2024-07-29</t>
  </si>
  <si>
    <t>2024-08-20</t>
  </si>
  <si>
    <t>13/12/24</t>
  </si>
  <si>
    <t>2024-08-27</t>
  </si>
  <si>
    <t>20/12/24</t>
  </si>
  <si>
    <t>2024-09-09</t>
  </si>
  <si>
    <t>2024-09-17</t>
  </si>
  <si>
    <t>2024-09-24</t>
  </si>
  <si>
    <t>20/1/25</t>
  </si>
  <si>
    <t>2024-09-30</t>
  </si>
  <si>
    <t>2024-10-06</t>
  </si>
  <si>
    <t>15/4/25</t>
  </si>
  <si>
    <t>2024-10-15</t>
  </si>
  <si>
    <t>21/4/25</t>
  </si>
  <si>
    <t>2024-10-21</t>
  </si>
  <si>
    <t>28/4/25</t>
  </si>
  <si>
    <t>2024-10-29</t>
  </si>
  <si>
    <t>2024-11-04</t>
  </si>
  <si>
    <t>13/5/25</t>
  </si>
  <si>
    <t>2024-11-11</t>
  </si>
  <si>
    <t>21/5/25</t>
  </si>
  <si>
    <t>2024-11-18</t>
  </si>
  <si>
    <t>2024-11-25</t>
  </si>
  <si>
    <t>2024-12-02</t>
  </si>
  <si>
    <t>19/6/25</t>
  </si>
  <si>
    <t>2024-12-10</t>
  </si>
  <si>
    <t>27/6/25</t>
  </si>
  <si>
    <t>2024-12-17</t>
  </si>
  <si>
    <t>2024-12-24</t>
  </si>
  <si>
    <t>13/7/25</t>
  </si>
  <si>
    <t>2024-12-30</t>
  </si>
  <si>
    <t>21/7/25</t>
  </si>
  <si>
    <t>2025-01-06</t>
  </si>
  <si>
    <t>29/7/25</t>
  </si>
  <si>
    <t>2025-01-13</t>
  </si>
  <si>
    <t>2025-01-22</t>
  </si>
  <si>
    <t>14/08/25</t>
  </si>
  <si>
    <t>2025-01-27</t>
  </si>
  <si>
    <t>22/08/25</t>
  </si>
  <si>
    <t>2025-02-03</t>
  </si>
  <si>
    <t>30/08/25</t>
  </si>
  <si>
    <t>2025-02-10</t>
  </si>
  <si>
    <t>2025-02-17</t>
  </si>
  <si>
    <t>16/09/25</t>
  </si>
  <si>
    <t>2025-02-24</t>
  </si>
  <si>
    <t>24/09/25</t>
  </si>
  <si>
    <t>2025-03-03</t>
  </si>
  <si>
    <t>2025-03-12</t>
  </si>
  <si>
    <t>2025-03-17</t>
  </si>
  <si>
    <t>18/10/2025</t>
  </si>
  <si>
    <t>2025-03-24</t>
  </si>
  <si>
    <t>26/10/2025</t>
  </si>
  <si>
    <t>2025-04-08</t>
  </si>
  <si>
    <t>2025-04-14</t>
  </si>
  <si>
    <t>2025-04-21</t>
  </si>
  <si>
    <t>20/11/2025</t>
  </si>
  <si>
    <t>2025-04-28</t>
  </si>
  <si>
    <t>28/11/2025</t>
  </si>
  <si>
    <t>2025-05-05</t>
  </si>
  <si>
    <t>2025-05-12</t>
  </si>
  <si>
    <t>14/12/2025</t>
  </si>
  <si>
    <t>2025-05-26</t>
  </si>
  <si>
    <t>total=16</t>
  </si>
  <si>
    <t>2025-06-03</t>
  </si>
  <si>
    <t>2025-06-10</t>
  </si>
  <si>
    <t>2025-06-16</t>
  </si>
  <si>
    <t>2025-06-23</t>
  </si>
  <si>
    <t>2025-06-30</t>
  </si>
  <si>
    <t>14/07/2025</t>
  </si>
  <si>
    <t>19/7/2025</t>
  </si>
  <si>
    <t>15/12/2025</t>
  </si>
  <si>
    <t>22/12/2025</t>
  </si>
  <si>
    <t>29/12/2025</t>
  </si>
  <si>
    <t>19/01/2026</t>
  </si>
  <si>
    <t>26/01/2026</t>
  </si>
  <si>
    <t>16/02/2026</t>
  </si>
  <si>
    <t>23/02/2026</t>
  </si>
  <si>
    <t>16/03/2026</t>
  </si>
  <si>
    <t>Total=20</t>
  </si>
  <si>
    <t>Total Bhola and Dhaka Sample= 138</t>
  </si>
  <si>
    <r>
      <rPr>
        <b/>
        <sz val="11"/>
        <color theme="1"/>
        <rFont val="ＭＳ Ｐゴシック"/>
        <family val="3"/>
        <charset val="128"/>
      </rPr>
      <t>捕集面積</t>
    </r>
    <rPh sb="0" eb="2">
      <t>ホシュウ</t>
    </rPh>
    <rPh sb="2" eb="4">
      <t>メンセキ</t>
    </rPh>
    <phoneticPr fontId="1"/>
  </si>
  <si>
    <t>L/min</t>
    <phoneticPr fontId="14"/>
  </si>
  <si>
    <r>
      <rPr>
        <b/>
        <sz val="11"/>
        <color theme="1"/>
        <rFont val="ＭＳ Ｐゴシック"/>
        <family val="3"/>
        <charset val="128"/>
      </rPr>
      <t>くりぬき面積</t>
    </r>
    <rPh sb="4" eb="6">
      <t>メンセキ</t>
    </rPh>
    <phoneticPr fontId="1"/>
  </si>
  <si>
    <t>Start</t>
    <phoneticPr fontId="14"/>
  </si>
  <si>
    <t>Fin</t>
    <phoneticPr fontId="14"/>
  </si>
  <si>
    <t>total time</t>
    <phoneticPr fontId="14"/>
  </si>
  <si>
    <r>
      <rPr>
        <sz val="11"/>
        <rFont val="ＭＳ Ｐゴシック"/>
        <family val="3"/>
        <charset val="128"/>
      </rPr>
      <t>積算流量</t>
    </r>
    <r>
      <rPr>
        <sz val="11"/>
        <rFont val="Arial"/>
        <family val="2"/>
      </rPr>
      <t/>
    </r>
    <phoneticPr fontId="13"/>
  </si>
  <si>
    <t>見た目（1薄い～5濃い）</t>
    <rPh sb="0" eb="1">
      <t>ミ</t>
    </rPh>
    <rPh sb="2" eb="3">
      <t>メ</t>
    </rPh>
    <rPh sb="5" eb="6">
      <t>ウス</t>
    </rPh>
    <rPh sb="9" eb="10">
      <t>コ</t>
    </rPh>
    <phoneticPr fontId="13"/>
  </si>
  <si>
    <t>day</t>
    <phoneticPr fontId="14"/>
  </si>
  <si>
    <t>time</t>
    <phoneticPr fontId="14"/>
  </si>
  <si>
    <t>(m^3)</t>
    <phoneticPr fontId="14"/>
  </si>
  <si>
    <t>（2枚とも小さいフィルター）</t>
    <rPh sb="2" eb="3">
      <t>マイ</t>
    </rPh>
    <rPh sb="5" eb="6">
      <t>チイ</t>
    </rPh>
    <phoneticPr fontId="13"/>
  </si>
  <si>
    <t>23/08/2023</t>
    <phoneticPr fontId="13"/>
  </si>
  <si>
    <t>13/05/2024</t>
    <phoneticPr fontId="13"/>
  </si>
  <si>
    <t>18/06/2024</t>
    <phoneticPr fontId="13"/>
  </si>
  <si>
    <t>(mL)</t>
  </si>
  <si>
    <t>抽出量</t>
    <rPh sb="0" eb="2">
      <t>チュウシュツ</t>
    </rPh>
    <rPh sb="2" eb="3">
      <t>リョウ</t>
    </rPh>
    <phoneticPr fontId="29"/>
  </si>
  <si>
    <t>(m3)</t>
  </si>
  <si>
    <t>積算流量</t>
    <phoneticPr fontId="13"/>
  </si>
  <si>
    <t>Total= 40</t>
    <phoneticPr fontId="13"/>
  </si>
  <si>
    <t>Total=56</t>
    <phoneticPr fontId="13"/>
  </si>
  <si>
    <t>Total= 62</t>
    <phoneticPr fontId="13"/>
  </si>
  <si>
    <t>Total Bhola=82</t>
    <phoneticPr fontId="13"/>
  </si>
  <si>
    <t>流量</t>
    <rPh sb="0" eb="2">
      <t>リュウリョウ</t>
    </rPh>
    <phoneticPr fontId="13"/>
  </si>
  <si>
    <r>
      <rPr>
        <sz val="11"/>
        <color theme="1"/>
        <rFont val="游ゴシック"/>
        <family val="2"/>
        <charset val="128"/>
      </rPr>
      <t>番号</t>
    </r>
    <r>
      <rPr>
        <sz val="11"/>
        <color theme="1"/>
        <rFont val="Arial"/>
        <family val="2"/>
      </rPr>
      <t>01</t>
    </r>
    <rPh sb="0" eb="2">
      <t>バンゴウ</t>
    </rPh>
    <phoneticPr fontId="14"/>
  </si>
  <si>
    <r>
      <rPr>
        <sz val="11"/>
        <color theme="1"/>
        <rFont val="游ゴシック"/>
        <family val="2"/>
        <charset val="128"/>
      </rPr>
      <t>番号</t>
    </r>
    <r>
      <rPr>
        <sz val="11"/>
        <color theme="1"/>
        <rFont val="Arial"/>
        <family val="2"/>
      </rPr>
      <t>02</t>
    </r>
    <rPh sb="0" eb="2">
      <t>バンゴウ</t>
    </rPh>
    <phoneticPr fontId="14"/>
  </si>
  <si>
    <r>
      <rPr>
        <sz val="11"/>
        <color theme="1"/>
        <rFont val="ＭＳ Ｐゴシック"/>
        <family val="2"/>
        <charset val="128"/>
      </rPr>
      <t>番号</t>
    </r>
    <r>
      <rPr>
        <sz val="11"/>
        <color theme="1"/>
        <rFont val="Arial"/>
        <family val="2"/>
      </rPr>
      <t>03</t>
    </r>
    <rPh sb="0" eb="2">
      <t>バンゴウ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</si>
</sst>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"/>
    <numFmt numFmtId="177" formatCode="0.00_ "/>
    <numFmt numFmtId="178" formatCode="0.0_ "/>
    <numFmt numFmtId="179" formatCode="0.00_);[Red]\(0.00\)"/>
    <numFmt numFmtId="180" formatCode="0_);[Red]\(0\)"/>
    <numFmt numFmtId="181" formatCode="0.0_);[Red]\(0.0\)"/>
    <numFmt numFmtId="182" formatCode="0.000"/>
    <numFmt numFmtId="183" formatCode="0_ "/>
    <numFmt numFmtId="184" formatCode="0.0%"/>
  </numFmts>
  <fonts count="4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Arial"/>
      <family val="2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Arial"/>
      <family val="2"/>
    </font>
    <font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Arial"/>
      <family val="2"/>
    </font>
    <font>
      <sz val="11"/>
      <color theme="1"/>
      <name val="ＭＳ ゴシック"/>
      <family val="3"/>
      <charset val="128"/>
    </font>
    <font>
      <vertAlign val="superscript"/>
      <sz val="11"/>
      <color theme="1"/>
      <name val="Arial"/>
      <family val="2"/>
    </font>
    <font>
      <sz val="11"/>
      <color rgb="FFFF0000"/>
      <name val="Arial"/>
      <family val="2"/>
    </font>
    <font>
      <vertAlign val="superscript"/>
      <sz val="11"/>
      <color rgb="FFFF0000"/>
      <name val="Arial"/>
      <family val="2"/>
    </font>
    <font>
      <sz val="11"/>
      <color theme="1"/>
      <name val="ＭＳ Ｐゴシック"/>
      <family val="2"/>
      <charset val="128"/>
    </font>
    <font>
      <sz val="10"/>
      <name val="MS Sans Serif"/>
      <family val="2"/>
    </font>
    <font>
      <sz val="11"/>
      <color theme="1"/>
      <name val="Arial"/>
      <family val="3"/>
      <charset val="128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11"/>
      <color theme="1"/>
      <name val="ＭＳ ゴシック"/>
      <family val="1"/>
      <charset val="128"/>
    </font>
    <font>
      <sz val="11"/>
      <color theme="1"/>
      <name val="ＭＳ ゴシック"/>
      <family val="2"/>
      <charset val="128"/>
    </font>
    <font>
      <sz val="11"/>
      <color theme="1"/>
      <name val="Arial"/>
      <family val="2"/>
      <charset val="128"/>
    </font>
    <font>
      <b/>
      <sz val="11"/>
      <color theme="1"/>
      <name val="Yu Gothic"/>
      <family val="2"/>
      <scheme val="minor"/>
    </font>
    <font>
      <sz val="12"/>
      <color theme="1"/>
      <name val="Yu Gothic"/>
      <family val="2"/>
      <scheme val="minor"/>
    </font>
    <font>
      <sz val="12"/>
      <color theme="1"/>
      <name val="Arial"/>
      <family val="2"/>
    </font>
    <font>
      <u/>
      <sz val="11"/>
      <color theme="10"/>
      <name val="Yu Gothic"/>
      <family val="2"/>
      <scheme val="minor"/>
    </font>
    <font>
      <sz val="11"/>
      <color theme="1"/>
      <name val="Meiryo UI"/>
      <family val="2"/>
      <charset val="128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游ゴシック"/>
      <family val="3"/>
      <charset val="128"/>
    </font>
    <font>
      <sz val="11"/>
      <color rgb="FF000000"/>
      <name val="Arial"/>
      <family val="2"/>
    </font>
    <font>
      <sz val="11"/>
      <color theme="1"/>
      <name val="游ゴシック"/>
      <family val="2"/>
      <charset val="128"/>
    </font>
  </fonts>
  <fills count="2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15" fillId="0" borderId="0">
      <alignment vertical="center"/>
    </xf>
    <xf numFmtId="0" fontId="11" fillId="0" borderId="0">
      <alignment vertical="center"/>
    </xf>
    <xf numFmtId="0" fontId="2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6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/>
    <xf numFmtId="0" fontId="34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8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6" fillId="0" borderId="0" applyNumberFormat="0" applyFill="0" applyBorder="0" applyAlignment="0" applyProtection="0"/>
    <xf numFmtId="0" fontId="2" fillId="0" borderId="0">
      <alignment vertical="center"/>
    </xf>
  </cellStyleXfs>
  <cellXfs count="648">
    <xf numFmtId="0" fontId="0" fillId="0" borderId="0" xfId="0"/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5" borderId="12" xfId="2" applyFont="1" applyFill="1" applyBorder="1" applyAlignment="1">
      <alignment horizontal="center" vertical="center"/>
    </xf>
    <xf numFmtId="0" fontId="12" fillId="5" borderId="13" xfId="2" applyFont="1" applyFill="1" applyBorder="1" applyAlignment="1">
      <alignment horizontal="center" vertical="center"/>
    </xf>
    <xf numFmtId="0" fontId="23" fillId="5" borderId="13" xfId="2" applyFont="1" applyFill="1" applyBorder="1" applyAlignment="1">
      <alignment horizontal="center" vertical="center"/>
    </xf>
    <xf numFmtId="0" fontId="12" fillId="5" borderId="14" xfId="2" applyFont="1" applyFill="1" applyBorder="1" applyAlignment="1">
      <alignment horizontal="center" vertical="center"/>
    </xf>
    <xf numFmtId="0" fontId="12" fillId="7" borderId="12" xfId="2" applyFont="1" applyFill="1" applyBorder="1" applyAlignment="1">
      <alignment horizontal="center" vertical="center"/>
    </xf>
    <xf numFmtId="0" fontId="12" fillId="7" borderId="13" xfId="2" applyFont="1" applyFill="1" applyBorder="1" applyAlignment="1">
      <alignment horizontal="center" vertical="center"/>
    </xf>
    <xf numFmtId="0" fontId="23" fillId="7" borderId="13" xfId="2" applyFont="1" applyFill="1" applyBorder="1" applyAlignment="1">
      <alignment horizontal="center" vertical="center"/>
    </xf>
    <xf numFmtId="0" fontId="12" fillId="7" borderId="14" xfId="2" applyFont="1" applyFill="1" applyBorder="1" applyAlignment="1">
      <alignment horizontal="center" vertical="center"/>
    </xf>
    <xf numFmtId="0" fontId="12" fillId="8" borderId="15" xfId="2" applyFont="1" applyFill="1" applyBorder="1" applyAlignment="1">
      <alignment horizontal="center" vertical="center"/>
    </xf>
    <xf numFmtId="177" fontId="12" fillId="0" borderId="1" xfId="2" applyNumberFormat="1" applyFont="1" applyBorder="1" applyAlignment="1">
      <alignment horizontal="center" vertical="center"/>
    </xf>
    <xf numFmtId="177" fontId="12" fillId="0" borderId="2" xfId="2" applyNumberFormat="1" applyFont="1" applyBorder="1" applyAlignment="1">
      <alignment horizontal="center" vertical="center"/>
    </xf>
    <xf numFmtId="177" fontId="12" fillId="0" borderId="3" xfId="2" applyNumberFormat="1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177" fontId="12" fillId="0" borderId="9" xfId="2" applyNumberFormat="1" applyFont="1" applyBorder="1" applyAlignment="1">
      <alignment horizontal="center" vertical="center"/>
    </xf>
    <xf numFmtId="177" fontId="12" fillId="0" borderId="0" xfId="2" applyNumberFormat="1" applyFont="1" applyAlignment="1">
      <alignment horizontal="center" vertical="center"/>
    </xf>
    <xf numFmtId="177" fontId="12" fillId="0" borderId="10" xfId="2" applyNumberFormat="1" applyFont="1" applyBorder="1" applyAlignment="1">
      <alignment horizontal="center" vertical="center"/>
    </xf>
    <xf numFmtId="9" fontId="12" fillId="0" borderId="0" xfId="4" applyFont="1" applyFill="1" applyBorder="1" applyAlignment="1">
      <alignment horizontal="center" vertical="center"/>
    </xf>
    <xf numFmtId="177" fontId="12" fillId="0" borderId="16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177" fontId="12" fillId="0" borderId="5" xfId="2" applyNumberFormat="1" applyFont="1" applyBorder="1" applyAlignment="1">
      <alignment horizontal="center" vertical="center"/>
    </xf>
    <xf numFmtId="177" fontId="12" fillId="0" borderId="6" xfId="2" applyNumberFormat="1" applyFont="1" applyBorder="1" applyAlignment="1">
      <alignment horizontal="center" vertical="center"/>
    </xf>
    <xf numFmtId="177" fontId="23" fillId="0" borderId="6" xfId="2" applyNumberFormat="1" applyFont="1" applyBorder="1" applyAlignment="1">
      <alignment horizontal="center" vertical="center"/>
    </xf>
    <xf numFmtId="177" fontId="12" fillId="0" borderId="7" xfId="2" applyNumberFormat="1" applyFont="1" applyBorder="1" applyAlignment="1">
      <alignment horizontal="center" vertical="center"/>
    </xf>
    <xf numFmtId="9" fontId="12" fillId="0" borderId="6" xfId="4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178" fontId="12" fillId="0" borderId="3" xfId="2" applyNumberFormat="1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2" fontId="12" fillId="0" borderId="9" xfId="2" applyNumberFormat="1" applyFont="1" applyBorder="1" applyAlignment="1">
      <alignment horizontal="center" vertical="center"/>
    </xf>
    <xf numFmtId="2" fontId="12" fillId="0" borderId="0" xfId="2" applyNumberFormat="1" applyFont="1" applyAlignment="1">
      <alignment horizontal="center" vertical="center"/>
    </xf>
    <xf numFmtId="2" fontId="12" fillId="0" borderId="10" xfId="2" applyNumberFormat="1" applyFont="1" applyBorder="1" applyAlignment="1">
      <alignment horizontal="center" vertical="center"/>
    </xf>
    <xf numFmtId="178" fontId="12" fillId="0" borderId="10" xfId="2" applyNumberFormat="1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19" fillId="0" borderId="1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178" fontId="12" fillId="0" borderId="0" xfId="2" applyNumberFormat="1" applyFont="1" applyAlignment="1">
      <alignment horizontal="center" vertical="center"/>
    </xf>
    <xf numFmtId="0" fontId="12" fillId="2" borderId="19" xfId="2" applyFont="1" applyFill="1" applyBorder="1" applyAlignment="1">
      <alignment horizontal="center" vertical="center"/>
    </xf>
    <xf numFmtId="0" fontId="12" fillId="5" borderId="22" xfId="2" applyFont="1" applyFill="1" applyBorder="1" applyAlignment="1">
      <alignment horizontal="center" vertical="center"/>
    </xf>
    <xf numFmtId="0" fontId="12" fillId="5" borderId="23" xfId="2" applyFont="1" applyFill="1" applyBorder="1" applyAlignment="1">
      <alignment horizontal="center" vertical="center"/>
    </xf>
    <xf numFmtId="0" fontId="12" fillId="5" borderId="20" xfId="2" applyFont="1" applyFill="1" applyBorder="1" applyAlignment="1">
      <alignment horizontal="center" vertical="center"/>
    </xf>
    <xf numFmtId="177" fontId="12" fillId="5" borderId="23" xfId="2" applyNumberFormat="1" applyFont="1" applyFill="1" applyBorder="1" applyAlignment="1">
      <alignment horizontal="center" vertical="center"/>
    </xf>
    <xf numFmtId="178" fontId="12" fillId="5" borderId="24" xfId="2" applyNumberFormat="1" applyFont="1" applyFill="1" applyBorder="1" applyAlignment="1">
      <alignment horizontal="center" vertical="center"/>
    </xf>
    <xf numFmtId="0" fontId="12" fillId="7" borderId="25" xfId="2" applyFont="1" applyFill="1" applyBorder="1" applyAlignment="1">
      <alignment horizontal="center" vertical="center"/>
    </xf>
    <xf numFmtId="177" fontId="12" fillId="7" borderId="23" xfId="2" applyNumberFormat="1" applyFont="1" applyFill="1" applyBorder="1" applyAlignment="1">
      <alignment horizontal="center" vertical="center"/>
    </xf>
    <xf numFmtId="177" fontId="12" fillId="7" borderId="24" xfId="2" applyNumberFormat="1" applyFont="1" applyFill="1" applyBorder="1" applyAlignment="1">
      <alignment horizontal="center" vertical="center"/>
    </xf>
    <xf numFmtId="0" fontId="12" fillId="5" borderId="25" xfId="2" applyFont="1" applyFill="1" applyBorder="1" applyAlignment="1">
      <alignment horizontal="center" vertical="center"/>
    </xf>
    <xf numFmtId="177" fontId="19" fillId="5" borderId="23" xfId="2" applyNumberFormat="1" applyFont="1" applyFill="1" applyBorder="1" applyAlignment="1">
      <alignment horizontal="center" vertical="center"/>
    </xf>
    <xf numFmtId="177" fontId="19" fillId="5" borderId="20" xfId="2" applyNumberFormat="1" applyFont="1" applyFill="1" applyBorder="1" applyAlignment="1">
      <alignment horizontal="center" vertical="center"/>
    </xf>
    <xf numFmtId="177" fontId="12" fillId="5" borderId="24" xfId="2" applyNumberFormat="1" applyFont="1" applyFill="1" applyBorder="1" applyAlignment="1">
      <alignment horizontal="center" vertical="center"/>
    </xf>
    <xf numFmtId="177" fontId="12" fillId="5" borderId="26" xfId="2" applyNumberFormat="1" applyFont="1" applyFill="1" applyBorder="1" applyAlignment="1">
      <alignment horizontal="center" vertical="center"/>
    </xf>
    <xf numFmtId="0" fontId="19" fillId="5" borderId="18" xfId="2" applyFont="1" applyFill="1" applyBorder="1" applyAlignment="1">
      <alignment horizontal="center" vertical="center"/>
    </xf>
    <xf numFmtId="177" fontId="12" fillId="5" borderId="6" xfId="2" applyNumberFormat="1" applyFont="1" applyFill="1" applyBorder="1" applyAlignment="1">
      <alignment horizontal="center" vertical="center"/>
    </xf>
    <xf numFmtId="177" fontId="12" fillId="5" borderId="13" xfId="2" applyNumberFormat="1" applyFont="1" applyFill="1" applyBorder="1" applyAlignment="1">
      <alignment horizontal="center" vertical="center"/>
    </xf>
    <xf numFmtId="178" fontId="19" fillId="5" borderId="7" xfId="2" applyNumberFormat="1" applyFont="1" applyFill="1" applyBorder="1" applyAlignment="1">
      <alignment horizontal="center" vertical="center"/>
    </xf>
    <xf numFmtId="0" fontId="19" fillId="7" borderId="7" xfId="2" applyFont="1" applyFill="1" applyBorder="1" applyAlignment="1">
      <alignment horizontal="center" vertical="center"/>
    </xf>
    <xf numFmtId="177" fontId="12" fillId="7" borderId="5" xfId="2" applyNumberFormat="1" applyFont="1" applyFill="1" applyBorder="1" applyAlignment="1">
      <alignment horizontal="center" vertical="center"/>
    </xf>
    <xf numFmtId="177" fontId="12" fillId="7" borderId="6" xfId="2" applyNumberFormat="1" applyFont="1" applyFill="1" applyBorder="1" applyAlignment="1">
      <alignment horizontal="center" vertical="center"/>
    </xf>
    <xf numFmtId="177" fontId="19" fillId="7" borderId="7" xfId="2" applyNumberFormat="1" applyFont="1" applyFill="1" applyBorder="1" applyAlignment="1">
      <alignment horizontal="center" vertical="center"/>
    </xf>
    <xf numFmtId="0" fontId="19" fillId="5" borderId="8" xfId="2" applyFont="1" applyFill="1" applyBorder="1" applyAlignment="1">
      <alignment horizontal="center" vertical="center"/>
    </xf>
    <xf numFmtId="177" fontId="12" fillId="5" borderId="5" xfId="2" applyNumberFormat="1" applyFont="1" applyFill="1" applyBorder="1" applyAlignment="1">
      <alignment horizontal="center" vertical="center"/>
    </xf>
    <xf numFmtId="177" fontId="19" fillId="5" borderId="7" xfId="2" applyNumberFormat="1" applyFont="1" applyFill="1" applyBorder="1" applyAlignment="1">
      <alignment horizontal="center" vertical="center"/>
    </xf>
    <xf numFmtId="177" fontId="19" fillId="5" borderId="28" xfId="2" applyNumberFormat="1" applyFont="1" applyFill="1" applyBorder="1" applyAlignment="1">
      <alignment horizontal="center" vertical="center"/>
    </xf>
    <xf numFmtId="179" fontId="12" fillId="0" borderId="0" xfId="2" applyNumberFormat="1" applyFont="1" applyAlignment="1">
      <alignment horizontal="center" vertical="center"/>
    </xf>
    <xf numFmtId="2" fontId="16" fillId="0" borderId="0" xfId="5" applyNumberFormat="1" applyFont="1" applyAlignment="1">
      <alignment horizontal="center"/>
    </xf>
    <xf numFmtId="0" fontId="12" fillId="0" borderId="33" xfId="2" applyFont="1" applyBorder="1" applyAlignment="1">
      <alignment horizontal="center" vertical="center"/>
    </xf>
    <xf numFmtId="177" fontId="12" fillId="0" borderId="33" xfId="2" applyNumberFormat="1" applyFont="1" applyBorder="1" applyAlignment="1">
      <alignment horizontal="center" vertical="center"/>
    </xf>
    <xf numFmtId="177" fontId="12" fillId="0" borderId="34" xfId="2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12" fillId="2" borderId="39" xfId="2" applyFont="1" applyFill="1" applyBorder="1" applyAlignment="1">
      <alignment horizontal="center" vertical="center"/>
    </xf>
    <xf numFmtId="0" fontId="12" fillId="2" borderId="40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" fontId="16" fillId="0" borderId="31" xfId="5" applyNumberFormat="1" applyFont="1" applyBorder="1" applyAlignment="1">
      <alignment horizontal="center"/>
    </xf>
    <xf numFmtId="56" fontId="16" fillId="0" borderId="29" xfId="2" applyNumberFormat="1" applyFont="1" applyBorder="1" applyAlignment="1">
      <alignment horizontal="center" vertical="center"/>
    </xf>
    <xf numFmtId="179" fontId="16" fillId="0" borderId="0" xfId="2" applyNumberFormat="1" applyFont="1" applyAlignment="1">
      <alignment horizontal="center" vertical="center"/>
    </xf>
    <xf numFmtId="179" fontId="16" fillId="0" borderId="2" xfId="2" applyNumberFormat="1" applyFont="1" applyBorder="1" applyAlignment="1">
      <alignment horizontal="center" vertical="center"/>
    </xf>
    <xf numFmtId="177" fontId="16" fillId="0" borderId="0" xfId="2" applyNumberFormat="1" applyFont="1" applyAlignment="1">
      <alignment horizontal="center" vertical="center"/>
    </xf>
    <xf numFmtId="178" fontId="16" fillId="0" borderId="10" xfId="2" applyNumberFormat="1" applyFont="1" applyBorder="1" applyAlignment="1">
      <alignment horizontal="center" vertical="center"/>
    </xf>
    <xf numFmtId="56" fontId="16" fillId="0" borderId="10" xfId="2" applyNumberFormat="1" applyFont="1" applyBorder="1" applyAlignment="1">
      <alignment horizontal="center" vertical="center"/>
    </xf>
    <xf numFmtId="177" fontId="16" fillId="0" borderId="9" xfId="2" applyNumberFormat="1" applyFont="1" applyBorder="1" applyAlignment="1">
      <alignment horizontal="center" vertical="center"/>
    </xf>
    <xf numFmtId="177" fontId="16" fillId="0" borderId="30" xfId="2" applyNumberFormat="1" applyFont="1" applyBorder="1" applyAlignment="1">
      <alignment horizontal="center" vertical="center"/>
    </xf>
    <xf numFmtId="56" fontId="16" fillId="0" borderId="11" xfId="2" applyNumberFormat="1" applyFont="1" applyBorder="1" applyAlignment="1">
      <alignment horizontal="center" vertical="center"/>
    </xf>
    <xf numFmtId="178" fontId="16" fillId="0" borderId="31" xfId="2" applyNumberFormat="1" applyFont="1" applyBorder="1" applyAlignment="1">
      <alignment horizontal="center" vertical="center"/>
    </xf>
    <xf numFmtId="178" fontId="16" fillId="0" borderId="0" xfId="2" applyNumberFormat="1" applyFont="1" applyAlignment="1">
      <alignment horizontal="center" vertical="center"/>
    </xf>
    <xf numFmtId="180" fontId="16" fillId="0" borderId="0" xfId="2" applyNumberFormat="1" applyFont="1" applyAlignment="1">
      <alignment horizontal="center" vertical="center"/>
    </xf>
    <xf numFmtId="181" fontId="16" fillId="0" borderId="10" xfId="2" applyNumberFormat="1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56" fontId="16" fillId="0" borderId="35" xfId="2" applyNumberFormat="1" applyFont="1" applyBorder="1" applyAlignment="1">
      <alignment horizontal="center" vertical="center"/>
    </xf>
    <xf numFmtId="179" fontId="16" fillId="0" borderId="33" xfId="2" applyNumberFormat="1" applyFont="1" applyBorder="1" applyAlignment="1">
      <alignment horizontal="center" vertical="center"/>
    </xf>
    <xf numFmtId="177" fontId="16" fillId="0" borderId="33" xfId="2" applyNumberFormat="1" applyFont="1" applyBorder="1" applyAlignment="1">
      <alignment horizontal="center" vertical="center"/>
    </xf>
    <xf numFmtId="178" fontId="16" fillId="0" borderId="36" xfId="2" applyNumberFormat="1" applyFont="1" applyBorder="1" applyAlignment="1">
      <alignment horizontal="center" vertical="center"/>
    </xf>
    <xf numFmtId="177" fontId="16" fillId="0" borderId="34" xfId="2" applyNumberFormat="1" applyFont="1" applyBorder="1" applyAlignment="1">
      <alignment horizontal="center" vertical="center"/>
    </xf>
    <xf numFmtId="177" fontId="16" fillId="0" borderId="32" xfId="2" applyNumberFormat="1" applyFont="1" applyBorder="1" applyAlignment="1">
      <alignment horizontal="center" vertical="center"/>
    </xf>
    <xf numFmtId="0" fontId="16" fillId="0" borderId="37" xfId="2" applyFont="1" applyBorder="1" applyAlignment="1">
      <alignment horizontal="center" vertical="center"/>
    </xf>
    <xf numFmtId="178" fontId="16" fillId="0" borderId="38" xfId="2" applyNumberFormat="1" applyFont="1" applyBorder="1" applyAlignment="1">
      <alignment horizontal="center" vertical="center"/>
    </xf>
    <xf numFmtId="0" fontId="12" fillId="6" borderId="2" xfId="2" applyFont="1" applyFill="1" applyBorder="1" applyAlignment="1">
      <alignment horizontal="center" vertical="center"/>
    </xf>
    <xf numFmtId="0" fontId="12" fillId="2" borderId="43" xfId="2" applyFont="1" applyFill="1" applyBorder="1" applyAlignment="1">
      <alignment horizontal="center" vertical="center"/>
    </xf>
    <xf numFmtId="0" fontId="16" fillId="3" borderId="24" xfId="1" applyFont="1" applyFill="1" applyBorder="1" applyAlignment="1">
      <alignment horizontal="center" vertical="center" wrapText="1"/>
    </xf>
    <xf numFmtId="0" fontId="16" fillId="3" borderId="23" xfId="1" applyFont="1" applyFill="1" applyBorder="1" applyAlignment="1">
      <alignment horizontal="center" vertical="center" wrapText="1"/>
    </xf>
    <xf numFmtId="0" fontId="12" fillId="2" borderId="25" xfId="3" applyFont="1" applyFill="1" applyBorder="1" applyAlignment="1">
      <alignment horizontal="center" vertical="center" wrapText="1"/>
    </xf>
    <xf numFmtId="0" fontId="23" fillId="5" borderId="23" xfId="2" applyFont="1" applyFill="1" applyBorder="1" applyAlignment="1">
      <alignment horizontal="center" vertical="center"/>
    </xf>
    <xf numFmtId="0" fontId="12" fillId="5" borderId="24" xfId="2" applyFont="1" applyFill="1" applyBorder="1" applyAlignment="1">
      <alignment horizontal="center" vertical="center"/>
    </xf>
    <xf numFmtId="0" fontId="12" fillId="6" borderId="23" xfId="2" applyFont="1" applyFill="1" applyBorder="1" applyAlignment="1">
      <alignment horizontal="center" vertical="center"/>
    </xf>
    <xf numFmtId="0" fontId="12" fillId="7" borderId="23" xfId="2" applyFont="1" applyFill="1" applyBorder="1" applyAlignment="1">
      <alignment horizontal="center" vertical="center"/>
    </xf>
    <xf numFmtId="0" fontId="23" fillId="7" borderId="23" xfId="2" applyFont="1" applyFill="1" applyBorder="1" applyAlignment="1">
      <alignment horizontal="center" vertical="center"/>
    </xf>
    <xf numFmtId="0" fontId="12" fillId="7" borderId="24" xfId="2" applyFont="1" applyFill="1" applyBorder="1" applyAlignment="1">
      <alignment horizontal="center" vertical="center"/>
    </xf>
    <xf numFmtId="0" fontId="12" fillId="5" borderId="21" xfId="2" applyFont="1" applyFill="1" applyBorder="1" applyAlignment="1">
      <alignment horizontal="center" vertical="center"/>
    </xf>
    <xf numFmtId="0" fontId="23" fillId="5" borderId="20" xfId="2" applyFont="1" applyFill="1" applyBorder="1" applyAlignment="1">
      <alignment horizontal="center" vertical="center"/>
    </xf>
    <xf numFmtId="0" fontId="12" fillId="5" borderId="39" xfId="2" applyFont="1" applyFill="1" applyBorder="1" applyAlignment="1">
      <alignment horizontal="center" vertical="center"/>
    </xf>
    <xf numFmtId="0" fontId="12" fillId="7" borderId="21" xfId="2" applyFont="1" applyFill="1" applyBorder="1" applyAlignment="1">
      <alignment horizontal="center" vertical="center"/>
    </xf>
    <xf numFmtId="0" fontId="12" fillId="7" borderId="20" xfId="2" applyFont="1" applyFill="1" applyBorder="1" applyAlignment="1">
      <alignment horizontal="center" vertical="center"/>
    </xf>
    <xf numFmtId="0" fontId="23" fillId="7" borderId="20" xfId="2" applyFont="1" applyFill="1" applyBorder="1" applyAlignment="1">
      <alignment horizontal="center" vertical="center"/>
    </xf>
    <xf numFmtId="177" fontId="23" fillId="0" borderId="0" xfId="2" applyNumberFormat="1" applyFont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4" xfId="2" applyFont="1" applyBorder="1" applyAlignment="1">
      <alignment horizontal="center" vertical="center"/>
    </xf>
    <xf numFmtId="177" fontId="23" fillId="0" borderId="33" xfId="2" applyNumberFormat="1" applyFont="1" applyBorder="1" applyAlignment="1">
      <alignment horizontal="center" vertical="center"/>
    </xf>
    <xf numFmtId="177" fontId="12" fillId="0" borderId="36" xfId="2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76" fontId="12" fillId="0" borderId="0" xfId="2" applyNumberFormat="1" applyFont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14" fontId="12" fillId="0" borderId="1" xfId="2" applyNumberFormat="1" applyFont="1" applyBorder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14" fontId="12" fillId="0" borderId="33" xfId="0" applyNumberFormat="1" applyFont="1" applyBorder="1" applyAlignment="1">
      <alignment horizontal="center" vertical="center"/>
    </xf>
    <xf numFmtId="0" fontId="25" fillId="2" borderId="24" xfId="2" applyFont="1" applyFill="1" applyBorder="1" applyAlignment="1">
      <alignment horizontal="center" vertical="center"/>
    </xf>
    <xf numFmtId="2" fontId="12" fillId="0" borderId="1" xfId="2" applyNumberFormat="1" applyFont="1" applyBorder="1" applyAlignment="1">
      <alignment horizontal="center" vertical="center"/>
    </xf>
    <xf numFmtId="2" fontId="23" fillId="0" borderId="0" xfId="2" applyNumberFormat="1" applyFont="1" applyAlignment="1">
      <alignment horizontal="center" vertical="center"/>
    </xf>
    <xf numFmtId="2" fontId="12" fillId="0" borderId="5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23" fillId="0" borderId="6" xfId="2" applyNumberFormat="1" applyFont="1" applyBorder="1" applyAlignment="1">
      <alignment horizontal="center" vertical="center"/>
    </xf>
    <xf numFmtId="177" fontId="12" fillId="0" borderId="23" xfId="2" applyNumberFormat="1" applyFont="1" applyBorder="1" applyAlignment="1">
      <alignment horizontal="center" vertical="center"/>
    </xf>
    <xf numFmtId="177" fontId="19" fillId="0" borderId="7" xfId="2" applyNumberFormat="1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56" fontId="16" fillId="0" borderId="18" xfId="2" applyNumberFormat="1" applyFont="1" applyBorder="1" applyAlignment="1">
      <alignment horizontal="center" vertical="center"/>
    </xf>
    <xf numFmtId="179" fontId="16" fillId="0" borderId="6" xfId="2" applyNumberFormat="1" applyFont="1" applyBorder="1" applyAlignment="1">
      <alignment horizontal="center" vertical="center"/>
    </xf>
    <xf numFmtId="177" fontId="16" fillId="0" borderId="6" xfId="2" applyNumberFormat="1" applyFont="1" applyBorder="1" applyAlignment="1">
      <alignment horizontal="center" vertical="center"/>
    </xf>
    <xf numFmtId="178" fontId="16" fillId="0" borderId="7" xfId="2" applyNumberFormat="1" applyFont="1" applyBorder="1" applyAlignment="1">
      <alignment horizontal="center" vertical="center"/>
    </xf>
    <xf numFmtId="56" fontId="16" fillId="0" borderId="7" xfId="2" applyNumberFormat="1" applyFont="1" applyBorder="1" applyAlignment="1">
      <alignment horizontal="center" vertical="center"/>
    </xf>
    <xf numFmtId="177" fontId="16" fillId="0" borderId="5" xfId="2" applyNumberFormat="1" applyFont="1" applyBorder="1" applyAlignment="1">
      <alignment horizontal="center" vertical="center"/>
    </xf>
    <xf numFmtId="177" fontId="16" fillId="0" borderId="27" xfId="2" applyNumberFormat="1" applyFont="1" applyBorder="1" applyAlignment="1">
      <alignment horizontal="center" vertical="center"/>
    </xf>
    <xf numFmtId="56" fontId="16" fillId="0" borderId="8" xfId="2" applyNumberFormat="1" applyFont="1" applyBorder="1" applyAlignment="1">
      <alignment horizontal="center" vertical="center"/>
    </xf>
    <xf numFmtId="178" fontId="16" fillId="0" borderId="28" xfId="2" applyNumberFormat="1" applyFont="1" applyBorder="1" applyAlignment="1">
      <alignment horizontal="center" vertical="center"/>
    </xf>
    <xf numFmtId="177" fontId="23" fillId="0" borderId="2" xfId="2" applyNumberFormat="1" applyFont="1" applyBorder="1" applyAlignment="1">
      <alignment horizontal="center" vertical="center"/>
    </xf>
    <xf numFmtId="9" fontId="12" fillId="0" borderId="4" xfId="4" applyFont="1" applyFill="1" applyBorder="1" applyAlignment="1">
      <alignment horizontal="center" vertical="center"/>
    </xf>
    <xf numFmtId="9" fontId="12" fillId="0" borderId="11" xfId="4" applyFont="1" applyFill="1" applyBorder="1" applyAlignment="1">
      <alignment horizontal="center" vertical="center"/>
    </xf>
    <xf numFmtId="9" fontId="12" fillId="0" borderId="37" xfId="4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/>
    </xf>
    <xf numFmtId="0" fontId="12" fillId="0" borderId="44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56" fontId="16" fillId="0" borderId="37" xfId="2" applyNumberFormat="1" applyFont="1" applyBorder="1" applyAlignment="1">
      <alignment horizontal="center" vertical="center"/>
    </xf>
    <xf numFmtId="184" fontId="12" fillId="0" borderId="0" xfId="8" applyNumberFormat="1" applyFont="1" applyBorder="1" applyAlignment="1">
      <alignment horizontal="center" vertical="center"/>
    </xf>
    <xf numFmtId="9" fontId="12" fillId="0" borderId="0" xfId="8" applyFont="1" applyAlignment="1">
      <alignment horizontal="center" vertical="center"/>
    </xf>
    <xf numFmtId="0" fontId="7" fillId="0" borderId="0" xfId="14">
      <alignment vertical="center"/>
    </xf>
    <xf numFmtId="176" fontId="7" fillId="0" borderId="0" xfId="14" applyNumberFormat="1">
      <alignment vertical="center"/>
    </xf>
    <xf numFmtId="182" fontId="7" fillId="0" borderId="0" xfId="14" applyNumberFormat="1">
      <alignment vertical="center"/>
    </xf>
    <xf numFmtId="177" fontId="12" fillId="0" borderId="0" xfId="14" applyNumberFormat="1" applyFont="1">
      <alignment vertical="center"/>
    </xf>
    <xf numFmtId="0" fontId="7" fillId="0" borderId="0" xfId="14" applyAlignment="1">
      <alignment horizontal="center" vertical="center"/>
    </xf>
    <xf numFmtId="176" fontId="12" fillId="0" borderId="8" xfId="14" applyNumberFormat="1" applyFont="1" applyBorder="1" applyAlignment="1">
      <alignment horizontal="center" vertical="center"/>
    </xf>
    <xf numFmtId="176" fontId="12" fillId="0" borderId="5" xfId="14" applyNumberFormat="1" applyFont="1" applyBorder="1" applyAlignment="1">
      <alignment horizontal="center" vertical="center"/>
    </xf>
    <xf numFmtId="183" fontId="12" fillId="0" borderId="0" xfId="14" applyNumberFormat="1" applyFont="1" applyAlignment="1">
      <alignment horizontal="center" vertical="center"/>
    </xf>
    <xf numFmtId="0" fontId="12" fillId="10" borderId="5" xfId="14" applyFont="1" applyFill="1" applyBorder="1" applyAlignment="1">
      <alignment horizontal="center" vertical="center"/>
    </xf>
    <xf numFmtId="0" fontId="12" fillId="0" borderId="0" xfId="14" applyFont="1">
      <alignment vertical="center"/>
    </xf>
    <xf numFmtId="176" fontId="12" fillId="0" borderId="10" xfId="14" applyNumberFormat="1" applyFont="1" applyBorder="1" applyAlignment="1">
      <alignment horizontal="center" vertical="center"/>
    </xf>
    <xf numFmtId="176" fontId="12" fillId="0" borderId="11" xfId="14" applyNumberFormat="1" applyFont="1" applyBorder="1" applyAlignment="1">
      <alignment horizontal="center" vertical="center"/>
    </xf>
    <xf numFmtId="176" fontId="12" fillId="0" borderId="0" xfId="14" applyNumberFormat="1" applyFont="1" applyAlignment="1">
      <alignment horizontal="center" vertical="center"/>
    </xf>
    <xf numFmtId="176" fontId="12" fillId="0" borderId="9" xfId="14" applyNumberFormat="1" applyFont="1" applyBorder="1" applyAlignment="1">
      <alignment horizontal="center" vertical="center"/>
    </xf>
    <xf numFmtId="184" fontId="12" fillId="0" borderId="0" xfId="15" applyNumberFormat="1" applyFont="1" applyBorder="1" applyAlignment="1">
      <alignment horizontal="center" vertical="center"/>
    </xf>
    <xf numFmtId="184" fontId="12" fillId="0" borderId="11" xfId="15" applyNumberFormat="1" applyFont="1" applyBorder="1" applyAlignment="1">
      <alignment horizontal="center" vertical="center"/>
    </xf>
    <xf numFmtId="0" fontId="12" fillId="10" borderId="9" xfId="14" applyFont="1" applyFill="1" applyBorder="1" applyAlignment="1">
      <alignment horizontal="center" vertical="center"/>
    </xf>
    <xf numFmtId="176" fontId="12" fillId="0" borderId="3" xfId="14" applyNumberFormat="1" applyFont="1" applyBorder="1" applyAlignment="1">
      <alignment horizontal="center" vertical="center"/>
    </xf>
    <xf numFmtId="176" fontId="12" fillId="0" borderId="4" xfId="14" applyNumberFormat="1" applyFont="1" applyBorder="1" applyAlignment="1">
      <alignment horizontal="center" vertical="center"/>
    </xf>
    <xf numFmtId="176" fontId="12" fillId="0" borderId="2" xfId="14" applyNumberFormat="1" applyFont="1" applyBorder="1" applyAlignment="1">
      <alignment horizontal="center" vertical="center"/>
    </xf>
    <xf numFmtId="176" fontId="12" fillId="0" borderId="1" xfId="14" applyNumberFormat="1" applyFont="1" applyBorder="1" applyAlignment="1">
      <alignment horizontal="center" vertical="center"/>
    </xf>
    <xf numFmtId="0" fontId="12" fillId="10" borderId="1" xfId="14" applyFont="1" applyFill="1" applyBorder="1" applyAlignment="1">
      <alignment horizontal="center" vertical="center"/>
    </xf>
    <xf numFmtId="0" fontId="12" fillId="0" borderId="11" xfId="14" applyFont="1" applyBorder="1">
      <alignment vertical="center"/>
    </xf>
    <xf numFmtId="2" fontId="12" fillId="0" borderId="0" xfId="14" applyNumberFormat="1" applyFont="1">
      <alignment vertical="center"/>
    </xf>
    <xf numFmtId="184" fontId="12" fillId="0" borderId="0" xfId="14" applyNumberFormat="1" applyFont="1">
      <alignment vertical="center"/>
    </xf>
    <xf numFmtId="2" fontId="12" fillId="0" borderId="10" xfId="15" applyNumberFormat="1" applyFont="1" applyBorder="1" applyAlignment="1">
      <alignment horizontal="center" vertical="center"/>
    </xf>
    <xf numFmtId="2" fontId="12" fillId="0" borderId="0" xfId="15" applyNumberFormat="1" applyFont="1" applyBorder="1" applyAlignment="1">
      <alignment horizontal="center" vertical="center"/>
    </xf>
    <xf numFmtId="184" fontId="12" fillId="0" borderId="10" xfId="15" applyNumberFormat="1" applyFont="1" applyBorder="1" applyAlignment="1">
      <alignment horizontal="center" vertical="center"/>
    </xf>
    <xf numFmtId="2" fontId="12" fillId="0" borderId="0" xfId="14" applyNumberFormat="1" applyFont="1" applyAlignment="1">
      <alignment horizontal="center" vertical="center"/>
    </xf>
    <xf numFmtId="0" fontId="12" fillId="14" borderId="0" xfId="14" applyFont="1" applyFill="1">
      <alignment vertical="center"/>
    </xf>
    <xf numFmtId="0" fontId="12" fillId="12" borderId="0" xfId="14" applyFont="1" applyFill="1">
      <alignment vertical="center"/>
    </xf>
    <xf numFmtId="178" fontId="12" fillId="0" borderId="0" xfId="14" applyNumberFormat="1" applyFont="1" applyAlignment="1">
      <alignment horizontal="center" vertical="center"/>
    </xf>
    <xf numFmtId="0" fontId="12" fillId="10" borderId="0" xfId="14" applyFont="1" applyFill="1">
      <alignment vertical="center"/>
    </xf>
    <xf numFmtId="0" fontId="12" fillId="9" borderId="46" xfId="14" applyFont="1" applyFill="1" applyBorder="1" applyAlignment="1">
      <alignment horizontal="center" vertical="center"/>
    </xf>
    <xf numFmtId="0" fontId="12" fillId="9" borderId="14" xfId="14" applyFont="1" applyFill="1" applyBorder="1" applyAlignment="1">
      <alignment horizontal="center" vertical="center"/>
    </xf>
    <xf numFmtId="0" fontId="16" fillId="9" borderId="12" xfId="14" applyFont="1" applyFill="1" applyBorder="1" applyAlignment="1">
      <alignment horizontal="center" vertical="center"/>
    </xf>
    <xf numFmtId="177" fontId="12" fillId="7" borderId="14" xfId="14" applyNumberFormat="1" applyFont="1" applyFill="1" applyBorder="1" applyAlignment="1">
      <alignment horizontal="center" vertical="center"/>
    </xf>
    <xf numFmtId="177" fontId="12" fillId="7" borderId="12" xfId="14" applyNumberFormat="1" applyFont="1" applyFill="1" applyBorder="1" applyAlignment="1">
      <alignment horizontal="center" vertical="center"/>
    </xf>
    <xf numFmtId="177" fontId="12" fillId="5" borderId="14" xfId="14" applyNumberFormat="1" applyFont="1" applyFill="1" applyBorder="1" applyAlignment="1">
      <alignment horizontal="center" vertical="center"/>
    </xf>
    <xf numFmtId="177" fontId="12" fillId="5" borderId="12" xfId="14" applyNumberFormat="1" applyFont="1" applyFill="1" applyBorder="1" applyAlignment="1">
      <alignment horizontal="center" vertical="center"/>
    </xf>
    <xf numFmtId="177" fontId="12" fillId="5" borderId="13" xfId="14" applyNumberFormat="1" applyFont="1" applyFill="1" applyBorder="1" applyAlignment="1">
      <alignment horizontal="center" vertical="center"/>
    </xf>
    <xf numFmtId="0" fontId="12" fillId="11" borderId="14" xfId="14" applyFont="1" applyFill="1" applyBorder="1" applyAlignment="1">
      <alignment horizontal="center" vertical="center"/>
    </xf>
    <xf numFmtId="0" fontId="12" fillId="11" borderId="45" xfId="14" applyFont="1" applyFill="1" applyBorder="1" applyAlignment="1">
      <alignment horizontal="left" vertical="center"/>
    </xf>
    <xf numFmtId="0" fontId="12" fillId="10" borderId="13" xfId="14" applyFont="1" applyFill="1" applyBorder="1" applyAlignment="1">
      <alignment horizontal="center" vertical="center"/>
    </xf>
    <xf numFmtId="0" fontId="12" fillId="10" borderId="14" xfId="14" applyFont="1" applyFill="1" applyBorder="1" applyAlignment="1">
      <alignment horizontal="center" vertical="center"/>
    </xf>
    <xf numFmtId="0" fontId="12" fillId="7" borderId="13" xfId="14" applyFont="1" applyFill="1" applyBorder="1" applyAlignment="1">
      <alignment horizontal="center" vertical="center"/>
    </xf>
    <xf numFmtId="0" fontId="16" fillId="7" borderId="13" xfId="14" applyFont="1" applyFill="1" applyBorder="1" applyAlignment="1">
      <alignment horizontal="center" vertical="center"/>
    </xf>
    <xf numFmtId="0" fontId="16" fillId="5" borderId="14" xfId="14" applyFont="1" applyFill="1" applyBorder="1" applyAlignment="1">
      <alignment horizontal="center" vertical="center"/>
    </xf>
    <xf numFmtId="0" fontId="16" fillId="5" borderId="13" xfId="14" applyFont="1" applyFill="1" applyBorder="1" applyAlignment="1">
      <alignment horizontal="center" vertical="center"/>
    </xf>
    <xf numFmtId="0" fontId="12" fillId="5" borderId="13" xfId="14" applyFont="1" applyFill="1" applyBorder="1" applyAlignment="1">
      <alignment horizontal="center" vertical="center"/>
    </xf>
    <xf numFmtId="0" fontId="12" fillId="5" borderId="12" xfId="14" applyFont="1" applyFill="1" applyBorder="1" applyAlignment="1">
      <alignment horizontal="center" vertical="center"/>
    </xf>
    <xf numFmtId="0" fontId="12" fillId="9" borderId="12" xfId="14" applyFont="1" applyFill="1" applyBorder="1" applyAlignment="1">
      <alignment horizontal="center" vertical="center"/>
    </xf>
    <xf numFmtId="178" fontId="12" fillId="0" borderId="6" xfId="14" applyNumberFormat="1" applyFont="1" applyBorder="1" applyAlignment="1">
      <alignment horizontal="center" vertical="center"/>
    </xf>
    <xf numFmtId="182" fontId="12" fillId="0" borderId="9" xfId="14" applyNumberFormat="1" applyFont="1" applyBorder="1" applyAlignment="1">
      <alignment horizontal="center" vertical="center"/>
    </xf>
    <xf numFmtId="2" fontId="12" fillId="0" borderId="9" xfId="14" applyNumberFormat="1" applyFont="1" applyBorder="1" applyAlignment="1">
      <alignment horizontal="center" vertical="center"/>
    </xf>
    <xf numFmtId="182" fontId="12" fillId="0" borderId="1" xfId="14" applyNumberFormat="1" applyFont="1" applyBorder="1" applyAlignment="1">
      <alignment horizontal="center" vertical="center"/>
    </xf>
    <xf numFmtId="178" fontId="12" fillId="0" borderId="2" xfId="14" applyNumberFormat="1" applyFont="1" applyBorder="1" applyAlignment="1">
      <alignment horizontal="center" vertical="center"/>
    </xf>
    <xf numFmtId="0" fontId="12" fillId="9" borderId="7" xfId="14" applyFont="1" applyFill="1" applyBorder="1" applyAlignment="1">
      <alignment horizontal="center" vertical="center"/>
    </xf>
    <xf numFmtId="176" fontId="12" fillId="9" borderId="7" xfId="14" applyNumberFormat="1" applyFont="1" applyFill="1" applyBorder="1" applyAlignment="1">
      <alignment horizontal="center" vertical="center"/>
    </xf>
    <xf numFmtId="182" fontId="12" fillId="9" borderId="7" xfId="14" applyNumberFormat="1" applyFont="1" applyFill="1" applyBorder="1" applyAlignment="1">
      <alignment horizontal="center" vertical="center"/>
    </xf>
    <xf numFmtId="177" fontId="12" fillId="7" borderId="7" xfId="14" applyNumberFormat="1" applyFont="1" applyFill="1" applyBorder="1" applyAlignment="1">
      <alignment horizontal="center" vertical="center"/>
    </xf>
    <xf numFmtId="177" fontId="12" fillId="7" borderId="5" xfId="14" applyNumberFormat="1" applyFont="1" applyFill="1" applyBorder="1" applyAlignment="1">
      <alignment horizontal="center" vertical="center"/>
    </xf>
    <xf numFmtId="177" fontId="12" fillId="5" borderId="6" xfId="14" applyNumberFormat="1" applyFont="1" applyFill="1" applyBorder="1" applyAlignment="1">
      <alignment horizontal="center" vertical="center"/>
    </xf>
    <xf numFmtId="177" fontId="12" fillId="5" borderId="5" xfId="14" applyNumberFormat="1" applyFont="1" applyFill="1" applyBorder="1" applyAlignment="1">
      <alignment horizontal="center" vertical="center"/>
    </xf>
    <xf numFmtId="0" fontId="12" fillId="9" borderId="5" xfId="14" applyFont="1" applyFill="1" applyBorder="1" applyAlignment="1">
      <alignment horizontal="center" vertical="center"/>
    </xf>
    <xf numFmtId="0" fontId="12" fillId="2" borderId="6" xfId="14" applyFont="1" applyFill="1" applyBorder="1" applyAlignment="1">
      <alignment horizontal="center" vertical="center"/>
    </xf>
    <xf numFmtId="0" fontId="12" fillId="2" borderId="8" xfId="14" applyFont="1" applyFill="1" applyBorder="1" applyAlignment="1">
      <alignment horizontal="center" vertical="center"/>
    </xf>
    <xf numFmtId="176" fontId="12" fillId="9" borderId="13" xfId="14" applyNumberFormat="1" applyFont="1" applyFill="1" applyBorder="1" applyAlignment="1">
      <alignment horizontal="center" vertical="center"/>
    </xf>
    <xf numFmtId="182" fontId="12" fillId="9" borderId="13" xfId="14" applyNumberFormat="1" applyFont="1" applyFill="1" applyBorder="1" applyAlignment="1">
      <alignment horizontal="center" vertical="center"/>
    </xf>
    <xf numFmtId="177" fontId="12" fillId="7" borderId="13" xfId="14" applyNumberFormat="1" applyFont="1" applyFill="1" applyBorder="1" applyAlignment="1">
      <alignment horizontal="center" vertical="center"/>
    </xf>
    <xf numFmtId="0" fontId="12" fillId="11" borderId="3" xfId="14" applyFont="1" applyFill="1" applyBorder="1" applyAlignment="1">
      <alignment horizontal="center" vertical="center"/>
    </xf>
    <xf numFmtId="0" fontId="12" fillId="11" borderId="1" xfId="14" applyFont="1" applyFill="1" applyBorder="1" applyAlignment="1">
      <alignment horizontal="center" vertical="center"/>
    </xf>
    <xf numFmtId="0" fontId="12" fillId="10" borderId="2" xfId="14" applyFont="1" applyFill="1" applyBorder="1" applyAlignment="1">
      <alignment horizontal="center" vertical="center"/>
    </xf>
    <xf numFmtId="0" fontId="12" fillId="9" borderId="1" xfId="14" applyFont="1" applyFill="1" applyBorder="1" applyAlignment="1">
      <alignment horizontal="center" vertical="center"/>
    </xf>
    <xf numFmtId="0" fontId="12" fillId="2" borderId="4" xfId="14" applyFont="1" applyFill="1" applyBorder="1" applyAlignment="1">
      <alignment horizontal="center" vertical="center"/>
    </xf>
    <xf numFmtId="0" fontId="12" fillId="2" borderId="2" xfId="14" applyFont="1" applyFill="1" applyBorder="1" applyAlignment="1">
      <alignment horizontal="center" vertical="center"/>
    </xf>
    <xf numFmtId="2" fontId="12" fillId="0" borderId="11" xfId="14" applyNumberFormat="1" applyFont="1" applyBorder="1" applyAlignment="1">
      <alignment horizontal="center" vertical="center"/>
    </xf>
    <xf numFmtId="177" fontId="12" fillId="0" borderId="2" xfId="14" applyNumberFormat="1" applyFont="1" applyBorder="1" applyAlignment="1">
      <alignment horizontal="center" vertical="center"/>
    </xf>
    <xf numFmtId="176" fontId="12" fillId="0" borderId="0" xfId="14" applyNumberFormat="1" applyFont="1">
      <alignment vertical="center"/>
    </xf>
    <xf numFmtId="182" fontId="12" fillId="0" borderId="0" xfId="14" applyNumberFormat="1" applyFont="1">
      <alignment vertical="center"/>
    </xf>
    <xf numFmtId="177" fontId="12" fillId="0" borderId="0" xfId="14" applyNumberFormat="1" applyFont="1" applyAlignment="1">
      <alignment horizontal="center" vertical="center"/>
    </xf>
    <xf numFmtId="177" fontId="12" fillId="0" borderId="5" xfId="14" applyNumberFormat="1" applyFont="1" applyBorder="1" applyAlignment="1">
      <alignment horizontal="center" vertical="center"/>
    </xf>
    <xf numFmtId="177" fontId="12" fillId="0" borderId="9" xfId="14" applyNumberFormat="1" applyFont="1" applyBorder="1" applyAlignment="1">
      <alignment horizontal="center" vertical="center"/>
    </xf>
    <xf numFmtId="177" fontId="12" fillId="0" borderId="4" xfId="14" applyNumberFormat="1" applyFont="1" applyBorder="1" applyAlignment="1">
      <alignment horizontal="center" vertical="center"/>
    </xf>
    <xf numFmtId="177" fontId="12" fillId="0" borderId="1" xfId="14" applyNumberFormat="1" applyFont="1" applyBorder="1" applyAlignment="1">
      <alignment horizontal="center" vertical="center"/>
    </xf>
    <xf numFmtId="0" fontId="16" fillId="9" borderId="6" xfId="14" applyFont="1" applyFill="1" applyBorder="1" applyAlignment="1">
      <alignment horizontal="center" vertical="center"/>
    </xf>
    <xf numFmtId="0" fontId="30" fillId="9" borderId="5" xfId="14" applyFont="1" applyFill="1" applyBorder="1" applyAlignment="1">
      <alignment horizontal="center" vertical="center"/>
    </xf>
    <xf numFmtId="0" fontId="12" fillId="7" borderId="12" xfId="14" applyFont="1" applyFill="1" applyBorder="1" applyAlignment="1">
      <alignment horizontal="center" vertical="center"/>
    </xf>
    <xf numFmtId="178" fontId="7" fillId="0" borderId="0" xfId="14" applyNumberFormat="1">
      <alignment vertical="center"/>
    </xf>
    <xf numFmtId="0" fontId="7" fillId="9" borderId="0" xfId="14" applyFill="1">
      <alignment vertical="center"/>
    </xf>
    <xf numFmtId="2" fontId="12" fillId="0" borderId="10" xfId="14" applyNumberFormat="1" applyFont="1" applyBorder="1" applyAlignment="1">
      <alignment horizontal="center" vertical="center"/>
    </xf>
    <xf numFmtId="14" fontId="7" fillId="9" borderId="0" xfId="14" applyNumberFormat="1" applyFill="1">
      <alignment vertical="center"/>
    </xf>
    <xf numFmtId="177" fontId="12" fillId="2" borderId="2" xfId="14" applyNumberFormat="1" applyFont="1" applyFill="1" applyBorder="1" applyAlignment="1">
      <alignment horizontal="center" vertical="center"/>
    </xf>
    <xf numFmtId="183" fontId="12" fillId="2" borderId="0" xfId="14" applyNumberFormat="1" applyFont="1" applyFill="1" applyAlignment="1">
      <alignment horizontal="center" vertical="center"/>
    </xf>
    <xf numFmtId="0" fontId="12" fillId="2" borderId="1" xfId="14" applyFont="1" applyFill="1" applyBorder="1" applyAlignment="1">
      <alignment horizontal="center" vertical="center"/>
    </xf>
    <xf numFmtId="183" fontId="12" fillId="9" borderId="0" xfId="14" applyNumberFormat="1" applyFont="1" applyFill="1" applyAlignment="1">
      <alignment horizontal="center" vertical="center"/>
    </xf>
    <xf numFmtId="0" fontId="12" fillId="10" borderId="6" xfId="14" applyFont="1" applyFill="1" applyBorder="1" applyAlignment="1">
      <alignment horizontal="center" vertical="center"/>
    </xf>
    <xf numFmtId="176" fontId="12" fillId="9" borderId="5" xfId="14" applyNumberFormat="1" applyFont="1" applyFill="1" applyBorder="1" applyAlignment="1">
      <alignment horizontal="center" vertical="center"/>
    </xf>
    <xf numFmtId="184" fontId="12" fillId="0" borderId="0" xfId="15" applyNumberFormat="1" applyFont="1">
      <alignment vertical="center"/>
    </xf>
    <xf numFmtId="0" fontId="12" fillId="9" borderId="10" xfId="14" applyFont="1" applyFill="1" applyBorder="1" applyAlignment="1">
      <alignment horizontal="center" vertical="center"/>
    </xf>
    <xf numFmtId="176" fontId="12" fillId="9" borderId="10" xfId="14" applyNumberFormat="1" applyFont="1" applyFill="1" applyBorder="1" applyAlignment="1">
      <alignment horizontal="center" vertical="center"/>
    </xf>
    <xf numFmtId="182" fontId="12" fillId="9" borderId="10" xfId="14" applyNumberFormat="1" applyFont="1" applyFill="1" applyBorder="1" applyAlignment="1">
      <alignment horizontal="center" vertical="center"/>
    </xf>
    <xf numFmtId="0" fontId="16" fillId="9" borderId="0" xfId="14" applyFont="1" applyFill="1" applyAlignment="1">
      <alignment horizontal="center" vertical="center"/>
    </xf>
    <xf numFmtId="177" fontId="12" fillId="7" borderId="10" xfId="14" applyNumberFormat="1" applyFont="1" applyFill="1" applyBorder="1" applyAlignment="1">
      <alignment horizontal="center" vertical="center"/>
    </xf>
    <xf numFmtId="177" fontId="12" fillId="7" borderId="9" xfId="14" applyNumberFormat="1" applyFont="1" applyFill="1" applyBorder="1" applyAlignment="1">
      <alignment horizontal="center" vertical="center"/>
    </xf>
    <xf numFmtId="177" fontId="12" fillId="5" borderId="0" xfId="14" applyNumberFormat="1" applyFont="1" applyFill="1" applyAlignment="1">
      <alignment horizontal="center" vertical="center"/>
    </xf>
    <xf numFmtId="177" fontId="12" fillId="5" borderId="9" xfId="14" applyNumberFormat="1" applyFont="1" applyFill="1" applyBorder="1" applyAlignment="1">
      <alignment horizontal="center" vertical="center"/>
    </xf>
    <xf numFmtId="9" fontId="12" fillId="0" borderId="0" xfId="15" applyFont="1">
      <alignment vertical="center"/>
    </xf>
    <xf numFmtId="2" fontId="12" fillId="0" borderId="6" xfId="14" applyNumberFormat="1" applyFont="1" applyBorder="1" applyAlignment="1">
      <alignment horizontal="center" vertical="center"/>
    </xf>
    <xf numFmtId="2" fontId="12" fillId="0" borderId="5" xfId="14" applyNumberFormat="1" applyFont="1" applyBorder="1" applyAlignment="1">
      <alignment horizontal="center" vertical="center"/>
    </xf>
    <xf numFmtId="2" fontId="12" fillId="0" borderId="7" xfId="14" applyNumberFormat="1" applyFont="1" applyBorder="1" applyAlignment="1">
      <alignment horizontal="center" vertical="center"/>
    </xf>
    <xf numFmtId="0" fontId="12" fillId="16" borderId="0" xfId="14" applyFont="1" applyFill="1">
      <alignment vertical="center"/>
    </xf>
    <xf numFmtId="2" fontId="12" fillId="0" borderId="2" xfId="14" applyNumberFormat="1" applyFont="1" applyBorder="1" applyAlignment="1">
      <alignment horizontal="center" vertical="center"/>
    </xf>
    <xf numFmtId="2" fontId="12" fillId="0" borderId="1" xfId="14" applyNumberFormat="1" applyFont="1" applyBorder="1" applyAlignment="1">
      <alignment horizontal="center" vertical="center"/>
    </xf>
    <xf numFmtId="2" fontId="12" fillId="0" borderId="3" xfId="14" applyNumberFormat="1" applyFont="1" applyBorder="1" applyAlignment="1">
      <alignment horizontal="center" vertical="center"/>
    </xf>
    <xf numFmtId="178" fontId="12" fillId="0" borderId="0" xfId="14" applyNumberFormat="1" applyFont="1">
      <alignment vertical="center"/>
    </xf>
    <xf numFmtId="2" fontId="12" fillId="0" borderId="4" xfId="14" applyNumberFormat="1" applyFont="1" applyBorder="1" applyAlignment="1">
      <alignment horizontal="center" vertical="center"/>
    </xf>
    <xf numFmtId="177" fontId="12" fillId="5" borderId="7" xfId="14" applyNumberFormat="1" applyFont="1" applyFill="1" applyBorder="1" applyAlignment="1">
      <alignment horizontal="center" vertical="center"/>
    </xf>
    <xf numFmtId="0" fontId="12" fillId="7" borderId="14" xfId="14" applyFont="1" applyFill="1" applyBorder="1" applyAlignment="1">
      <alignment horizontal="center" vertical="center"/>
    </xf>
    <xf numFmtId="183" fontId="12" fillId="0" borderId="0" xfId="14" applyNumberFormat="1" applyFont="1">
      <alignment vertical="center"/>
    </xf>
    <xf numFmtId="0" fontId="12" fillId="9" borderId="13" xfId="14" applyFont="1" applyFill="1" applyBorder="1" applyAlignment="1">
      <alignment horizontal="center" vertical="center"/>
    </xf>
    <xf numFmtId="176" fontId="12" fillId="9" borderId="1" xfId="14" applyNumberFormat="1" applyFont="1" applyFill="1" applyBorder="1" applyAlignment="1">
      <alignment horizontal="center" vertical="center"/>
    </xf>
    <xf numFmtId="0" fontId="12" fillId="0" borderId="0" xfId="14" applyFont="1" applyAlignment="1">
      <alignment horizontal="center" vertical="center"/>
    </xf>
    <xf numFmtId="2" fontId="12" fillId="0" borderId="38" xfId="14" applyNumberFormat="1" applyFont="1" applyBorder="1" applyAlignment="1">
      <alignment horizontal="center" vertical="center"/>
    </xf>
    <xf numFmtId="176" fontId="12" fillId="0" borderId="37" xfId="14" applyNumberFormat="1" applyFont="1" applyBorder="1" applyAlignment="1">
      <alignment horizontal="center" vertical="center"/>
    </xf>
    <xf numFmtId="182" fontId="12" fillId="0" borderId="33" xfId="14" applyNumberFormat="1" applyFont="1" applyBorder="1" applyAlignment="1">
      <alignment horizontal="center" vertical="center"/>
    </xf>
    <xf numFmtId="0" fontId="12" fillId="0" borderId="33" xfId="14" applyFont="1" applyBorder="1" applyAlignment="1">
      <alignment horizontal="center" vertical="center"/>
    </xf>
    <xf numFmtId="2" fontId="12" fillId="0" borderId="36" xfId="14" applyNumberFormat="1" applyFont="1" applyBorder="1" applyAlignment="1">
      <alignment horizontal="center" vertical="center"/>
    </xf>
    <xf numFmtId="2" fontId="12" fillId="0" borderId="34" xfId="14" applyNumberFormat="1" applyFont="1" applyBorder="1" applyAlignment="1">
      <alignment horizontal="center" vertical="center"/>
    </xf>
    <xf numFmtId="0" fontId="12" fillId="0" borderId="37" xfId="14" applyFont="1" applyBorder="1" applyAlignment="1">
      <alignment horizontal="center" vertical="center"/>
    </xf>
    <xf numFmtId="2" fontId="12" fillId="0" borderId="33" xfId="14" applyNumberFormat="1" applyFont="1" applyBorder="1" applyAlignment="1">
      <alignment horizontal="center" vertical="center"/>
    </xf>
    <xf numFmtId="9" fontId="12" fillId="0" borderId="36" xfId="16" applyFont="1" applyBorder="1" applyAlignment="1">
      <alignment horizontal="center" vertical="center"/>
    </xf>
    <xf numFmtId="177" fontId="12" fillId="0" borderId="34" xfId="14" applyNumberFormat="1" applyFont="1" applyBorder="1" applyAlignment="1">
      <alignment horizontal="center" vertical="center"/>
    </xf>
    <xf numFmtId="2" fontId="12" fillId="0" borderId="36" xfId="16" applyNumberFormat="1" applyFont="1" applyFill="1" applyBorder="1" applyAlignment="1">
      <alignment horizontal="center" vertical="center"/>
    </xf>
    <xf numFmtId="2" fontId="12" fillId="0" borderId="34" xfId="16" applyNumberFormat="1" applyFont="1" applyFill="1" applyBorder="1" applyAlignment="1">
      <alignment horizontal="center" vertical="center"/>
    </xf>
    <xf numFmtId="9" fontId="12" fillId="0" borderId="33" xfId="17" applyFont="1" applyFill="1" applyBorder="1" applyAlignment="1">
      <alignment horizontal="center" vertical="center"/>
    </xf>
    <xf numFmtId="177" fontId="12" fillId="0" borderId="36" xfId="18" applyNumberFormat="1" applyFont="1" applyBorder="1" applyAlignment="1">
      <alignment horizontal="center" vertical="center"/>
    </xf>
    <xf numFmtId="177" fontId="12" fillId="0" borderId="33" xfId="18" applyNumberFormat="1" applyFont="1" applyBorder="1" applyAlignment="1">
      <alignment horizontal="center" vertical="center"/>
    </xf>
    <xf numFmtId="177" fontId="23" fillId="0" borderId="33" xfId="18" applyNumberFormat="1" applyFont="1" applyBorder="1" applyAlignment="1">
      <alignment horizontal="center" vertical="center"/>
    </xf>
    <xf numFmtId="177" fontId="12" fillId="0" borderId="34" xfId="18" applyNumberFormat="1" applyFont="1" applyBorder="1" applyAlignment="1">
      <alignment horizontal="center" vertical="center"/>
    </xf>
    <xf numFmtId="177" fontId="12" fillId="0" borderId="11" xfId="14" applyNumberFormat="1" applyFont="1" applyBorder="1" applyAlignment="1">
      <alignment horizontal="center" vertical="center"/>
    </xf>
    <xf numFmtId="0" fontId="12" fillId="0" borderId="34" xfId="18" applyFont="1" applyBorder="1" applyAlignment="1">
      <alignment horizontal="center" vertical="center"/>
    </xf>
    <xf numFmtId="0" fontId="12" fillId="0" borderId="36" xfId="18" applyFont="1" applyBorder="1" applyAlignment="1">
      <alignment horizontal="center" vertical="center"/>
    </xf>
    <xf numFmtId="14" fontId="12" fillId="0" borderId="34" xfId="19" applyNumberFormat="1" applyFont="1" applyBorder="1" applyAlignment="1">
      <alignment horizontal="center" vertical="center"/>
    </xf>
    <xf numFmtId="0" fontId="12" fillId="0" borderId="33" xfId="19" applyFont="1" applyBorder="1" applyAlignment="1">
      <alignment horizontal="center" vertical="center"/>
    </xf>
    <xf numFmtId="0" fontId="12" fillId="10" borderId="32" xfId="19" applyFont="1" applyFill="1" applyBorder="1" applyAlignment="1">
      <alignment horizontal="center" vertical="center"/>
    </xf>
    <xf numFmtId="2" fontId="12" fillId="0" borderId="31" xfId="14" applyNumberFormat="1" applyFont="1" applyBorder="1" applyAlignment="1">
      <alignment horizontal="center" vertical="center"/>
    </xf>
    <xf numFmtId="182" fontId="12" fillId="0" borderId="0" xfId="14" applyNumberFormat="1" applyFont="1" applyAlignment="1">
      <alignment horizontal="center" vertical="center"/>
    </xf>
    <xf numFmtId="0" fontId="12" fillId="0" borderId="11" xfId="14" applyFont="1" applyBorder="1" applyAlignment="1">
      <alignment horizontal="center" vertical="center"/>
    </xf>
    <xf numFmtId="9" fontId="12" fillId="0" borderId="10" xfId="16" applyFont="1" applyBorder="1" applyAlignment="1">
      <alignment horizontal="center" vertical="center"/>
    </xf>
    <xf numFmtId="2" fontId="12" fillId="0" borderId="10" xfId="16" applyNumberFormat="1" applyFont="1" applyFill="1" applyBorder="1" applyAlignment="1">
      <alignment horizontal="center" vertical="center"/>
    </xf>
    <xf numFmtId="2" fontId="12" fillId="0" borderId="9" xfId="16" applyNumberFormat="1" applyFont="1" applyFill="1" applyBorder="1" applyAlignment="1">
      <alignment horizontal="center" vertical="center"/>
    </xf>
    <xf numFmtId="9" fontId="12" fillId="0" borderId="0" xfId="17" applyFont="1" applyFill="1" applyBorder="1" applyAlignment="1">
      <alignment horizontal="center" vertical="center"/>
    </xf>
    <xf numFmtId="177" fontId="12" fillId="0" borderId="10" xfId="18" applyNumberFormat="1" applyFont="1" applyBorder="1" applyAlignment="1">
      <alignment horizontal="center" vertical="center"/>
    </xf>
    <xf numFmtId="177" fontId="12" fillId="0" borderId="0" xfId="18" applyNumberFormat="1" applyFont="1" applyAlignment="1">
      <alignment horizontal="center" vertical="center"/>
    </xf>
    <xf numFmtId="177" fontId="23" fillId="0" borderId="0" xfId="18" applyNumberFormat="1" applyFont="1" applyAlignment="1">
      <alignment horizontal="center" vertical="center"/>
    </xf>
    <xf numFmtId="177" fontId="12" fillId="0" borderId="9" xfId="18" applyNumberFormat="1" applyFont="1" applyBorder="1" applyAlignment="1">
      <alignment horizontal="center" vertical="center"/>
    </xf>
    <xf numFmtId="0" fontId="12" fillId="0" borderId="9" xfId="18" applyFont="1" applyBorder="1" applyAlignment="1">
      <alignment horizontal="center" vertical="center"/>
    </xf>
    <xf numFmtId="0" fontId="12" fillId="0" borderId="10" xfId="18" applyFont="1" applyBorder="1" applyAlignment="1">
      <alignment horizontal="center" vertical="center"/>
    </xf>
    <xf numFmtId="14" fontId="12" fillId="0" borderId="0" xfId="19" applyNumberFormat="1" applyFont="1" applyAlignment="1">
      <alignment horizontal="center" vertical="center"/>
    </xf>
    <xf numFmtId="0" fontId="12" fillId="0" borderId="10" xfId="19" applyFont="1" applyBorder="1" applyAlignment="1">
      <alignment horizontal="center" vertical="center"/>
    </xf>
    <xf numFmtId="0" fontId="12" fillId="10" borderId="30" xfId="19" applyFont="1" applyFill="1" applyBorder="1" applyAlignment="1">
      <alignment horizontal="center" vertical="center"/>
    </xf>
    <xf numFmtId="0" fontId="12" fillId="16" borderId="30" xfId="19" applyFont="1" applyFill="1" applyBorder="1" applyAlignment="1">
      <alignment horizontal="center" vertical="center"/>
    </xf>
    <xf numFmtId="14" fontId="12" fillId="0" borderId="9" xfId="19" applyNumberFormat="1" applyFont="1" applyBorder="1" applyAlignment="1">
      <alignment horizontal="center" vertical="center"/>
    </xf>
    <xf numFmtId="0" fontId="12" fillId="0" borderId="0" xfId="19" applyFont="1" applyAlignment="1">
      <alignment horizontal="center" vertical="center"/>
    </xf>
    <xf numFmtId="177" fontId="12" fillId="0" borderId="3" xfId="18" applyNumberFormat="1" applyFont="1" applyBorder="1" applyAlignment="1">
      <alignment horizontal="center" vertical="center"/>
    </xf>
    <xf numFmtId="177" fontId="12" fillId="0" borderId="2" xfId="18" applyNumberFormat="1" applyFont="1" applyBorder="1" applyAlignment="1">
      <alignment horizontal="center" vertical="center"/>
    </xf>
    <xf numFmtId="177" fontId="23" fillId="0" borderId="2" xfId="18" applyNumberFormat="1" applyFont="1" applyBorder="1" applyAlignment="1">
      <alignment horizontal="center" vertical="center"/>
    </xf>
    <xf numFmtId="177" fontId="12" fillId="0" borderId="1" xfId="18" applyNumberFormat="1" applyFont="1" applyBorder="1" applyAlignment="1">
      <alignment horizontal="center" vertical="center"/>
    </xf>
    <xf numFmtId="14" fontId="12" fillId="0" borderId="10" xfId="19" applyNumberFormat="1" applyFont="1" applyBorder="1" applyAlignment="1">
      <alignment horizontal="center" vertical="center"/>
    </xf>
    <xf numFmtId="2" fontId="12" fillId="0" borderId="10" xfId="18" applyNumberFormat="1" applyFont="1" applyBorder="1" applyAlignment="1">
      <alignment horizontal="center" vertical="center"/>
    </xf>
    <xf numFmtId="2" fontId="12" fillId="0" borderId="0" xfId="18" applyNumberFormat="1" applyFont="1" applyAlignment="1">
      <alignment horizontal="center" vertical="center"/>
    </xf>
    <xf numFmtId="2" fontId="23" fillId="0" borderId="0" xfId="18" applyNumberFormat="1" applyFont="1" applyAlignment="1">
      <alignment horizontal="center" vertical="center"/>
    </xf>
    <xf numFmtId="2" fontId="12" fillId="0" borderId="9" xfId="18" applyNumberFormat="1" applyFont="1" applyBorder="1" applyAlignment="1">
      <alignment horizontal="center" vertical="center"/>
    </xf>
    <xf numFmtId="2" fontId="12" fillId="0" borderId="28" xfId="14" applyNumberFormat="1" applyFont="1" applyBorder="1" applyAlignment="1">
      <alignment horizontal="center" vertical="center"/>
    </xf>
    <xf numFmtId="182" fontId="12" fillId="0" borderId="6" xfId="14" applyNumberFormat="1" applyFont="1" applyBorder="1" applyAlignment="1">
      <alignment horizontal="center" vertical="center"/>
    </xf>
    <xf numFmtId="0" fontId="12" fillId="0" borderId="6" xfId="14" applyFont="1" applyBorder="1" applyAlignment="1">
      <alignment horizontal="center" vertical="center"/>
    </xf>
    <xf numFmtId="0" fontId="12" fillId="0" borderId="8" xfId="14" applyFont="1" applyBorder="1" applyAlignment="1">
      <alignment horizontal="center" vertical="center"/>
    </xf>
    <xf numFmtId="9" fontId="12" fillId="0" borderId="7" xfId="16" applyFont="1" applyBorder="1" applyAlignment="1">
      <alignment horizontal="center" vertical="center"/>
    </xf>
    <xf numFmtId="2" fontId="12" fillId="0" borderId="7" xfId="16" applyNumberFormat="1" applyFont="1" applyFill="1" applyBorder="1" applyAlignment="1">
      <alignment horizontal="center" vertical="center"/>
    </xf>
    <xf numFmtId="2" fontId="12" fillId="0" borderId="5" xfId="16" applyNumberFormat="1" applyFont="1" applyFill="1" applyBorder="1" applyAlignment="1">
      <alignment horizontal="center" vertical="center"/>
    </xf>
    <xf numFmtId="9" fontId="12" fillId="0" borderId="5" xfId="17" applyFont="1" applyFill="1" applyBorder="1" applyAlignment="1">
      <alignment horizontal="center" vertical="center"/>
    </xf>
    <xf numFmtId="2" fontId="12" fillId="0" borderId="7" xfId="18" applyNumberFormat="1" applyFont="1" applyBorder="1" applyAlignment="1">
      <alignment horizontal="center" vertical="center"/>
    </xf>
    <xf numFmtId="2" fontId="12" fillId="0" borderId="6" xfId="18" applyNumberFormat="1" applyFont="1" applyBorder="1" applyAlignment="1">
      <alignment horizontal="center" vertical="center"/>
    </xf>
    <xf numFmtId="2" fontId="23" fillId="0" borderId="6" xfId="18" applyNumberFormat="1" applyFont="1" applyBorder="1" applyAlignment="1">
      <alignment horizontal="center" vertical="center"/>
    </xf>
    <xf numFmtId="2" fontId="12" fillId="0" borderId="5" xfId="18" applyNumberFormat="1" applyFont="1" applyBorder="1" applyAlignment="1">
      <alignment horizontal="center" vertical="center"/>
    </xf>
    <xf numFmtId="177" fontId="12" fillId="0" borderId="7" xfId="18" applyNumberFormat="1" applyFont="1" applyBorder="1" applyAlignment="1">
      <alignment horizontal="center" vertical="center"/>
    </xf>
    <xf numFmtId="177" fontId="23" fillId="0" borderId="6" xfId="18" applyNumberFormat="1" applyFont="1" applyBorder="1" applyAlignment="1">
      <alignment horizontal="center" vertical="center"/>
    </xf>
    <xf numFmtId="177" fontId="12" fillId="0" borderId="6" xfId="18" applyNumberFormat="1" applyFont="1" applyBorder="1" applyAlignment="1">
      <alignment horizontal="center" vertical="center"/>
    </xf>
    <xf numFmtId="177" fontId="12" fillId="0" borderId="5" xfId="18" applyNumberFormat="1" applyFont="1" applyBorder="1" applyAlignment="1">
      <alignment horizontal="center" vertical="center"/>
    </xf>
    <xf numFmtId="0" fontId="12" fillId="0" borderId="5" xfId="18" applyFont="1" applyBorder="1" applyAlignment="1">
      <alignment horizontal="center" vertical="center"/>
    </xf>
    <xf numFmtId="0" fontId="12" fillId="0" borderId="7" xfId="18" applyFont="1" applyBorder="1" applyAlignment="1">
      <alignment horizontal="center" vertical="center"/>
    </xf>
    <xf numFmtId="14" fontId="12" fillId="0" borderId="5" xfId="19" applyNumberFormat="1" applyFont="1" applyBorder="1" applyAlignment="1">
      <alignment horizontal="center" vertical="center"/>
    </xf>
    <xf numFmtId="0" fontId="12" fillId="0" borderId="6" xfId="19" applyFont="1" applyBorder="1" applyAlignment="1">
      <alignment horizontal="center" vertical="center"/>
    </xf>
    <xf numFmtId="0" fontId="12" fillId="14" borderId="27" xfId="19" applyFont="1" applyFill="1" applyBorder="1" applyAlignment="1">
      <alignment horizontal="center" vertical="center"/>
    </xf>
    <xf numFmtId="0" fontId="12" fillId="12" borderId="30" xfId="19" applyFont="1" applyFill="1" applyBorder="1" applyAlignment="1">
      <alignment horizontal="center" vertical="center"/>
    </xf>
    <xf numFmtId="14" fontId="12" fillId="0" borderId="1" xfId="18" applyNumberFormat="1" applyFont="1" applyBorder="1" applyAlignment="1">
      <alignment horizontal="center" vertical="center"/>
    </xf>
    <xf numFmtId="182" fontId="12" fillId="9" borderId="6" xfId="14" applyNumberFormat="1" applyFont="1" applyFill="1" applyBorder="1" applyAlignment="1">
      <alignment horizontal="center" vertical="center"/>
    </xf>
    <xf numFmtId="2" fontId="12" fillId="13" borderId="10" xfId="14" applyNumberFormat="1" applyFont="1" applyFill="1" applyBorder="1" applyAlignment="1">
      <alignment horizontal="centerContinuous" vertical="center"/>
    </xf>
    <xf numFmtId="176" fontId="12" fillId="13" borderId="10" xfId="14" applyNumberFormat="1" applyFont="1" applyFill="1" applyBorder="1" applyAlignment="1">
      <alignment horizontal="centerContinuous" vertical="center"/>
    </xf>
    <xf numFmtId="182" fontId="12" fillId="13" borderId="10" xfId="14" applyNumberFormat="1" applyFont="1" applyFill="1" applyBorder="1" applyAlignment="1">
      <alignment horizontal="centerContinuous" vertical="center"/>
    </xf>
    <xf numFmtId="176" fontId="12" fillId="13" borderId="11" xfId="14" applyNumberFormat="1" applyFont="1" applyFill="1" applyBorder="1" applyAlignment="1">
      <alignment horizontal="centerContinuous" vertical="center"/>
    </xf>
    <xf numFmtId="2" fontId="12" fillId="13" borderId="9" xfId="14" applyNumberFormat="1" applyFont="1" applyFill="1" applyBorder="1" applyAlignment="1">
      <alignment horizontal="centerContinuous" vertical="center"/>
    </xf>
    <xf numFmtId="177" fontId="12" fillId="13" borderId="0" xfId="14" applyNumberFormat="1" applyFont="1" applyFill="1" applyAlignment="1">
      <alignment horizontal="centerContinuous" vertical="center"/>
    </xf>
    <xf numFmtId="177" fontId="12" fillId="13" borderId="9" xfId="14" applyNumberFormat="1" applyFont="1" applyFill="1" applyBorder="1" applyAlignment="1">
      <alignment horizontal="centerContinuous" vertical="center"/>
    </xf>
    <xf numFmtId="179" fontId="12" fillId="13" borderId="0" xfId="14" applyNumberFormat="1" applyFont="1" applyFill="1" applyAlignment="1">
      <alignment horizontal="centerContinuous" vertical="center"/>
    </xf>
    <xf numFmtId="0" fontId="12" fillId="13" borderId="11" xfId="14" applyFont="1" applyFill="1" applyBorder="1" applyAlignment="1">
      <alignment horizontal="centerContinuous" vertical="center"/>
    </xf>
    <xf numFmtId="177" fontId="16" fillId="13" borderId="9" xfId="14" applyNumberFormat="1" applyFont="1" applyFill="1" applyBorder="1" applyAlignment="1">
      <alignment horizontal="centerContinuous" vertical="center"/>
    </xf>
    <xf numFmtId="177" fontId="12" fillId="13" borderId="10" xfId="14" applyNumberFormat="1" applyFont="1" applyFill="1" applyBorder="1" applyAlignment="1">
      <alignment horizontal="centerContinuous" vertical="center"/>
    </xf>
    <xf numFmtId="177" fontId="23" fillId="13" borderId="0" xfId="14" applyNumberFormat="1" applyFont="1" applyFill="1" applyAlignment="1">
      <alignment horizontal="centerContinuous" vertical="center"/>
    </xf>
    <xf numFmtId="0" fontId="12" fillId="13" borderId="9" xfId="14" applyFont="1" applyFill="1" applyBorder="1" applyAlignment="1">
      <alignment horizontal="centerContinuous" vertical="center"/>
    </xf>
    <xf numFmtId="176" fontId="12" fillId="13" borderId="9" xfId="14" applyNumberFormat="1" applyFont="1" applyFill="1" applyBorder="1" applyAlignment="1">
      <alignment horizontal="centerContinuous" vertical="center"/>
    </xf>
    <xf numFmtId="14" fontId="12" fillId="13" borderId="0" xfId="14" applyNumberFormat="1" applyFont="1" applyFill="1" applyAlignment="1">
      <alignment horizontal="centerContinuous" vertical="center"/>
    </xf>
    <xf numFmtId="0" fontId="12" fillId="17" borderId="9" xfId="14" applyFont="1" applyFill="1" applyBorder="1" applyAlignment="1">
      <alignment horizontal="centerContinuous" vertical="center"/>
    </xf>
    <xf numFmtId="182" fontId="12" fillId="0" borderId="10" xfId="14" applyNumberFormat="1" applyFont="1" applyBorder="1" applyAlignment="1">
      <alignment horizontal="center" vertical="center"/>
    </xf>
    <xf numFmtId="179" fontId="12" fillId="0" borderId="0" xfId="14" applyNumberFormat="1" applyFont="1" applyAlignment="1">
      <alignment horizontal="center" vertical="center"/>
    </xf>
    <xf numFmtId="9" fontId="16" fillId="0" borderId="0" xfId="15" applyFont="1" applyBorder="1" applyAlignment="1">
      <alignment horizontal="center" vertical="center"/>
    </xf>
    <xf numFmtId="177" fontId="16" fillId="0" borderId="0" xfId="14" applyNumberFormat="1" applyFont="1" applyAlignment="1">
      <alignment horizontal="center" vertical="center"/>
    </xf>
    <xf numFmtId="177" fontId="16" fillId="0" borderId="10" xfId="14" applyNumberFormat="1" applyFont="1" applyBorder="1" applyAlignment="1">
      <alignment horizontal="center" vertical="center"/>
    </xf>
    <xf numFmtId="177" fontId="16" fillId="0" borderId="9" xfId="14" applyNumberFormat="1" applyFont="1" applyBorder="1" applyAlignment="1">
      <alignment horizontal="center" vertical="center"/>
    </xf>
    <xf numFmtId="9" fontId="12" fillId="0" borderId="0" xfId="15" applyFont="1" applyBorder="1" applyAlignment="1">
      <alignment horizontal="center" vertical="center"/>
    </xf>
    <xf numFmtId="177" fontId="23" fillId="0" borderId="0" xfId="14" applyNumberFormat="1" applyFont="1" applyAlignment="1">
      <alignment horizontal="center" vertical="center"/>
    </xf>
    <xf numFmtId="177" fontId="12" fillId="0" borderId="10" xfId="14" applyNumberFormat="1" applyFont="1" applyBorder="1" applyAlignment="1">
      <alignment horizontal="center" vertical="center"/>
    </xf>
    <xf numFmtId="0" fontId="12" fillId="0" borderId="10" xfId="14" applyFont="1" applyBorder="1" applyAlignment="1">
      <alignment horizontal="center" vertical="center"/>
    </xf>
    <xf numFmtId="0" fontId="12" fillId="0" borderId="9" xfId="14" applyFont="1" applyBorder="1" applyAlignment="1">
      <alignment horizontal="center" vertical="center"/>
    </xf>
    <xf numFmtId="14" fontId="12" fillId="0" borderId="0" xfId="14" applyNumberFormat="1" applyFont="1" applyAlignment="1">
      <alignment horizontal="center" vertical="center"/>
    </xf>
    <xf numFmtId="0" fontId="12" fillId="10" borderId="0" xfId="14" applyFont="1" applyFill="1" applyAlignment="1">
      <alignment horizontal="center" vertical="center"/>
    </xf>
    <xf numFmtId="182" fontId="12" fillId="0" borderId="3" xfId="14" applyNumberFormat="1" applyFont="1" applyBorder="1" applyAlignment="1">
      <alignment horizontal="center" vertical="center"/>
    </xf>
    <xf numFmtId="179" fontId="12" fillId="0" borderId="2" xfId="14" applyNumberFormat="1" applyFont="1" applyBorder="1" applyAlignment="1">
      <alignment horizontal="center" vertical="center"/>
    </xf>
    <xf numFmtId="0" fontId="12" fillId="0" borderId="4" xfId="14" applyFont="1" applyBorder="1" applyAlignment="1">
      <alignment horizontal="center" vertical="center"/>
    </xf>
    <xf numFmtId="9" fontId="16" fillId="0" borderId="2" xfId="15" applyFont="1" applyBorder="1" applyAlignment="1">
      <alignment horizontal="center" vertical="center"/>
    </xf>
    <xf numFmtId="177" fontId="16" fillId="0" borderId="2" xfId="14" applyNumberFormat="1" applyFont="1" applyBorder="1" applyAlignment="1">
      <alignment horizontal="center" vertical="center"/>
    </xf>
    <xf numFmtId="177" fontId="16" fillId="0" borderId="3" xfId="14" applyNumberFormat="1" applyFont="1" applyBorder="1" applyAlignment="1">
      <alignment horizontal="center" vertical="center"/>
    </xf>
    <xf numFmtId="177" fontId="16" fillId="0" borderId="1" xfId="14" applyNumberFormat="1" applyFont="1" applyBorder="1" applyAlignment="1">
      <alignment horizontal="center" vertical="center"/>
    </xf>
    <xf numFmtId="9" fontId="12" fillId="0" borderId="2" xfId="15" applyFont="1" applyBorder="1" applyAlignment="1">
      <alignment horizontal="center" vertical="center"/>
    </xf>
    <xf numFmtId="177" fontId="23" fillId="0" borderId="2" xfId="14" applyNumberFormat="1" applyFont="1" applyBorder="1" applyAlignment="1">
      <alignment horizontal="center" vertical="center"/>
    </xf>
    <xf numFmtId="177" fontId="12" fillId="0" borderId="3" xfId="14" applyNumberFormat="1" applyFont="1" applyBorder="1" applyAlignment="1">
      <alignment horizontal="center" vertical="center"/>
    </xf>
    <xf numFmtId="0" fontId="12" fillId="0" borderId="3" xfId="14" applyFont="1" applyBorder="1" applyAlignment="1">
      <alignment horizontal="center" vertical="center"/>
    </xf>
    <xf numFmtId="0" fontId="12" fillId="0" borderId="1" xfId="14" applyFont="1" applyBorder="1" applyAlignment="1">
      <alignment horizontal="center" vertical="center"/>
    </xf>
    <xf numFmtId="14" fontId="12" fillId="0" borderId="2" xfId="14" applyNumberFormat="1" applyFont="1" applyBorder="1" applyAlignment="1">
      <alignment horizontal="center" vertical="center"/>
    </xf>
    <xf numFmtId="177" fontId="12" fillId="0" borderId="7" xfId="14" applyNumberFormat="1" applyFont="1" applyBorder="1" applyAlignment="1">
      <alignment horizontal="center" vertical="center"/>
    </xf>
    <xf numFmtId="177" fontId="23" fillId="0" borderId="6" xfId="14" applyNumberFormat="1" applyFont="1" applyBorder="1" applyAlignment="1">
      <alignment horizontal="center" vertical="center"/>
    </xf>
    <xf numFmtId="177" fontId="12" fillId="0" borderId="6" xfId="14" applyNumberFormat="1" applyFont="1" applyBorder="1" applyAlignment="1">
      <alignment horizontal="center" vertical="center"/>
    </xf>
    <xf numFmtId="0" fontId="12" fillId="16" borderId="0" xfId="14" applyFont="1" applyFill="1" applyAlignment="1">
      <alignment horizontal="center" vertical="center"/>
    </xf>
    <xf numFmtId="0" fontId="12" fillId="14" borderId="0" xfId="14" applyFont="1" applyFill="1" applyAlignment="1">
      <alignment horizontal="center" vertical="center"/>
    </xf>
    <xf numFmtId="2" fontId="12" fillId="9" borderId="10" xfId="14" applyNumberFormat="1" applyFont="1" applyFill="1" applyBorder="1" applyAlignment="1">
      <alignment horizontal="center" vertical="center"/>
    </xf>
    <xf numFmtId="176" fontId="12" fillId="9" borderId="11" xfId="14" applyNumberFormat="1" applyFont="1" applyFill="1" applyBorder="1" applyAlignment="1">
      <alignment horizontal="center" vertical="center"/>
    </xf>
    <xf numFmtId="2" fontId="12" fillId="9" borderId="9" xfId="14" applyNumberFormat="1" applyFont="1" applyFill="1" applyBorder="1" applyAlignment="1">
      <alignment horizontal="center" vertical="center"/>
    </xf>
    <xf numFmtId="177" fontId="12" fillId="9" borderId="0" xfId="14" applyNumberFormat="1" applyFont="1" applyFill="1" applyAlignment="1">
      <alignment horizontal="center" vertical="center"/>
    </xf>
    <xf numFmtId="177" fontId="12" fillId="9" borderId="9" xfId="14" applyNumberFormat="1" applyFont="1" applyFill="1" applyBorder="1" applyAlignment="1">
      <alignment horizontal="center" vertical="center"/>
    </xf>
    <xf numFmtId="179" fontId="12" fillId="9" borderId="0" xfId="14" applyNumberFormat="1" applyFont="1" applyFill="1" applyAlignment="1">
      <alignment horizontal="center" vertical="center"/>
    </xf>
    <xf numFmtId="0" fontId="12" fillId="9" borderId="11" xfId="14" applyFont="1" applyFill="1" applyBorder="1" applyAlignment="1">
      <alignment horizontal="center" vertical="center"/>
    </xf>
    <xf numFmtId="9" fontId="16" fillId="9" borderId="0" xfId="15" applyFont="1" applyFill="1" applyBorder="1" applyAlignment="1">
      <alignment horizontal="center" vertical="center"/>
    </xf>
    <xf numFmtId="177" fontId="16" fillId="9" borderId="0" xfId="14" applyNumberFormat="1" applyFont="1" applyFill="1" applyAlignment="1">
      <alignment horizontal="center" vertical="center"/>
    </xf>
    <xf numFmtId="177" fontId="16" fillId="9" borderId="10" xfId="14" applyNumberFormat="1" applyFont="1" applyFill="1" applyBorder="1" applyAlignment="1">
      <alignment horizontal="center" vertical="center"/>
    </xf>
    <xf numFmtId="177" fontId="16" fillId="9" borderId="9" xfId="14" applyNumberFormat="1" applyFont="1" applyFill="1" applyBorder="1" applyAlignment="1">
      <alignment horizontal="center" vertical="center"/>
    </xf>
    <xf numFmtId="9" fontId="12" fillId="9" borderId="0" xfId="15" applyFont="1" applyFill="1" applyBorder="1" applyAlignment="1">
      <alignment horizontal="center" vertical="center"/>
    </xf>
    <xf numFmtId="177" fontId="23" fillId="9" borderId="0" xfId="14" applyNumberFormat="1" applyFont="1" applyFill="1" applyAlignment="1">
      <alignment horizontal="center" vertical="center"/>
    </xf>
    <xf numFmtId="177" fontId="12" fillId="9" borderId="10" xfId="14" applyNumberFormat="1" applyFont="1" applyFill="1" applyBorder="1" applyAlignment="1">
      <alignment horizontal="center" vertical="center"/>
    </xf>
    <xf numFmtId="176" fontId="12" fillId="9" borderId="9" xfId="14" applyNumberFormat="1" applyFont="1" applyFill="1" applyBorder="1" applyAlignment="1">
      <alignment horizontal="center" vertical="center"/>
    </xf>
    <xf numFmtId="0" fontId="12" fillId="9" borderId="9" xfId="14" applyFont="1" applyFill="1" applyBorder="1" applyAlignment="1">
      <alignment horizontal="center" vertical="center"/>
    </xf>
    <xf numFmtId="14" fontId="12" fillId="9" borderId="0" xfId="14" applyNumberFormat="1" applyFont="1" applyFill="1" applyAlignment="1">
      <alignment horizontal="center" vertical="center"/>
    </xf>
    <xf numFmtId="0" fontId="12" fillId="12" borderId="0" xfId="14" applyFont="1" applyFill="1" applyAlignment="1">
      <alignment horizontal="center" vertical="center"/>
    </xf>
    <xf numFmtId="2" fontId="12" fillId="15" borderId="10" xfId="14" applyNumberFormat="1" applyFont="1" applyFill="1" applyBorder="1" applyAlignment="1">
      <alignment horizontal="centerContinuous" vertical="center"/>
    </xf>
    <xf numFmtId="176" fontId="12" fillId="15" borderId="9" xfId="14" applyNumberFormat="1" applyFont="1" applyFill="1" applyBorder="1" applyAlignment="1">
      <alignment horizontal="centerContinuous" vertical="center"/>
    </xf>
    <xf numFmtId="182" fontId="12" fillId="15" borderId="0" xfId="14" applyNumberFormat="1" applyFont="1" applyFill="1" applyAlignment="1">
      <alignment horizontal="centerContinuous" vertical="center"/>
    </xf>
    <xf numFmtId="0" fontId="12" fillId="15" borderId="9" xfId="14" applyFont="1" applyFill="1" applyBorder="1" applyAlignment="1">
      <alignment horizontal="centerContinuous" vertical="center"/>
    </xf>
    <xf numFmtId="177" fontId="12" fillId="15" borderId="0" xfId="14" applyNumberFormat="1" applyFont="1" applyFill="1" applyAlignment="1">
      <alignment horizontal="centerContinuous" vertical="center"/>
    </xf>
    <xf numFmtId="177" fontId="12" fillId="15" borderId="10" xfId="14" applyNumberFormat="1" applyFont="1" applyFill="1" applyBorder="1" applyAlignment="1">
      <alignment horizontal="centerContinuous" vertical="center"/>
    </xf>
    <xf numFmtId="14" fontId="12" fillId="15" borderId="11" xfId="14" applyNumberFormat="1" applyFont="1" applyFill="1" applyBorder="1" applyAlignment="1">
      <alignment horizontal="centerContinuous" vertical="center"/>
    </xf>
    <xf numFmtId="177" fontId="16" fillId="15" borderId="9" xfId="14" applyNumberFormat="1" applyFont="1" applyFill="1" applyBorder="1" applyAlignment="1">
      <alignment horizontal="centerContinuous" vertical="center"/>
    </xf>
    <xf numFmtId="9" fontId="16" fillId="15" borderId="0" xfId="15" applyFont="1" applyFill="1" applyBorder="1" applyAlignment="1">
      <alignment horizontal="centerContinuous" vertical="center"/>
    </xf>
    <xf numFmtId="177" fontId="16" fillId="15" borderId="0" xfId="14" applyNumberFormat="1" applyFont="1" applyFill="1" applyAlignment="1">
      <alignment horizontal="centerContinuous" vertical="center"/>
    </xf>
    <xf numFmtId="177" fontId="12" fillId="15" borderId="9" xfId="14" applyNumberFormat="1" applyFont="1" applyFill="1" applyBorder="1" applyAlignment="1">
      <alignment horizontal="centerContinuous" vertical="center"/>
    </xf>
    <xf numFmtId="176" fontId="12" fillId="15" borderId="0" xfId="14" applyNumberFormat="1" applyFont="1" applyFill="1" applyAlignment="1">
      <alignment horizontal="centerContinuous" vertical="center"/>
    </xf>
    <xf numFmtId="0" fontId="12" fillId="15" borderId="11" xfId="14" applyFont="1" applyFill="1" applyBorder="1" applyAlignment="1">
      <alignment horizontal="centerContinuous" vertical="center"/>
    </xf>
    <xf numFmtId="0" fontId="12" fillId="15" borderId="0" xfId="14" applyFont="1" applyFill="1" applyAlignment="1">
      <alignment horizontal="centerContinuous" vertical="center"/>
    </xf>
    <xf numFmtId="14" fontId="12" fillId="15" borderId="0" xfId="14" applyNumberFormat="1" applyFont="1" applyFill="1" applyAlignment="1">
      <alignment horizontal="centerContinuous" vertical="center"/>
    </xf>
    <xf numFmtId="0" fontId="31" fillId="15" borderId="11" xfId="14" applyFont="1" applyFill="1" applyBorder="1" applyAlignment="1">
      <alignment horizontal="centerContinuous" vertical="center"/>
    </xf>
    <xf numFmtId="9" fontId="16" fillId="0" borderId="0" xfId="15" applyFont="1" applyFill="1" applyBorder="1" applyAlignment="1">
      <alignment horizontal="center" vertical="center"/>
    </xf>
    <xf numFmtId="9" fontId="12" fillId="0" borderId="0" xfId="15" applyFont="1" applyFill="1" applyBorder="1" applyAlignment="1">
      <alignment horizontal="center" vertical="center"/>
    </xf>
    <xf numFmtId="9" fontId="12" fillId="13" borderId="0" xfId="15" applyFont="1" applyFill="1" applyBorder="1" applyAlignment="1">
      <alignment horizontal="centerContinuous" vertical="center"/>
    </xf>
    <xf numFmtId="177" fontId="16" fillId="0" borderId="6" xfId="14" applyNumberFormat="1" applyFont="1" applyBorder="1" applyAlignment="1">
      <alignment horizontal="center" vertical="center"/>
    </xf>
    <xf numFmtId="177" fontId="16" fillId="0" borderId="7" xfId="14" applyNumberFormat="1" applyFont="1" applyBorder="1" applyAlignment="1">
      <alignment horizontal="center" vertical="center"/>
    </xf>
    <xf numFmtId="14" fontId="12" fillId="0" borderId="8" xfId="14" applyNumberFormat="1" applyFont="1" applyBorder="1" applyAlignment="1">
      <alignment horizontal="center" vertical="center"/>
    </xf>
    <xf numFmtId="0" fontId="12" fillId="16" borderId="7" xfId="14" applyFont="1" applyFill="1" applyBorder="1" applyAlignment="1">
      <alignment horizontal="center" vertical="center"/>
    </xf>
    <xf numFmtId="14" fontId="12" fillId="0" borderId="11" xfId="14" applyNumberFormat="1" applyFont="1" applyBorder="1" applyAlignment="1">
      <alignment horizontal="center" vertical="center"/>
    </xf>
    <xf numFmtId="14" fontId="12" fillId="0" borderId="9" xfId="14" applyNumberFormat="1" applyFont="1" applyBorder="1" applyAlignment="1">
      <alignment horizontal="center" vertical="center"/>
    </xf>
    <xf numFmtId="0" fontId="12" fillId="16" borderId="10" xfId="14" applyFont="1" applyFill="1" applyBorder="1" applyAlignment="1">
      <alignment horizontal="center" vertical="center"/>
    </xf>
    <xf numFmtId="2" fontId="12" fillId="13" borderId="11" xfId="14" applyNumberFormat="1" applyFont="1" applyFill="1" applyBorder="1" applyAlignment="1">
      <alignment horizontal="centerContinuous" vertical="center"/>
    </xf>
    <xf numFmtId="182" fontId="12" fillId="13" borderId="9" xfId="14" applyNumberFormat="1" applyFont="1" applyFill="1" applyBorder="1" applyAlignment="1">
      <alignment horizontal="centerContinuous" vertical="center"/>
    </xf>
    <xf numFmtId="0" fontId="12" fillId="13" borderId="10" xfId="14" applyFont="1" applyFill="1" applyBorder="1" applyAlignment="1">
      <alignment horizontal="centerContinuous" vertical="center"/>
    </xf>
    <xf numFmtId="0" fontId="12" fillId="13" borderId="0" xfId="14" applyFont="1" applyFill="1" applyAlignment="1">
      <alignment horizontal="centerContinuous" vertical="center"/>
    </xf>
    <xf numFmtId="177" fontId="12" fillId="13" borderId="11" xfId="14" applyNumberFormat="1" applyFont="1" applyFill="1" applyBorder="1" applyAlignment="1">
      <alignment horizontal="centerContinuous" vertical="center"/>
    </xf>
    <xf numFmtId="177" fontId="16" fillId="13" borderId="0" xfId="14" applyNumberFormat="1" applyFont="1" applyFill="1" applyAlignment="1">
      <alignment horizontal="centerContinuous" vertical="center"/>
    </xf>
    <xf numFmtId="177" fontId="16" fillId="13" borderId="10" xfId="14" applyNumberFormat="1" applyFont="1" applyFill="1" applyBorder="1" applyAlignment="1">
      <alignment horizontal="centerContinuous" vertical="center"/>
    </xf>
    <xf numFmtId="9" fontId="16" fillId="13" borderId="0" xfId="15" applyFont="1" applyFill="1" applyBorder="1" applyAlignment="1">
      <alignment horizontal="centerContinuous" vertical="center"/>
    </xf>
    <xf numFmtId="14" fontId="12" fillId="13" borderId="11" xfId="14" applyNumberFormat="1" applyFont="1" applyFill="1" applyBorder="1" applyAlignment="1">
      <alignment horizontal="centerContinuous" vertical="center"/>
    </xf>
    <xf numFmtId="0" fontId="12" fillId="14" borderId="10" xfId="14" applyFont="1" applyFill="1" applyBorder="1" applyAlignment="1">
      <alignment horizontal="center" vertical="center"/>
    </xf>
    <xf numFmtId="182" fontId="12" fillId="9" borderId="0" xfId="14" applyNumberFormat="1" applyFont="1" applyFill="1" applyAlignment="1">
      <alignment horizontal="center" vertical="center"/>
    </xf>
    <xf numFmtId="2" fontId="12" fillId="9" borderId="0" xfId="14" applyNumberFormat="1" applyFont="1" applyFill="1" applyAlignment="1">
      <alignment horizontal="center" vertical="center"/>
    </xf>
    <xf numFmtId="176" fontId="12" fillId="9" borderId="0" xfId="14" applyNumberFormat="1" applyFont="1" applyFill="1" applyAlignment="1">
      <alignment horizontal="center" vertical="center"/>
    </xf>
    <xf numFmtId="14" fontId="12" fillId="9" borderId="11" xfId="14" applyNumberFormat="1" applyFont="1" applyFill="1" applyBorder="1" applyAlignment="1">
      <alignment horizontal="center" vertical="center"/>
    </xf>
    <xf numFmtId="0" fontId="32" fillId="13" borderId="10" xfId="14" applyFont="1" applyFill="1" applyBorder="1" applyAlignment="1">
      <alignment horizontal="centerContinuous" vertical="center"/>
    </xf>
    <xf numFmtId="179" fontId="12" fillId="9" borderId="10" xfId="14" applyNumberFormat="1" applyFont="1" applyFill="1" applyBorder="1" applyAlignment="1">
      <alignment horizontal="center" vertical="center"/>
    </xf>
    <xf numFmtId="0" fontId="12" fillId="12" borderId="10" xfId="14" applyFont="1" applyFill="1" applyBorder="1" applyAlignment="1">
      <alignment horizontal="center" vertical="center"/>
    </xf>
    <xf numFmtId="177" fontId="31" fillId="13" borderId="0" xfId="14" applyNumberFormat="1" applyFont="1" applyFill="1" applyAlignment="1">
      <alignment horizontal="centerContinuous" vertical="center"/>
    </xf>
    <xf numFmtId="182" fontId="12" fillId="0" borderId="2" xfId="14" applyNumberFormat="1" applyFont="1" applyBorder="1" applyAlignment="1">
      <alignment horizontal="center" vertical="center"/>
    </xf>
    <xf numFmtId="14" fontId="12" fillId="0" borderId="4" xfId="14" applyNumberFormat="1" applyFont="1" applyBorder="1" applyAlignment="1">
      <alignment horizontal="center" vertical="center"/>
    </xf>
    <xf numFmtId="14" fontId="12" fillId="0" borderId="1" xfId="14" applyNumberFormat="1" applyFont="1" applyBorder="1" applyAlignment="1">
      <alignment horizontal="center" vertical="center"/>
    </xf>
    <xf numFmtId="0" fontId="12" fillId="12" borderId="3" xfId="14" applyFont="1" applyFill="1" applyBorder="1" applyAlignment="1">
      <alignment horizontal="center" vertical="center"/>
    </xf>
    <xf numFmtId="0" fontId="12" fillId="15" borderId="9" xfId="14" applyFont="1" applyFill="1" applyBorder="1" applyAlignment="1">
      <alignment horizontal="center" vertical="center"/>
    </xf>
    <xf numFmtId="0" fontId="12" fillId="16" borderId="11" xfId="14" applyFont="1" applyFill="1" applyBorder="1" applyAlignment="1">
      <alignment horizontal="center" vertical="center"/>
    </xf>
    <xf numFmtId="0" fontId="12" fillId="16" borderId="4" xfId="14" applyFont="1" applyFill="1" applyBorder="1" applyAlignment="1">
      <alignment horizontal="center" vertical="center"/>
    </xf>
    <xf numFmtId="0" fontId="12" fillId="15" borderId="0" xfId="14" applyFont="1" applyFill="1">
      <alignment vertical="center"/>
    </xf>
    <xf numFmtId="177" fontId="16" fillId="9" borderId="7" xfId="14" applyNumberFormat="1" applyFont="1" applyFill="1" applyBorder="1" applyAlignment="1">
      <alignment horizontal="center" vertical="center"/>
    </xf>
    <xf numFmtId="177" fontId="16" fillId="9" borderId="6" xfId="14" applyNumberFormat="1" applyFont="1" applyFill="1" applyBorder="1" applyAlignment="1">
      <alignment horizontal="center" vertical="center"/>
    </xf>
    <xf numFmtId="177" fontId="12" fillId="9" borderId="6" xfId="14" applyNumberFormat="1" applyFont="1" applyFill="1" applyBorder="1" applyAlignment="1">
      <alignment horizontal="center" vertical="center"/>
    </xf>
    <xf numFmtId="177" fontId="12" fillId="9" borderId="5" xfId="14" applyNumberFormat="1" applyFont="1" applyFill="1" applyBorder="1" applyAlignment="1">
      <alignment horizontal="center" vertical="center"/>
    </xf>
    <xf numFmtId="0" fontId="12" fillId="9" borderId="8" xfId="14" applyFont="1" applyFill="1" applyBorder="1" applyAlignment="1">
      <alignment horizontal="center" vertical="center"/>
    </xf>
    <xf numFmtId="14" fontId="12" fillId="9" borderId="8" xfId="14" applyNumberFormat="1" applyFont="1" applyFill="1" applyBorder="1" applyAlignment="1">
      <alignment horizontal="center" vertical="center"/>
    </xf>
    <xf numFmtId="14" fontId="12" fillId="0" borderId="6" xfId="14" applyNumberFormat="1" applyFont="1" applyBorder="1" applyAlignment="1">
      <alignment horizontal="center" vertical="center"/>
    </xf>
    <xf numFmtId="0" fontId="12" fillId="14" borderId="11" xfId="14" applyFont="1" applyFill="1" applyBorder="1" applyAlignment="1">
      <alignment horizontal="center" vertical="center"/>
    </xf>
    <xf numFmtId="0" fontId="12" fillId="12" borderId="11" xfId="14" applyFont="1" applyFill="1" applyBorder="1" applyAlignment="1">
      <alignment horizontal="center" vertical="center"/>
    </xf>
    <xf numFmtId="0" fontId="32" fillId="13" borderId="11" xfId="14" applyFont="1" applyFill="1" applyBorder="1" applyAlignment="1">
      <alignment horizontal="centerContinuous" vertical="center"/>
    </xf>
    <xf numFmtId="0" fontId="12" fillId="10" borderId="11" xfId="14" applyFont="1" applyFill="1" applyBorder="1" applyAlignment="1">
      <alignment horizontal="center" vertical="center"/>
    </xf>
    <xf numFmtId="0" fontId="12" fillId="0" borderId="2" xfId="14" applyFont="1" applyBorder="1" applyAlignment="1">
      <alignment horizontal="center" vertical="center"/>
    </xf>
    <xf numFmtId="0" fontId="12" fillId="10" borderId="4" xfId="14" applyFont="1" applyFill="1" applyBorder="1" applyAlignment="1">
      <alignment horizontal="center" vertical="center"/>
    </xf>
    <xf numFmtId="0" fontId="12" fillId="0" borderId="0" xfId="18" applyFont="1" applyAlignment="1">
      <alignment horizontal="center" vertical="center"/>
    </xf>
    <xf numFmtId="0" fontId="12" fillId="18" borderId="11" xfId="14" applyFont="1" applyFill="1" applyBorder="1" applyAlignment="1">
      <alignment horizontal="center" vertical="center"/>
    </xf>
    <xf numFmtId="179" fontId="12" fillId="0" borderId="10" xfId="14" applyNumberFormat="1" applyFont="1" applyBorder="1" applyAlignment="1">
      <alignment horizontal="center" vertical="center"/>
    </xf>
    <xf numFmtId="14" fontId="12" fillId="9" borderId="9" xfId="14" applyNumberFormat="1" applyFont="1" applyFill="1" applyBorder="1" applyAlignment="1">
      <alignment horizontal="center" vertical="center"/>
    </xf>
    <xf numFmtId="14" fontId="12" fillId="9" borderId="5" xfId="14" applyNumberFormat="1" applyFont="1" applyFill="1" applyBorder="1" applyAlignment="1">
      <alignment horizontal="center" vertical="center"/>
    </xf>
    <xf numFmtId="176" fontId="12" fillId="9" borderId="6" xfId="14" applyNumberFormat="1" applyFont="1" applyFill="1" applyBorder="1" applyAlignment="1">
      <alignment horizontal="center" vertical="center"/>
    </xf>
    <xf numFmtId="176" fontId="12" fillId="9" borderId="8" xfId="14" applyNumberFormat="1" applyFont="1" applyFill="1" applyBorder="1" applyAlignment="1">
      <alignment horizontal="center" vertical="center"/>
    </xf>
    <xf numFmtId="2" fontId="12" fillId="9" borderId="5" xfId="14" applyNumberFormat="1" applyFont="1" applyFill="1" applyBorder="1" applyAlignment="1">
      <alignment horizontal="center" vertical="center"/>
    </xf>
    <xf numFmtId="2" fontId="12" fillId="9" borderId="6" xfId="14" applyNumberFormat="1" applyFont="1" applyFill="1" applyBorder="1" applyAlignment="1">
      <alignment horizontal="center" vertical="center"/>
    </xf>
    <xf numFmtId="9" fontId="12" fillId="9" borderId="6" xfId="15" applyFont="1" applyFill="1" applyBorder="1" applyAlignment="1">
      <alignment horizontal="center" vertical="center"/>
    </xf>
    <xf numFmtId="177" fontId="16" fillId="9" borderId="5" xfId="14" applyNumberFormat="1" applyFont="1" applyFill="1" applyBorder="1" applyAlignment="1">
      <alignment horizontal="center" vertical="center"/>
    </xf>
    <xf numFmtId="9" fontId="16" fillId="9" borderId="6" xfId="15" applyFont="1" applyFill="1" applyBorder="1" applyAlignment="1">
      <alignment horizontal="center" vertical="center"/>
    </xf>
    <xf numFmtId="179" fontId="12" fillId="9" borderId="6" xfId="14" applyNumberFormat="1" applyFont="1" applyFill="1" applyBorder="1" applyAlignment="1">
      <alignment horizontal="center" vertical="center"/>
    </xf>
    <xf numFmtId="177" fontId="12" fillId="9" borderId="7" xfId="14" applyNumberFormat="1" applyFont="1" applyFill="1" applyBorder="1" applyAlignment="1">
      <alignment horizontal="center" vertical="center"/>
    </xf>
    <xf numFmtId="2" fontId="12" fillId="9" borderId="7" xfId="14" applyNumberFormat="1" applyFont="1" applyFill="1" applyBorder="1" applyAlignment="1">
      <alignment horizontal="center" vertical="center"/>
    </xf>
    <xf numFmtId="0" fontId="4" fillId="9" borderId="0" xfId="14" applyFont="1" applyFill="1">
      <alignment vertical="center"/>
    </xf>
    <xf numFmtId="184" fontId="12" fillId="2" borderId="2" xfId="8" applyNumberFormat="1" applyFont="1" applyFill="1" applyBorder="1" applyAlignment="1">
      <alignment horizontal="center" vertical="center"/>
    </xf>
    <xf numFmtId="184" fontId="12" fillId="0" borderId="0" xfId="8" applyNumberFormat="1" applyFont="1" applyAlignment="1">
      <alignment horizontal="center" vertical="center"/>
    </xf>
    <xf numFmtId="184" fontId="12" fillId="0" borderId="6" xfId="8" applyNumberFormat="1" applyFont="1" applyBorder="1" applyAlignment="1">
      <alignment horizontal="center" vertical="center"/>
    </xf>
    <xf numFmtId="184" fontId="12" fillId="0" borderId="1" xfId="8" applyNumberFormat="1" applyFont="1" applyBorder="1" applyAlignment="1">
      <alignment horizontal="center" vertical="center"/>
    </xf>
    <xf numFmtId="184" fontId="12" fillId="0" borderId="9" xfId="8" applyNumberFormat="1" applyFont="1" applyBorder="1" applyAlignment="1">
      <alignment horizontal="center" vertical="center"/>
    </xf>
    <xf numFmtId="184" fontId="12" fillId="0" borderId="5" xfId="8" applyNumberFormat="1" applyFont="1" applyBorder="1" applyAlignment="1">
      <alignment horizontal="center" vertical="center"/>
    </xf>
    <xf numFmtId="9" fontId="12" fillId="0" borderId="1" xfId="8" applyFont="1" applyBorder="1" applyAlignment="1">
      <alignment horizontal="center" vertical="center"/>
    </xf>
    <xf numFmtId="9" fontId="12" fillId="0" borderId="9" xfId="8" applyFont="1" applyBorder="1" applyAlignment="1">
      <alignment horizontal="center" vertical="center"/>
    </xf>
    <xf numFmtId="9" fontId="12" fillId="0" borderId="5" xfId="8" applyFont="1" applyBorder="1" applyAlignment="1">
      <alignment horizontal="center" vertical="center"/>
    </xf>
    <xf numFmtId="182" fontId="12" fillId="0" borderId="0" xfId="19" applyNumberFormat="1" applyFont="1" applyAlignment="1">
      <alignment horizontal="center" vertical="center"/>
    </xf>
    <xf numFmtId="182" fontId="35" fillId="0" borderId="0" xfId="19" applyNumberFormat="1" applyFont="1" applyAlignment="1">
      <alignment horizontal="center" vertical="center"/>
    </xf>
    <xf numFmtId="176" fontId="12" fillId="0" borderId="0" xfId="19" applyNumberFormat="1" applyFont="1" applyAlignment="1">
      <alignment horizontal="center" vertical="center"/>
    </xf>
    <xf numFmtId="176" fontId="35" fillId="0" borderId="0" xfId="19" applyNumberFormat="1" applyFont="1" applyAlignment="1">
      <alignment horizontal="center" vertical="center"/>
    </xf>
    <xf numFmtId="176" fontId="12" fillId="15" borderId="0" xfId="14" applyNumberFormat="1" applyFont="1" applyFill="1" applyAlignment="1">
      <alignment horizontal="center" vertical="center"/>
    </xf>
    <xf numFmtId="182" fontId="12" fillId="15" borderId="9" xfId="14" applyNumberFormat="1" applyFont="1" applyFill="1" applyBorder="1" applyAlignment="1">
      <alignment horizontal="center" vertical="center"/>
    </xf>
    <xf numFmtId="176" fontId="12" fillId="15" borderId="9" xfId="14" applyNumberFormat="1" applyFont="1" applyFill="1" applyBorder="1" applyAlignment="1">
      <alignment horizontal="center" vertical="center"/>
    </xf>
    <xf numFmtId="176" fontId="12" fillId="0" borderId="4" xfId="19" applyNumberFormat="1" applyFont="1" applyBorder="1" applyAlignment="1">
      <alignment horizontal="center" vertical="center"/>
    </xf>
    <xf numFmtId="176" fontId="12" fillId="0" borderId="11" xfId="19" applyNumberFormat="1" applyFont="1" applyBorder="1" applyAlignment="1">
      <alignment horizontal="center" vertical="center"/>
    </xf>
    <xf numFmtId="176" fontId="12" fillId="0" borderId="8" xfId="19" applyNumberFormat="1" applyFont="1" applyBorder="1" applyAlignment="1">
      <alignment horizontal="center" vertical="center"/>
    </xf>
    <xf numFmtId="176" fontId="12" fillId="0" borderId="37" xfId="19" applyNumberFormat="1" applyFont="1" applyBorder="1" applyAlignment="1">
      <alignment horizontal="center" vertical="center"/>
    </xf>
    <xf numFmtId="0" fontId="7" fillId="13" borderId="0" xfId="14" applyFill="1">
      <alignment vertical="center"/>
    </xf>
    <xf numFmtId="9" fontId="12" fillId="0" borderId="0" xfId="8" applyFont="1">
      <alignment vertical="center"/>
    </xf>
    <xf numFmtId="177" fontId="12" fillId="15" borderId="11" xfId="14" applyNumberFormat="1" applyFont="1" applyFill="1" applyBorder="1" applyAlignment="1">
      <alignment horizontal="centerContinuous" vertical="center"/>
    </xf>
    <xf numFmtId="14" fontId="12" fillId="13" borderId="11" xfId="14" applyNumberFormat="1" applyFont="1" applyFill="1" applyBorder="1" applyAlignment="1">
      <alignment horizontal="center" vertical="center"/>
    </xf>
    <xf numFmtId="56" fontId="16" fillId="0" borderId="11" xfId="18" applyNumberFormat="1" applyFont="1" applyBorder="1" applyAlignment="1">
      <alignment horizontal="center" vertical="center"/>
    </xf>
    <xf numFmtId="177" fontId="16" fillId="0" borderId="9" xfId="18" applyNumberFormat="1" applyFont="1" applyBorder="1" applyAlignment="1">
      <alignment horizontal="center" vertical="center"/>
    </xf>
    <xf numFmtId="177" fontId="16" fillId="0" borderId="0" xfId="18" applyNumberFormat="1" applyFont="1" applyAlignment="1">
      <alignment horizontal="center" vertical="center"/>
    </xf>
    <xf numFmtId="178" fontId="16" fillId="0" borderId="10" xfId="18" applyNumberFormat="1" applyFont="1" applyBorder="1" applyAlignment="1">
      <alignment horizontal="center" vertical="center"/>
    </xf>
    <xf numFmtId="56" fontId="16" fillId="0" borderId="10" xfId="18" applyNumberFormat="1" applyFont="1" applyBorder="1" applyAlignment="1">
      <alignment horizontal="center" vertical="center"/>
    </xf>
    <xf numFmtId="177" fontId="16" fillId="0" borderId="6" xfId="18" applyNumberFormat="1" applyFont="1" applyBorder="1" applyAlignment="1">
      <alignment horizontal="center" vertical="center"/>
    </xf>
    <xf numFmtId="178" fontId="16" fillId="0" borderId="7" xfId="18" applyNumberFormat="1" applyFont="1" applyBorder="1" applyAlignment="1">
      <alignment horizontal="center" vertical="center"/>
    </xf>
    <xf numFmtId="179" fontId="16" fillId="0" borderId="0" xfId="18" applyNumberFormat="1" applyFont="1" applyAlignment="1">
      <alignment horizontal="center" vertical="center"/>
    </xf>
    <xf numFmtId="178" fontId="12" fillId="0" borderId="10" xfId="18" applyNumberFormat="1" applyFont="1" applyBorder="1" applyAlignment="1">
      <alignment horizontal="center" vertical="center"/>
    </xf>
    <xf numFmtId="177" fontId="16" fillId="0" borderId="34" xfId="18" applyNumberFormat="1" applyFont="1" applyBorder="1" applyAlignment="1">
      <alignment horizontal="center" vertical="center"/>
    </xf>
    <xf numFmtId="177" fontId="16" fillId="0" borderId="33" xfId="18" applyNumberFormat="1" applyFont="1" applyBorder="1" applyAlignment="1">
      <alignment horizontal="center" vertical="center"/>
    </xf>
    <xf numFmtId="178" fontId="16" fillId="0" borderId="36" xfId="18" applyNumberFormat="1" applyFont="1" applyBorder="1" applyAlignment="1">
      <alignment horizontal="center" vertical="center"/>
    </xf>
    <xf numFmtId="178" fontId="12" fillId="0" borderId="0" xfId="18" applyNumberFormat="1" applyFont="1" applyAlignment="1">
      <alignment horizontal="center" vertical="center"/>
    </xf>
    <xf numFmtId="0" fontId="12" fillId="18" borderId="0" xfId="14" applyFont="1" applyFill="1" applyAlignment="1">
      <alignment horizontal="center" vertical="center"/>
    </xf>
    <xf numFmtId="0" fontId="12" fillId="20" borderId="0" xfId="14" applyFont="1" applyFill="1" applyAlignment="1">
      <alignment horizontal="center" vertical="center"/>
    </xf>
    <xf numFmtId="177" fontId="12" fillId="18" borderId="0" xfId="18" applyNumberFormat="1" applyFont="1" applyFill="1" applyAlignment="1">
      <alignment horizontal="center" vertical="center"/>
    </xf>
    <xf numFmtId="177" fontId="12" fillId="20" borderId="0" xfId="18" applyNumberFormat="1" applyFont="1" applyFill="1" applyAlignment="1">
      <alignment horizontal="center" vertical="center"/>
    </xf>
    <xf numFmtId="0" fontId="12" fillId="14" borderId="0" xfId="18" applyFont="1" applyFill="1" applyAlignment="1">
      <alignment horizontal="center" vertical="center"/>
    </xf>
    <xf numFmtId="177" fontId="12" fillId="21" borderId="0" xfId="18" applyNumberFormat="1" applyFont="1" applyFill="1" applyAlignment="1">
      <alignment horizontal="center" vertical="center"/>
    </xf>
    <xf numFmtId="14" fontId="12" fillId="18" borderId="1" xfId="18" applyNumberFormat="1" applyFont="1" applyFill="1" applyBorder="1" applyAlignment="1">
      <alignment horizontal="center" vertical="center"/>
    </xf>
    <xf numFmtId="14" fontId="12" fillId="18" borderId="9" xfId="19" applyNumberFormat="1" applyFont="1" applyFill="1" applyBorder="1" applyAlignment="1">
      <alignment horizontal="center" vertical="center"/>
    </xf>
    <xf numFmtId="14" fontId="12" fillId="18" borderId="41" xfId="19" applyNumberFormat="1" applyFont="1" applyFill="1" applyBorder="1" applyAlignment="1">
      <alignment horizontal="center" vertical="center"/>
    </xf>
    <xf numFmtId="14" fontId="12" fillId="18" borderId="42" xfId="19" applyNumberFormat="1" applyFont="1" applyFill="1" applyBorder="1" applyAlignment="1">
      <alignment horizontal="center" vertical="center"/>
    </xf>
    <xf numFmtId="14" fontId="12" fillId="20" borderId="9" xfId="19" applyNumberFormat="1" applyFont="1" applyFill="1" applyBorder="1" applyAlignment="1">
      <alignment horizontal="center" vertical="center"/>
    </xf>
    <xf numFmtId="14" fontId="12" fillId="14" borderId="5" xfId="19" applyNumberFormat="1" applyFont="1" applyFill="1" applyBorder="1" applyAlignment="1">
      <alignment horizontal="center" vertical="center"/>
    </xf>
    <xf numFmtId="14" fontId="12" fillId="21" borderId="41" xfId="19" applyNumberFormat="1" applyFont="1" applyFill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14" fontId="40" fillId="0" borderId="46" xfId="0" applyNumberFormat="1" applyFont="1" applyBorder="1" applyAlignment="1">
      <alignment horizontal="center"/>
    </xf>
    <xf numFmtId="0" fontId="40" fillId="0" borderId="46" xfId="0" applyFont="1" applyBorder="1" applyAlignment="1">
      <alignment horizontal="center"/>
    </xf>
    <xf numFmtId="0" fontId="0" fillId="0" borderId="46" xfId="0" applyBorder="1"/>
    <xf numFmtId="0" fontId="33" fillId="9" borderId="46" xfId="0" applyFont="1" applyFill="1" applyBorder="1" applyAlignment="1">
      <alignment horizontal="center"/>
    </xf>
    <xf numFmtId="0" fontId="33" fillId="0" borderId="46" xfId="0" applyFont="1" applyBorder="1" applyAlignment="1">
      <alignment horizontal="center"/>
    </xf>
    <xf numFmtId="14" fontId="33" fillId="0" borderId="46" xfId="0" applyNumberFormat="1" applyFont="1" applyBorder="1" applyAlignment="1">
      <alignment horizontal="center"/>
    </xf>
    <xf numFmtId="0" fontId="33" fillId="22" borderId="46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9" fillId="9" borderId="46" xfId="0" applyFont="1" applyFill="1" applyBorder="1" applyAlignment="1">
      <alignment horizontal="center" vertical="center"/>
    </xf>
    <xf numFmtId="14" fontId="39" fillId="0" borderId="46" xfId="0" applyNumberFormat="1" applyFont="1" applyBorder="1" applyAlignment="1">
      <alignment horizontal="center" vertical="center"/>
    </xf>
    <xf numFmtId="0" fontId="39" fillId="23" borderId="46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2" fillId="0" borderId="0" xfId="19" applyFont="1" applyAlignment="1">
      <alignment vertical="center"/>
    </xf>
    <xf numFmtId="0" fontId="28" fillId="0" borderId="0" xfId="19"/>
    <xf numFmtId="0" fontId="12" fillId="4" borderId="1" xfId="19" applyFont="1" applyFill="1" applyBorder="1" applyAlignment="1">
      <alignment horizontal="center" vertical="center"/>
    </xf>
    <xf numFmtId="0" fontId="12" fillId="4" borderId="2" xfId="19" applyFont="1" applyFill="1" applyBorder="1" applyAlignment="1">
      <alignment horizontal="center" vertical="center"/>
    </xf>
    <xf numFmtId="0" fontId="12" fillId="4" borderId="3" xfId="19" applyFont="1" applyFill="1" applyBorder="1" applyAlignment="1">
      <alignment horizontal="center" vertical="center"/>
    </xf>
    <xf numFmtId="0" fontId="12" fillId="4" borderId="3" xfId="19" applyFont="1" applyFill="1" applyBorder="1" applyAlignment="1">
      <alignment horizontal="center" vertical="center" wrapText="1"/>
    </xf>
    <xf numFmtId="0" fontId="12" fillId="4" borderId="4" xfId="19" applyFont="1" applyFill="1" applyBorder="1" applyAlignment="1">
      <alignment horizontal="center" vertical="center" wrapText="1"/>
    </xf>
    <xf numFmtId="0" fontId="16" fillId="19" borderId="4" xfId="1" applyFont="1" applyFill="1" applyBorder="1" applyAlignment="1">
      <alignment horizontal="center" vertical="center" wrapText="1"/>
    </xf>
    <xf numFmtId="0" fontId="12" fillId="4" borderId="5" xfId="19" applyFont="1" applyFill="1" applyBorder="1" applyAlignment="1">
      <alignment horizontal="center" vertical="center"/>
    </xf>
    <xf numFmtId="0" fontId="12" fillId="4" borderId="6" xfId="19" applyFont="1" applyFill="1" applyBorder="1" applyAlignment="1">
      <alignment horizontal="center" vertical="center"/>
    </xf>
    <xf numFmtId="0" fontId="12" fillId="4" borderId="7" xfId="19" applyFont="1" applyFill="1" applyBorder="1" applyAlignment="1">
      <alignment horizontal="center" vertical="center"/>
    </xf>
    <xf numFmtId="0" fontId="12" fillId="4" borderId="7" xfId="19" applyFont="1" applyFill="1" applyBorder="1" applyAlignment="1">
      <alignment horizontal="center" vertical="center" wrapText="1"/>
    </xf>
    <xf numFmtId="0" fontId="12" fillId="4" borderId="8" xfId="19" applyFont="1" applyFill="1" applyBorder="1" applyAlignment="1">
      <alignment horizontal="center" vertical="center" wrapText="1"/>
    </xf>
    <xf numFmtId="0" fontId="16" fillId="19" borderId="8" xfId="1" applyFont="1" applyFill="1" applyBorder="1" applyAlignment="1">
      <alignment horizontal="center" vertical="center" wrapText="1"/>
    </xf>
    <xf numFmtId="0" fontId="12" fillId="0" borderId="9" xfId="19" applyFont="1" applyBorder="1" applyAlignment="1">
      <alignment horizontal="center" vertical="center"/>
    </xf>
    <xf numFmtId="56" fontId="12" fillId="0" borderId="9" xfId="19" applyNumberFormat="1" applyFont="1" applyBorder="1" applyAlignment="1">
      <alignment horizontal="center" vertical="center"/>
    </xf>
    <xf numFmtId="20" fontId="12" fillId="0" borderId="0" xfId="19" applyNumberFormat="1" applyFont="1" applyAlignment="1">
      <alignment horizontal="center" vertical="center"/>
    </xf>
    <xf numFmtId="20" fontId="12" fillId="0" borderId="10" xfId="19" applyNumberFormat="1" applyFont="1" applyBorder="1" applyAlignment="1">
      <alignment horizontal="center" vertical="center"/>
    </xf>
    <xf numFmtId="46" fontId="12" fillId="0" borderId="10" xfId="19" applyNumberFormat="1" applyFont="1" applyBorder="1" applyAlignment="1">
      <alignment horizontal="center" vertical="center"/>
    </xf>
    <xf numFmtId="0" fontId="12" fillId="0" borderId="11" xfId="19" applyFont="1" applyBorder="1" applyAlignment="1">
      <alignment horizontal="center" vertical="center"/>
    </xf>
    <xf numFmtId="56" fontId="12" fillId="0" borderId="5" xfId="19" applyNumberFormat="1" applyFont="1" applyBorder="1" applyAlignment="1">
      <alignment horizontal="center" vertical="center"/>
    </xf>
    <xf numFmtId="20" fontId="12" fillId="0" borderId="6" xfId="19" applyNumberFormat="1" applyFont="1" applyBorder="1" applyAlignment="1">
      <alignment horizontal="center" vertical="center"/>
    </xf>
    <xf numFmtId="56" fontId="36" fillId="0" borderId="9" xfId="25" applyNumberFormat="1" applyBorder="1" applyAlignment="1">
      <alignment horizontal="center" vertical="center"/>
    </xf>
    <xf numFmtId="20" fontId="12" fillId="0" borderId="7" xfId="19" applyNumberFormat="1" applyFont="1" applyBorder="1" applyAlignment="1">
      <alignment horizontal="center" vertical="center"/>
    </xf>
    <xf numFmtId="46" fontId="12" fillId="0" borderId="7" xfId="19" applyNumberFormat="1" applyFont="1" applyBorder="1" applyAlignment="1">
      <alignment horizontal="center" vertical="center"/>
    </xf>
    <xf numFmtId="0" fontId="12" fillId="0" borderId="8" xfId="19" applyFont="1" applyBorder="1" applyAlignment="1">
      <alignment horizontal="center" vertical="center"/>
    </xf>
    <xf numFmtId="0" fontId="28" fillId="0" borderId="0" xfId="19" applyAlignment="1">
      <alignment vertical="center"/>
    </xf>
    <xf numFmtId="2" fontId="12" fillId="0" borderId="0" xfId="16" applyNumberFormat="1" applyFont="1" applyFill="1" applyBorder="1" applyAlignment="1">
      <alignment horizontal="center" vertical="center"/>
    </xf>
    <xf numFmtId="9" fontId="12" fillId="0" borderId="0" xfId="16" applyFont="1" applyBorder="1" applyAlignment="1">
      <alignment horizontal="center" vertical="center"/>
    </xf>
    <xf numFmtId="0" fontId="12" fillId="0" borderId="2" xfId="19" applyFont="1" applyBorder="1" applyAlignment="1">
      <alignment horizontal="center" vertical="center"/>
    </xf>
    <xf numFmtId="0" fontId="19" fillId="2" borderId="4" xfId="14" applyFont="1" applyFill="1" applyBorder="1" applyAlignment="1">
      <alignment horizontal="center" vertical="center" wrapText="1"/>
    </xf>
    <xf numFmtId="0" fontId="21" fillId="2" borderId="2" xfId="14" applyFont="1" applyFill="1" applyBorder="1" applyAlignment="1">
      <alignment horizontal="center" vertical="center" wrapText="1"/>
    </xf>
    <xf numFmtId="0" fontId="42" fillId="0" borderId="0" xfId="19" applyFont="1" applyAlignment="1">
      <alignment horizontal="center" vertical="center"/>
    </xf>
    <xf numFmtId="0" fontId="12" fillId="0" borderId="30" xfId="19" applyFont="1" applyBorder="1" applyAlignment="1">
      <alignment horizontal="center" vertical="center"/>
    </xf>
    <xf numFmtId="14" fontId="12" fillId="0" borderId="46" xfId="14" applyNumberFormat="1" applyFont="1" applyBorder="1" applyAlignment="1">
      <alignment horizontal="center" vertical="center"/>
    </xf>
    <xf numFmtId="14" fontId="12" fillId="0" borderId="46" xfId="19" applyNumberFormat="1" applyFont="1" applyBorder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180" fontId="43" fillId="0" borderId="46" xfId="0" applyNumberFormat="1" applyFont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center" vertical="center"/>
    </xf>
    <xf numFmtId="0" fontId="12" fillId="5" borderId="3" xfId="2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center" vertical="center"/>
    </xf>
    <xf numFmtId="0" fontId="12" fillId="7" borderId="3" xfId="2" applyFont="1" applyFill="1" applyBorder="1" applyAlignment="1">
      <alignment horizontal="center" vertical="center"/>
    </xf>
    <xf numFmtId="0" fontId="27" fillId="7" borderId="2" xfId="2" applyFont="1" applyFill="1" applyBorder="1" applyAlignment="1">
      <alignment horizontal="center" vertical="center"/>
    </xf>
    <xf numFmtId="0" fontId="33" fillId="24" borderId="0" xfId="0" applyFont="1" applyFill="1" applyAlignment="1">
      <alignment horizontal="center"/>
    </xf>
    <xf numFmtId="0" fontId="38" fillId="0" borderId="46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5" borderId="12" xfId="14" applyFont="1" applyFill="1" applyBorder="1" applyAlignment="1">
      <alignment horizontal="center" vertical="center"/>
    </xf>
    <xf numFmtId="0" fontId="12" fillId="5" borderId="13" xfId="14" applyFont="1" applyFill="1" applyBorder="1" applyAlignment="1">
      <alignment horizontal="center" vertical="center"/>
    </xf>
    <xf numFmtId="0" fontId="12" fillId="5" borderId="14" xfId="14" applyFont="1" applyFill="1" applyBorder="1" applyAlignment="1">
      <alignment horizontal="center" vertical="center"/>
    </xf>
    <xf numFmtId="0" fontId="12" fillId="7" borderId="13" xfId="14" applyFont="1" applyFill="1" applyBorder="1" applyAlignment="1">
      <alignment horizontal="center" vertical="center"/>
    </xf>
    <xf numFmtId="0" fontId="12" fillId="7" borderId="14" xfId="14" applyFont="1" applyFill="1" applyBorder="1" applyAlignment="1">
      <alignment horizontal="center" vertical="center"/>
    </xf>
    <xf numFmtId="0" fontId="12" fillId="5" borderId="12" xfId="14" applyFont="1" applyFill="1" applyBorder="1" applyAlignment="1">
      <alignment horizontal="center" vertical="center"/>
    </xf>
    <xf numFmtId="0" fontId="32" fillId="7" borderId="12" xfId="14" applyFont="1" applyFill="1" applyBorder="1" applyAlignment="1">
      <alignment horizontal="center" vertical="center"/>
    </xf>
    <xf numFmtId="0" fontId="12" fillId="0" borderId="46" xfId="14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14" fontId="12" fillId="0" borderId="46" xfId="0" applyNumberFormat="1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177" fontId="12" fillId="0" borderId="0" xfId="2" applyNumberFormat="1" applyFont="1" applyBorder="1" applyAlignment="1">
      <alignment horizontal="center" vertical="center"/>
    </xf>
    <xf numFmtId="177" fontId="23" fillId="0" borderId="0" xfId="2" applyNumberFormat="1" applyFont="1" applyBorder="1" applyAlignment="1">
      <alignment horizontal="center" vertical="center"/>
    </xf>
  </cellXfs>
  <cellStyles count="27">
    <cellStyle name="パーセント" xfId="8" builtinId="5"/>
    <cellStyle name="パーセント 2" xfId="4" xr:uid="{699F265A-5F57-4B5F-9C40-070BEFD07424}"/>
    <cellStyle name="パーセント 2 2" xfId="7" xr:uid="{B953D343-1348-4321-BD43-26581B187FDF}"/>
    <cellStyle name="パーセント 2 3" xfId="17" xr:uid="{FABE65C0-1069-4CCE-A0A3-8FDA79938755}"/>
    <cellStyle name="パーセント 3" xfId="10" xr:uid="{D834A928-8214-49AF-A2F9-5E270AA8CF32}"/>
    <cellStyle name="パーセント 3 2" xfId="15" xr:uid="{2A9C98A6-B1BB-4A9C-88E9-66C2992ABF54}"/>
    <cellStyle name="パーセント 4" xfId="16" xr:uid="{D62D9AA8-B068-4B3D-B402-A4224406DDA0}"/>
    <cellStyle name="パーセント 5" xfId="21" xr:uid="{32E359EE-F903-4A17-ABB6-53F77F11E8B2}"/>
    <cellStyle name="パーセント 6" xfId="23" xr:uid="{46043DE1-4F13-4FE7-9D32-E56ADAB3212A}"/>
    <cellStyle name="ハイパーリンク" xfId="25" builtinId="8"/>
    <cellStyle name="標準" xfId="0" builtinId="0"/>
    <cellStyle name="標準 10" xfId="24" xr:uid="{CA82CD51-2D8C-4897-9D50-D9668D25008E}"/>
    <cellStyle name="標準 11" xfId="26" xr:uid="{95D4FE9D-AC3F-40BF-893E-C105FC96AF06}"/>
    <cellStyle name="標準 2" xfId="1" xr:uid="{0EE425DC-85AA-46EC-9E3B-E77F317DBFCE}"/>
    <cellStyle name="標準 2 2" xfId="12" xr:uid="{3B75CF27-4FA8-47C4-9FE3-4095BB2D6784}"/>
    <cellStyle name="標準 3" xfId="2" xr:uid="{12634BF7-6D22-4ADD-B5FB-1298DAC8A335}"/>
    <cellStyle name="標準 3 2" xfId="5" xr:uid="{40AB9310-3A69-4CE1-B267-362442CB3DE3}"/>
    <cellStyle name="標準 3 3" xfId="6" xr:uid="{5AA37A8B-DBC5-4D5B-893F-BBE91EA04AE9}"/>
    <cellStyle name="標準 3 4" xfId="18" xr:uid="{E64241ED-2B72-4BD1-83FB-AC8D711A2E3B}"/>
    <cellStyle name="標準 4" xfId="3" xr:uid="{B3AEBF21-8B87-4123-9721-213D1F2D1479}"/>
    <cellStyle name="標準 4 2" xfId="19" xr:uid="{EBF5BD24-9115-43DC-B380-69EDF04799B1}"/>
    <cellStyle name="標準 5" xfId="9" xr:uid="{437AA50E-A9E7-422E-B3E3-026F51085C1B}"/>
    <cellStyle name="標準 5 2" xfId="14" xr:uid="{16FE8F48-F6B3-4434-A9F3-330014E9C4A0}"/>
    <cellStyle name="標準 6" xfId="11" xr:uid="{36E0B809-D6E7-4352-B0C7-C9BFC9F938D4}"/>
    <cellStyle name="標準 7" xfId="13" xr:uid="{6DA34ADA-6047-4117-89EC-4B705323928D}"/>
    <cellStyle name="標準 8" xfId="20" xr:uid="{51CF7522-B073-411D-BA3E-3057910C532E}"/>
    <cellStyle name="標準 9" xfId="22" xr:uid="{76D55062-B228-4085-BBF0-4940E256255E}"/>
  </cellStyles>
  <dxfs count="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FFCCFF"/>
      <color rgb="FFD9E1F2"/>
      <color rgb="FFC6E0B4"/>
      <color rgb="FFFF99FF"/>
      <color rgb="FFCC66FF"/>
      <color rgb="FFFF0000"/>
      <color rgb="FF70AD47"/>
      <color rgb="FF0000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'Dhaka IC(新)'!$T$5</c:f>
              <c:strCache>
                <c:ptCount val="1"/>
                <c:pt idx="0">
                  <c:v>Cl-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'Dhaka IC(新)'!$C$6:$C$96</c:f>
              <c:numCache>
                <c:formatCode>m/d/yyyy</c:formatCode>
                <c:ptCount val="91"/>
                <c:pt idx="0">
                  <c:v>45050</c:v>
                </c:pt>
                <c:pt idx="1">
                  <c:v>45058</c:v>
                </c:pt>
                <c:pt idx="2">
                  <c:v>45066</c:v>
                </c:pt>
                <c:pt idx="3">
                  <c:v>45074</c:v>
                </c:pt>
                <c:pt idx="4">
                  <c:v>45082</c:v>
                </c:pt>
                <c:pt idx="5">
                  <c:v>45090</c:v>
                </c:pt>
                <c:pt idx="6">
                  <c:v>45098</c:v>
                </c:pt>
                <c:pt idx="7">
                  <c:v>45113</c:v>
                </c:pt>
                <c:pt idx="8">
                  <c:v>45121</c:v>
                </c:pt>
                <c:pt idx="9">
                  <c:v>45129</c:v>
                </c:pt>
                <c:pt idx="10">
                  <c:v>45137</c:v>
                </c:pt>
                <c:pt idx="11">
                  <c:v>45145</c:v>
                </c:pt>
                <c:pt idx="12">
                  <c:v>45153</c:v>
                </c:pt>
                <c:pt idx="13">
                  <c:v>45170</c:v>
                </c:pt>
                <c:pt idx="14">
                  <c:v>45178</c:v>
                </c:pt>
                <c:pt idx="15">
                  <c:v>45186</c:v>
                </c:pt>
                <c:pt idx="16">
                  <c:v>45202</c:v>
                </c:pt>
                <c:pt idx="18">
                  <c:v>45293</c:v>
                </c:pt>
                <c:pt idx="19">
                  <c:v>45300</c:v>
                </c:pt>
                <c:pt idx="20">
                  <c:v>45305</c:v>
                </c:pt>
                <c:pt idx="21">
                  <c:v>45310</c:v>
                </c:pt>
                <c:pt idx="22">
                  <c:v>45315</c:v>
                </c:pt>
                <c:pt idx="23">
                  <c:v>45320</c:v>
                </c:pt>
                <c:pt idx="24">
                  <c:v>45327</c:v>
                </c:pt>
                <c:pt idx="25">
                  <c:v>45337</c:v>
                </c:pt>
                <c:pt idx="26">
                  <c:v>45340</c:v>
                </c:pt>
                <c:pt idx="27">
                  <c:v>45347</c:v>
                </c:pt>
                <c:pt idx="28">
                  <c:v>45356</c:v>
                </c:pt>
                <c:pt idx="29">
                  <c:v>45361</c:v>
                </c:pt>
                <c:pt idx="30">
                  <c:v>45369</c:v>
                </c:pt>
                <c:pt idx="31">
                  <c:v>45376</c:v>
                </c:pt>
                <c:pt idx="32">
                  <c:v>45384</c:v>
                </c:pt>
                <c:pt idx="33">
                  <c:v>45398</c:v>
                </c:pt>
                <c:pt idx="34">
                  <c:v>45406</c:v>
                </c:pt>
                <c:pt idx="35">
                  <c:v>45417</c:v>
                </c:pt>
                <c:pt idx="36">
                  <c:v>45425</c:v>
                </c:pt>
                <c:pt idx="37">
                  <c:v>45437</c:v>
                </c:pt>
                <c:pt idx="38">
                  <c:v>45453</c:v>
                </c:pt>
                <c:pt idx="39">
                  <c:v>45461</c:v>
                </c:pt>
                <c:pt idx="40">
                  <c:v>45469</c:v>
                </c:pt>
                <c:pt idx="41">
                  <c:v>45517</c:v>
                </c:pt>
                <c:pt idx="42">
                  <c:v>45526</c:v>
                </c:pt>
                <c:pt idx="43">
                  <c:v>45534</c:v>
                </c:pt>
                <c:pt idx="44">
                  <c:v>45543</c:v>
                </c:pt>
                <c:pt idx="45">
                  <c:v>45552</c:v>
                </c:pt>
                <c:pt idx="46">
                  <c:v>45560</c:v>
                </c:pt>
                <c:pt idx="47">
                  <c:v>45568</c:v>
                </c:pt>
                <c:pt idx="48">
                  <c:v>45579</c:v>
                </c:pt>
                <c:pt idx="49">
                  <c:v>45587</c:v>
                </c:pt>
                <c:pt idx="50">
                  <c:v>45595</c:v>
                </c:pt>
                <c:pt idx="51">
                  <c:v>45604</c:v>
                </c:pt>
                <c:pt idx="52">
                  <c:v>45615</c:v>
                </c:pt>
                <c:pt idx="53">
                  <c:v>45623</c:v>
                </c:pt>
                <c:pt idx="54">
                  <c:v>45631</c:v>
                </c:pt>
                <c:pt idx="55">
                  <c:v>45639</c:v>
                </c:pt>
                <c:pt idx="56">
                  <c:v>45646</c:v>
                </c:pt>
                <c:pt idx="57">
                  <c:v>45661</c:v>
                </c:pt>
                <c:pt idx="58">
                  <c:v>45669</c:v>
                </c:pt>
                <c:pt idx="59">
                  <c:v>45677</c:v>
                </c:pt>
                <c:pt idx="61">
                  <c:v>45754</c:v>
                </c:pt>
                <c:pt idx="62">
                  <c:v>45762</c:v>
                </c:pt>
                <c:pt idx="63">
                  <c:v>45768</c:v>
                </c:pt>
                <c:pt idx="64">
                  <c:v>45775</c:v>
                </c:pt>
                <c:pt idx="65">
                  <c:v>45782</c:v>
                </c:pt>
                <c:pt idx="66">
                  <c:v>45790</c:v>
                </c:pt>
                <c:pt idx="67">
                  <c:v>45798</c:v>
                </c:pt>
                <c:pt idx="68">
                  <c:v>45811</c:v>
                </c:pt>
                <c:pt idx="69">
                  <c:v>45819</c:v>
                </c:pt>
                <c:pt idx="70">
                  <c:v>45827</c:v>
                </c:pt>
                <c:pt idx="71">
                  <c:v>45835</c:v>
                </c:pt>
                <c:pt idx="72">
                  <c:v>45851</c:v>
                </c:pt>
                <c:pt idx="73">
                  <c:v>45859</c:v>
                </c:pt>
                <c:pt idx="74">
                  <c:v>45867</c:v>
                </c:pt>
                <c:pt idx="75">
                  <c:v>45883</c:v>
                </c:pt>
                <c:pt idx="76">
                  <c:v>45891</c:v>
                </c:pt>
                <c:pt idx="77">
                  <c:v>45899</c:v>
                </c:pt>
                <c:pt idx="78">
                  <c:v>45908</c:v>
                </c:pt>
                <c:pt idx="79">
                  <c:v>45916</c:v>
                </c:pt>
                <c:pt idx="80">
                  <c:v>45924</c:v>
                </c:pt>
                <c:pt idx="81">
                  <c:v>45932</c:v>
                </c:pt>
                <c:pt idx="82">
                  <c:v>45950</c:v>
                </c:pt>
                <c:pt idx="83">
                  <c:v>45948</c:v>
                </c:pt>
                <c:pt idx="84">
                  <c:v>45956</c:v>
                </c:pt>
                <c:pt idx="85">
                  <c:v>45965</c:v>
                </c:pt>
                <c:pt idx="86">
                  <c:v>45973</c:v>
                </c:pt>
                <c:pt idx="87">
                  <c:v>45981</c:v>
                </c:pt>
                <c:pt idx="88">
                  <c:v>45989</c:v>
                </c:pt>
                <c:pt idx="89">
                  <c:v>45997</c:v>
                </c:pt>
                <c:pt idx="90">
                  <c:v>46005</c:v>
                </c:pt>
              </c:numCache>
            </c:numRef>
          </c:cat>
          <c:val>
            <c:numRef>
              <c:f>'Dhaka IC(新)'!$T$6:$T$96</c:f>
              <c:numCache>
                <c:formatCode>0.00_ </c:formatCode>
                <c:ptCount val="91"/>
                <c:pt idx="0">
                  <c:v>0.12554409088228352</c:v>
                </c:pt>
                <c:pt idx="1">
                  <c:v>0.66633514057370291</c:v>
                </c:pt>
                <c:pt idx="2">
                  <c:v>0.10452389048229276</c:v>
                </c:pt>
                <c:pt idx="3">
                  <c:v>0.21295602176220804</c:v>
                </c:pt>
                <c:pt idx="4">
                  <c:v>0.22989289504935242</c:v>
                </c:pt>
                <c:pt idx="5">
                  <c:v>0.59378159692734134</c:v>
                </c:pt>
                <c:pt idx="6">
                  <c:v>0.38528035549876877</c:v>
                </c:pt>
                <c:pt idx="7">
                  <c:v>0.10105591980271617</c:v>
                </c:pt>
                <c:pt idx="8">
                  <c:v>0.21021374135999052</c:v>
                </c:pt>
                <c:pt idx="9">
                  <c:v>3.7139516237370801E-2</c:v>
                </c:pt>
                <c:pt idx="10">
                  <c:v>0.29356630974472642</c:v>
                </c:pt>
                <c:pt idx="11">
                  <c:v>0.56766586380491113</c:v>
                </c:pt>
                <c:pt idx="12">
                  <c:v>0.4493766954394311</c:v>
                </c:pt>
                <c:pt idx="13">
                  <c:v>0.48804184633757958</c:v>
                </c:pt>
                <c:pt idx="14">
                  <c:v>0.3325691294674451</c:v>
                </c:pt>
                <c:pt idx="15">
                  <c:v>0.2169589006096769</c:v>
                </c:pt>
                <c:pt idx="16">
                  <c:v>0.50883186173036088</c:v>
                </c:pt>
                <c:pt idx="18">
                  <c:v>1.4310973769718383</c:v>
                </c:pt>
                <c:pt idx="19">
                  <c:v>0.9980894253408078</c:v>
                </c:pt>
                <c:pt idx="20">
                  <c:v>1.3054652615354256</c:v>
                </c:pt>
                <c:pt idx="21">
                  <c:v>0.94150049732990226</c:v>
                </c:pt>
                <c:pt idx="22">
                  <c:v>3.0247598645560863</c:v>
                </c:pt>
                <c:pt idx="23">
                  <c:v>1.125471278897233</c:v>
                </c:pt>
                <c:pt idx="24">
                  <c:v>2.2242952530843758</c:v>
                </c:pt>
                <c:pt idx="25">
                  <c:v>2.6595743022142373</c:v>
                </c:pt>
                <c:pt idx="26">
                  <c:v>2.2583315427563759</c:v>
                </c:pt>
                <c:pt idx="27">
                  <c:v>1.9641729714936689</c:v>
                </c:pt>
                <c:pt idx="28">
                  <c:v>2.6013414289886452</c:v>
                </c:pt>
                <c:pt idx="29">
                  <c:v>2.0606908694777912</c:v>
                </c:pt>
                <c:pt idx="30">
                  <c:v>1.7985544587939006</c:v>
                </c:pt>
                <c:pt idx="31">
                  <c:v>0.73713575980228141</c:v>
                </c:pt>
                <c:pt idx="32">
                  <c:v>0.41014988973396804</c:v>
                </c:pt>
                <c:pt idx="33">
                  <c:v>0.49203879461835842</c:v>
                </c:pt>
                <c:pt idx="34">
                  <c:v>0.53030359889666867</c:v>
                </c:pt>
                <c:pt idx="35">
                  <c:v>1.3648150482206158</c:v>
                </c:pt>
                <c:pt idx="36">
                  <c:v>0.67024219239397076</c:v>
                </c:pt>
                <c:pt idx="37">
                  <c:v>0.1269249609071168</c:v>
                </c:pt>
                <c:pt idx="38">
                  <c:v>0.33382571365311625</c:v>
                </c:pt>
                <c:pt idx="39">
                  <c:v>1.1529355208277452</c:v>
                </c:pt>
                <c:pt idx="40">
                  <c:v>0.29000799108223546</c:v>
                </c:pt>
                <c:pt idx="41">
                  <c:v>1.0073570512889116</c:v>
                </c:pt>
                <c:pt idx="42">
                  <c:v>0.45525374689581399</c:v>
                </c:pt>
                <c:pt idx="43">
                  <c:v>0.77303924539701918</c:v>
                </c:pt>
                <c:pt idx="44">
                  <c:v>0.28689907297694933</c:v>
                </c:pt>
                <c:pt idx="45">
                  <c:v>0.6737566215564682</c:v>
                </c:pt>
                <c:pt idx="46">
                  <c:v>0.23506124283011304</c:v>
                </c:pt>
                <c:pt idx="47">
                  <c:v>0.81075177371766416</c:v>
                </c:pt>
                <c:pt idx="48">
                  <c:v>1.21518146810967</c:v>
                </c:pt>
                <c:pt idx="49">
                  <c:v>0.24154941974549277</c:v>
                </c:pt>
                <c:pt idx="50">
                  <c:v>0.19153638935610701</c:v>
                </c:pt>
                <c:pt idx="51">
                  <c:v>0.16348854123232992</c:v>
                </c:pt>
                <c:pt idx="52">
                  <c:v>0.52411022119731165</c:v>
                </c:pt>
                <c:pt idx="53">
                  <c:v>1.2603087284812569</c:v>
                </c:pt>
                <c:pt idx="54">
                  <c:v>0.91719288709529556</c:v>
                </c:pt>
                <c:pt idx="55">
                  <c:v>1.8312918531681746</c:v>
                </c:pt>
                <c:pt idx="56">
                  <c:v>3.8649261412023712</c:v>
                </c:pt>
                <c:pt idx="57">
                  <c:v>0.90636416351683857</c:v>
                </c:pt>
                <c:pt idx="58">
                  <c:v>0.64374183406407304</c:v>
                </c:pt>
                <c:pt idx="59">
                  <c:v>1.1362424954823653</c:v>
                </c:pt>
                <c:pt idx="61">
                  <c:v>1.5133914681149054</c:v>
                </c:pt>
                <c:pt idx="62">
                  <c:v>1.0565740291551471</c:v>
                </c:pt>
                <c:pt idx="63">
                  <c:v>1.8600653186766452</c:v>
                </c:pt>
                <c:pt idx="64">
                  <c:v>0.72892779288126697</c:v>
                </c:pt>
                <c:pt idx="65">
                  <c:v>0.54599971243090673</c:v>
                </c:pt>
                <c:pt idx="66">
                  <c:v>0.56247484187527308</c:v>
                </c:pt>
                <c:pt idx="67">
                  <c:v>1.2375684089664973</c:v>
                </c:pt>
                <c:pt idx="68">
                  <c:v>0.37694271123104567</c:v>
                </c:pt>
                <c:pt idx="69">
                  <c:v>1.3293031672811391</c:v>
                </c:pt>
                <c:pt idx="70">
                  <c:v>0.40777879075446088</c:v>
                </c:pt>
                <c:pt idx="71">
                  <c:v>0.30768227009444821</c:v>
                </c:pt>
                <c:pt idx="72">
                  <c:v>8.0989413664659504E-2</c:v>
                </c:pt>
                <c:pt idx="73">
                  <c:v>3.1465743490767244E-2</c:v>
                </c:pt>
                <c:pt idx="74">
                  <c:v>0.26169785021467334</c:v>
                </c:pt>
                <c:pt idx="75">
                  <c:v>0.31083401123227544</c:v>
                </c:pt>
                <c:pt idx="76">
                  <c:v>0.14637512530269886</c:v>
                </c:pt>
                <c:pt idx="77">
                  <c:v>8.8713762846711605E-2</c:v>
                </c:pt>
                <c:pt idx="78">
                  <c:v>0.16422638043580243</c:v>
                </c:pt>
                <c:pt idx="79">
                  <c:v>5.4096278218117078E-2</c:v>
                </c:pt>
                <c:pt idx="80">
                  <c:v>6.8821626157146071E-2</c:v>
                </c:pt>
                <c:pt idx="81">
                  <c:v>0.20723989678401872</c:v>
                </c:pt>
                <c:pt idx="82">
                  <c:v>0.1794167393623797</c:v>
                </c:pt>
                <c:pt idx="83">
                  <c:v>4.3039350291968981E-2</c:v>
                </c:pt>
                <c:pt idx="84">
                  <c:v>0.1067975234735893</c:v>
                </c:pt>
                <c:pt idx="85">
                  <c:v>0.1429133768398394</c:v>
                </c:pt>
                <c:pt idx="86">
                  <c:v>0.23250549377414215</c:v>
                </c:pt>
                <c:pt idx="87">
                  <c:v>0.25079592595104139</c:v>
                </c:pt>
                <c:pt idx="88">
                  <c:v>0.25312098088878277</c:v>
                </c:pt>
                <c:pt idx="89">
                  <c:v>0.20630987480892216</c:v>
                </c:pt>
                <c:pt idx="90">
                  <c:v>0.14198335486474284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3-47E0-BEF1-6F7354CA2D0E}"/>
            </c:ext>
          </c:extLst>
        </c:ser>
        <c:ser>
          <c:idx val="1"/>
          <c:order val="1"/>
          <c:tx>
            <c:strRef>
              <c:f>'Dhaka IC(新)'!$U$5</c:f>
              <c:strCache>
                <c:ptCount val="1"/>
                <c:pt idx="0">
                  <c:v>NO2-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'Dhaka IC(新)'!$C$6:$C$96</c:f>
              <c:numCache>
                <c:formatCode>m/d/yyyy</c:formatCode>
                <c:ptCount val="91"/>
                <c:pt idx="0">
                  <c:v>45050</c:v>
                </c:pt>
                <c:pt idx="1">
                  <c:v>45058</c:v>
                </c:pt>
                <c:pt idx="2">
                  <c:v>45066</c:v>
                </c:pt>
                <c:pt idx="3">
                  <c:v>45074</c:v>
                </c:pt>
                <c:pt idx="4">
                  <c:v>45082</c:v>
                </c:pt>
                <c:pt idx="5">
                  <c:v>45090</c:v>
                </c:pt>
                <c:pt idx="6">
                  <c:v>45098</c:v>
                </c:pt>
                <c:pt idx="7">
                  <c:v>45113</c:v>
                </c:pt>
                <c:pt idx="8">
                  <c:v>45121</c:v>
                </c:pt>
                <c:pt idx="9">
                  <c:v>45129</c:v>
                </c:pt>
                <c:pt idx="10">
                  <c:v>45137</c:v>
                </c:pt>
                <c:pt idx="11">
                  <c:v>45145</c:v>
                </c:pt>
                <c:pt idx="12">
                  <c:v>45153</c:v>
                </c:pt>
                <c:pt idx="13">
                  <c:v>45170</c:v>
                </c:pt>
                <c:pt idx="14">
                  <c:v>45178</c:v>
                </c:pt>
                <c:pt idx="15">
                  <c:v>45186</c:v>
                </c:pt>
                <c:pt idx="16">
                  <c:v>45202</c:v>
                </c:pt>
                <c:pt idx="18">
                  <c:v>45293</c:v>
                </c:pt>
                <c:pt idx="19">
                  <c:v>45300</c:v>
                </c:pt>
                <c:pt idx="20">
                  <c:v>45305</c:v>
                </c:pt>
                <c:pt idx="21">
                  <c:v>45310</c:v>
                </c:pt>
                <c:pt idx="22">
                  <c:v>45315</c:v>
                </c:pt>
                <c:pt idx="23">
                  <c:v>45320</c:v>
                </c:pt>
                <c:pt idx="24">
                  <c:v>45327</c:v>
                </c:pt>
                <c:pt idx="25">
                  <c:v>45337</c:v>
                </c:pt>
                <c:pt idx="26">
                  <c:v>45340</c:v>
                </c:pt>
                <c:pt idx="27">
                  <c:v>45347</c:v>
                </c:pt>
                <c:pt idx="28">
                  <c:v>45356</c:v>
                </c:pt>
                <c:pt idx="29">
                  <c:v>45361</c:v>
                </c:pt>
                <c:pt idx="30">
                  <c:v>45369</c:v>
                </c:pt>
                <c:pt idx="31">
                  <c:v>45376</c:v>
                </c:pt>
                <c:pt idx="32">
                  <c:v>45384</c:v>
                </c:pt>
                <c:pt idx="33">
                  <c:v>45398</c:v>
                </c:pt>
                <c:pt idx="34">
                  <c:v>45406</c:v>
                </c:pt>
                <c:pt idx="35">
                  <c:v>45417</c:v>
                </c:pt>
                <c:pt idx="36">
                  <c:v>45425</c:v>
                </c:pt>
                <c:pt idx="37">
                  <c:v>45437</c:v>
                </c:pt>
                <c:pt idx="38">
                  <c:v>45453</c:v>
                </c:pt>
                <c:pt idx="39">
                  <c:v>45461</c:v>
                </c:pt>
                <c:pt idx="40">
                  <c:v>45469</c:v>
                </c:pt>
                <c:pt idx="41">
                  <c:v>45517</c:v>
                </c:pt>
                <c:pt idx="42">
                  <c:v>45526</c:v>
                </c:pt>
                <c:pt idx="43">
                  <c:v>45534</c:v>
                </c:pt>
                <c:pt idx="44">
                  <c:v>45543</c:v>
                </c:pt>
                <c:pt idx="45">
                  <c:v>45552</c:v>
                </c:pt>
                <c:pt idx="46">
                  <c:v>45560</c:v>
                </c:pt>
                <c:pt idx="47">
                  <c:v>45568</c:v>
                </c:pt>
                <c:pt idx="48">
                  <c:v>45579</c:v>
                </c:pt>
                <c:pt idx="49">
                  <c:v>45587</c:v>
                </c:pt>
                <c:pt idx="50">
                  <c:v>45595</c:v>
                </c:pt>
                <c:pt idx="51">
                  <c:v>45604</c:v>
                </c:pt>
                <c:pt idx="52">
                  <c:v>45615</c:v>
                </c:pt>
                <c:pt idx="53">
                  <c:v>45623</c:v>
                </c:pt>
                <c:pt idx="54">
                  <c:v>45631</c:v>
                </c:pt>
                <c:pt idx="55">
                  <c:v>45639</c:v>
                </c:pt>
                <c:pt idx="56">
                  <c:v>45646</c:v>
                </c:pt>
                <c:pt idx="57">
                  <c:v>45661</c:v>
                </c:pt>
                <c:pt idx="58">
                  <c:v>45669</c:v>
                </c:pt>
                <c:pt idx="59">
                  <c:v>45677</c:v>
                </c:pt>
                <c:pt idx="61">
                  <c:v>45754</c:v>
                </c:pt>
                <c:pt idx="62">
                  <c:v>45762</c:v>
                </c:pt>
                <c:pt idx="63">
                  <c:v>45768</c:v>
                </c:pt>
                <c:pt idx="64">
                  <c:v>45775</c:v>
                </c:pt>
                <c:pt idx="65">
                  <c:v>45782</c:v>
                </c:pt>
                <c:pt idx="66">
                  <c:v>45790</c:v>
                </c:pt>
                <c:pt idx="67">
                  <c:v>45798</c:v>
                </c:pt>
                <c:pt idx="68">
                  <c:v>45811</c:v>
                </c:pt>
                <c:pt idx="69">
                  <c:v>45819</c:v>
                </c:pt>
                <c:pt idx="70">
                  <c:v>45827</c:v>
                </c:pt>
                <c:pt idx="71">
                  <c:v>45835</c:v>
                </c:pt>
                <c:pt idx="72">
                  <c:v>45851</c:v>
                </c:pt>
                <c:pt idx="73">
                  <c:v>45859</c:v>
                </c:pt>
                <c:pt idx="74">
                  <c:v>45867</c:v>
                </c:pt>
                <c:pt idx="75">
                  <c:v>45883</c:v>
                </c:pt>
                <c:pt idx="76">
                  <c:v>45891</c:v>
                </c:pt>
                <c:pt idx="77">
                  <c:v>45899</c:v>
                </c:pt>
                <c:pt idx="78">
                  <c:v>45908</c:v>
                </c:pt>
                <c:pt idx="79">
                  <c:v>45916</c:v>
                </c:pt>
                <c:pt idx="80">
                  <c:v>45924</c:v>
                </c:pt>
                <c:pt idx="81">
                  <c:v>45932</c:v>
                </c:pt>
                <c:pt idx="82">
                  <c:v>45950</c:v>
                </c:pt>
                <c:pt idx="83">
                  <c:v>45948</c:v>
                </c:pt>
                <c:pt idx="84">
                  <c:v>45956</c:v>
                </c:pt>
                <c:pt idx="85">
                  <c:v>45965</c:v>
                </c:pt>
                <c:pt idx="86">
                  <c:v>45973</c:v>
                </c:pt>
                <c:pt idx="87">
                  <c:v>45981</c:v>
                </c:pt>
                <c:pt idx="88">
                  <c:v>45989</c:v>
                </c:pt>
                <c:pt idx="89">
                  <c:v>45997</c:v>
                </c:pt>
                <c:pt idx="90">
                  <c:v>46005</c:v>
                </c:pt>
              </c:numCache>
            </c:numRef>
          </c:cat>
          <c:val>
            <c:numRef>
              <c:f>'Dhaka IC(新)'!$U$6:$U$96</c:f>
              <c:numCache>
                <c:formatCode>0.00_ 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4.7724165207006362E-2</c:v>
                </c:pt>
                <c:pt idx="14">
                  <c:v>4.856621222576079E-2</c:v>
                </c:pt>
                <c:pt idx="15">
                  <c:v>0</c:v>
                </c:pt>
                <c:pt idx="16">
                  <c:v>0.1536541582625619</c:v>
                </c:pt>
                <c:pt idx="18">
                  <c:v>0</c:v>
                </c:pt>
                <c:pt idx="19">
                  <c:v>0</c:v>
                </c:pt>
                <c:pt idx="20">
                  <c:v>3.0293732163442333E-2</c:v>
                </c:pt>
                <c:pt idx="21">
                  <c:v>0</c:v>
                </c:pt>
                <c:pt idx="22">
                  <c:v>8.2693701311018261E-2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4.8743545713609539E-2</c:v>
                </c:pt>
                <c:pt idx="32">
                  <c:v>0</c:v>
                </c:pt>
                <c:pt idx="33">
                  <c:v>1.7491992605008059E-2</c:v>
                </c:pt>
                <c:pt idx="34">
                  <c:v>0</c:v>
                </c:pt>
                <c:pt idx="35">
                  <c:v>2.436746271729141E-2</c:v>
                </c:pt>
                <c:pt idx="36">
                  <c:v>0</c:v>
                </c:pt>
                <c:pt idx="37">
                  <c:v>8.7896919087372585E-2</c:v>
                </c:pt>
                <c:pt idx="38">
                  <c:v>2.0958918825289326E-2</c:v>
                </c:pt>
                <c:pt idx="39">
                  <c:v>0</c:v>
                </c:pt>
                <c:pt idx="40">
                  <c:v>0.10290901665427532</c:v>
                </c:pt>
                <c:pt idx="41">
                  <c:v>0.1344561782079115</c:v>
                </c:pt>
                <c:pt idx="42">
                  <c:v>0</c:v>
                </c:pt>
                <c:pt idx="43">
                  <c:v>9.6164451080739288E-2</c:v>
                </c:pt>
                <c:pt idx="44">
                  <c:v>0.11433126480300564</c:v>
                </c:pt>
                <c:pt idx="45">
                  <c:v>8.4742202932008973E-2</c:v>
                </c:pt>
                <c:pt idx="46">
                  <c:v>0</c:v>
                </c:pt>
                <c:pt idx="47">
                  <c:v>9.1160418558438372E-2</c:v>
                </c:pt>
                <c:pt idx="48">
                  <c:v>0.1174859809583693</c:v>
                </c:pt>
                <c:pt idx="49">
                  <c:v>0.16339254018469504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0.14592177988994365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1">
                  <c:v>0</c:v>
                </c:pt>
                <c:pt idx="62">
                  <c:v>0.13738246746953389</c:v>
                </c:pt>
                <c:pt idx="63">
                  <c:v>0.13261049876401076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3-47E0-BEF1-6F7354CA2D0E}"/>
            </c:ext>
          </c:extLst>
        </c:ser>
        <c:ser>
          <c:idx val="3"/>
          <c:order val="2"/>
          <c:tx>
            <c:strRef>
              <c:f>'Dhaka IC(新)'!$W$5</c:f>
              <c:strCache>
                <c:ptCount val="1"/>
                <c:pt idx="0">
                  <c:v>NO3-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'Dhaka IC(新)'!$C$6:$C$96</c:f>
              <c:numCache>
                <c:formatCode>m/d/yyyy</c:formatCode>
                <c:ptCount val="91"/>
                <c:pt idx="0">
                  <c:v>45050</c:v>
                </c:pt>
                <c:pt idx="1">
                  <c:v>45058</c:v>
                </c:pt>
                <c:pt idx="2">
                  <c:v>45066</c:v>
                </c:pt>
                <c:pt idx="3">
                  <c:v>45074</c:v>
                </c:pt>
                <c:pt idx="4">
                  <c:v>45082</c:v>
                </c:pt>
                <c:pt idx="5">
                  <c:v>45090</c:v>
                </c:pt>
                <c:pt idx="6">
                  <c:v>45098</c:v>
                </c:pt>
                <c:pt idx="7">
                  <c:v>45113</c:v>
                </c:pt>
                <c:pt idx="8">
                  <c:v>45121</c:v>
                </c:pt>
                <c:pt idx="9">
                  <c:v>45129</c:v>
                </c:pt>
                <c:pt idx="10">
                  <c:v>45137</c:v>
                </c:pt>
                <c:pt idx="11">
                  <c:v>45145</c:v>
                </c:pt>
                <c:pt idx="12">
                  <c:v>45153</c:v>
                </c:pt>
                <c:pt idx="13">
                  <c:v>45170</c:v>
                </c:pt>
                <c:pt idx="14">
                  <c:v>45178</c:v>
                </c:pt>
                <c:pt idx="15">
                  <c:v>45186</c:v>
                </c:pt>
                <c:pt idx="16">
                  <c:v>45202</c:v>
                </c:pt>
                <c:pt idx="18">
                  <c:v>45293</c:v>
                </c:pt>
                <c:pt idx="19">
                  <c:v>45300</c:v>
                </c:pt>
                <c:pt idx="20">
                  <c:v>45305</c:v>
                </c:pt>
                <c:pt idx="21">
                  <c:v>45310</c:v>
                </c:pt>
                <c:pt idx="22">
                  <c:v>45315</c:v>
                </c:pt>
                <c:pt idx="23">
                  <c:v>45320</c:v>
                </c:pt>
                <c:pt idx="24">
                  <c:v>45327</c:v>
                </c:pt>
                <c:pt idx="25">
                  <c:v>45337</c:v>
                </c:pt>
                <c:pt idx="26">
                  <c:v>45340</c:v>
                </c:pt>
                <c:pt idx="27">
                  <c:v>45347</c:v>
                </c:pt>
                <c:pt idx="28">
                  <c:v>45356</c:v>
                </c:pt>
                <c:pt idx="29">
                  <c:v>45361</c:v>
                </c:pt>
                <c:pt idx="30">
                  <c:v>45369</c:v>
                </c:pt>
                <c:pt idx="31">
                  <c:v>45376</c:v>
                </c:pt>
                <c:pt idx="32">
                  <c:v>45384</c:v>
                </c:pt>
                <c:pt idx="33">
                  <c:v>45398</c:v>
                </c:pt>
                <c:pt idx="34">
                  <c:v>45406</c:v>
                </c:pt>
                <c:pt idx="35">
                  <c:v>45417</c:v>
                </c:pt>
                <c:pt idx="36">
                  <c:v>45425</c:v>
                </c:pt>
                <c:pt idx="37">
                  <c:v>45437</c:v>
                </c:pt>
                <c:pt idx="38">
                  <c:v>45453</c:v>
                </c:pt>
                <c:pt idx="39">
                  <c:v>45461</c:v>
                </c:pt>
                <c:pt idx="40">
                  <c:v>45469</c:v>
                </c:pt>
                <c:pt idx="41">
                  <c:v>45517</c:v>
                </c:pt>
                <c:pt idx="42">
                  <c:v>45526</c:v>
                </c:pt>
                <c:pt idx="43">
                  <c:v>45534</c:v>
                </c:pt>
                <c:pt idx="44">
                  <c:v>45543</c:v>
                </c:pt>
                <c:pt idx="45">
                  <c:v>45552</c:v>
                </c:pt>
                <c:pt idx="46">
                  <c:v>45560</c:v>
                </c:pt>
                <c:pt idx="47">
                  <c:v>45568</c:v>
                </c:pt>
                <c:pt idx="48">
                  <c:v>45579</c:v>
                </c:pt>
                <c:pt idx="49">
                  <c:v>45587</c:v>
                </c:pt>
                <c:pt idx="50">
                  <c:v>45595</c:v>
                </c:pt>
                <c:pt idx="51">
                  <c:v>45604</c:v>
                </c:pt>
                <c:pt idx="52">
                  <c:v>45615</c:v>
                </c:pt>
                <c:pt idx="53">
                  <c:v>45623</c:v>
                </c:pt>
                <c:pt idx="54">
                  <c:v>45631</c:v>
                </c:pt>
                <c:pt idx="55">
                  <c:v>45639</c:v>
                </c:pt>
                <c:pt idx="56">
                  <c:v>45646</c:v>
                </c:pt>
                <c:pt idx="57">
                  <c:v>45661</c:v>
                </c:pt>
                <c:pt idx="58">
                  <c:v>45669</c:v>
                </c:pt>
                <c:pt idx="59">
                  <c:v>45677</c:v>
                </c:pt>
                <c:pt idx="61">
                  <c:v>45754</c:v>
                </c:pt>
                <c:pt idx="62">
                  <c:v>45762</c:v>
                </c:pt>
                <c:pt idx="63">
                  <c:v>45768</c:v>
                </c:pt>
                <c:pt idx="64">
                  <c:v>45775</c:v>
                </c:pt>
                <c:pt idx="65">
                  <c:v>45782</c:v>
                </c:pt>
                <c:pt idx="66">
                  <c:v>45790</c:v>
                </c:pt>
                <c:pt idx="67">
                  <c:v>45798</c:v>
                </c:pt>
                <c:pt idx="68">
                  <c:v>45811</c:v>
                </c:pt>
                <c:pt idx="69">
                  <c:v>45819</c:v>
                </c:pt>
                <c:pt idx="70">
                  <c:v>45827</c:v>
                </c:pt>
                <c:pt idx="71">
                  <c:v>45835</c:v>
                </c:pt>
                <c:pt idx="72">
                  <c:v>45851</c:v>
                </c:pt>
                <c:pt idx="73">
                  <c:v>45859</c:v>
                </c:pt>
                <c:pt idx="74">
                  <c:v>45867</c:v>
                </c:pt>
                <c:pt idx="75">
                  <c:v>45883</c:v>
                </c:pt>
                <c:pt idx="76">
                  <c:v>45891</c:v>
                </c:pt>
                <c:pt idx="77">
                  <c:v>45899</c:v>
                </c:pt>
                <c:pt idx="78">
                  <c:v>45908</c:v>
                </c:pt>
                <c:pt idx="79">
                  <c:v>45916</c:v>
                </c:pt>
                <c:pt idx="80">
                  <c:v>45924</c:v>
                </c:pt>
                <c:pt idx="81">
                  <c:v>45932</c:v>
                </c:pt>
                <c:pt idx="82">
                  <c:v>45950</c:v>
                </c:pt>
                <c:pt idx="83">
                  <c:v>45948</c:v>
                </c:pt>
                <c:pt idx="84">
                  <c:v>45956</c:v>
                </c:pt>
                <c:pt idx="85">
                  <c:v>45965</c:v>
                </c:pt>
                <c:pt idx="86">
                  <c:v>45973</c:v>
                </c:pt>
                <c:pt idx="87">
                  <c:v>45981</c:v>
                </c:pt>
                <c:pt idx="88">
                  <c:v>45989</c:v>
                </c:pt>
                <c:pt idx="89">
                  <c:v>45997</c:v>
                </c:pt>
                <c:pt idx="90">
                  <c:v>46005</c:v>
                </c:pt>
              </c:numCache>
            </c:numRef>
          </c:cat>
          <c:val>
            <c:numRef>
              <c:f>'Dhaka IC(新)'!$W$6:$W$96</c:f>
              <c:numCache>
                <c:formatCode>0.00_ </c:formatCode>
                <c:ptCount val="91"/>
                <c:pt idx="0">
                  <c:v>0.60769220570889348</c:v>
                </c:pt>
                <c:pt idx="1">
                  <c:v>1.4347199964841317</c:v>
                </c:pt>
                <c:pt idx="2">
                  <c:v>0.48241379571579046</c:v>
                </c:pt>
                <c:pt idx="3">
                  <c:v>1.0030738195918849</c:v>
                </c:pt>
                <c:pt idx="4">
                  <c:v>0.85206702442621163</c:v>
                </c:pt>
                <c:pt idx="5">
                  <c:v>1.0083022004895021</c:v>
                </c:pt>
                <c:pt idx="6">
                  <c:v>0.6310372588055474</c:v>
                </c:pt>
                <c:pt idx="7">
                  <c:v>0.37434875020913583</c:v>
                </c:pt>
                <c:pt idx="8">
                  <c:v>0.48743227361995745</c:v>
                </c:pt>
                <c:pt idx="9">
                  <c:v>0.28380577037023219</c:v>
                </c:pt>
                <c:pt idx="10">
                  <c:v>0.90542997278077209</c:v>
                </c:pt>
                <c:pt idx="11">
                  <c:v>0.81579630259157077</c:v>
                </c:pt>
                <c:pt idx="12">
                  <c:v>0.83309402841755698</c:v>
                </c:pt>
                <c:pt idx="13">
                  <c:v>1.7562674472753006</c:v>
                </c:pt>
                <c:pt idx="14">
                  <c:v>1.6287143561128803</c:v>
                </c:pt>
                <c:pt idx="15">
                  <c:v>1.4174563313215258</c:v>
                </c:pt>
                <c:pt idx="16">
                  <c:v>2.7342683059094126</c:v>
                </c:pt>
                <c:pt idx="18">
                  <c:v>5.0987019907043081</c:v>
                </c:pt>
                <c:pt idx="19">
                  <c:v>4.9719760632154193</c:v>
                </c:pt>
                <c:pt idx="20">
                  <c:v>3.6216721834586005</c:v>
                </c:pt>
                <c:pt idx="21">
                  <c:v>3.1340246874192235</c:v>
                </c:pt>
                <c:pt idx="22">
                  <c:v>16.118872737377526</c:v>
                </c:pt>
                <c:pt idx="23">
                  <c:v>3.6396324661725021</c:v>
                </c:pt>
                <c:pt idx="24">
                  <c:v>6.2297338536168869</c:v>
                </c:pt>
                <c:pt idx="25">
                  <c:v>10.893728091618867</c:v>
                </c:pt>
                <c:pt idx="26">
                  <c:v>9.251040575136825</c:v>
                </c:pt>
                <c:pt idx="27">
                  <c:v>8.9588949492245877</c:v>
                </c:pt>
                <c:pt idx="28">
                  <c:v>4.5068275544336629</c:v>
                </c:pt>
                <c:pt idx="29">
                  <c:v>7.7663811780189445</c:v>
                </c:pt>
                <c:pt idx="30">
                  <c:v>4.7228719401471828</c:v>
                </c:pt>
                <c:pt idx="31">
                  <c:v>1.3689674574960087</c:v>
                </c:pt>
                <c:pt idx="32">
                  <c:v>1.0882445761670516</c:v>
                </c:pt>
                <c:pt idx="33">
                  <c:v>1.3594894491720868</c:v>
                </c:pt>
                <c:pt idx="34">
                  <c:v>1.4463003000465371</c:v>
                </c:pt>
                <c:pt idx="35">
                  <c:v>1.2950561346781404</c:v>
                </c:pt>
                <c:pt idx="36">
                  <c:v>1.2323223464170057</c:v>
                </c:pt>
                <c:pt idx="37">
                  <c:v>0.43336789362002354</c:v>
                </c:pt>
                <c:pt idx="38">
                  <c:v>0.52462432379809842</c:v>
                </c:pt>
                <c:pt idx="39">
                  <c:v>1.3833881928619221</c:v>
                </c:pt>
                <c:pt idx="40">
                  <c:v>0.42856070678008978</c:v>
                </c:pt>
                <c:pt idx="41">
                  <c:v>1.2418165404258745</c:v>
                </c:pt>
                <c:pt idx="42">
                  <c:v>1.0814968593140855</c:v>
                </c:pt>
                <c:pt idx="43">
                  <c:v>0.93487766069610745</c:v>
                </c:pt>
                <c:pt idx="44">
                  <c:v>0.66122854983288126</c:v>
                </c:pt>
                <c:pt idx="45">
                  <c:v>0.88512327690279358</c:v>
                </c:pt>
                <c:pt idx="46">
                  <c:v>1.4003335264726884</c:v>
                </c:pt>
                <c:pt idx="47">
                  <c:v>1.632039932157493</c:v>
                </c:pt>
                <c:pt idx="48">
                  <c:v>3.5505881999750346</c:v>
                </c:pt>
                <c:pt idx="49">
                  <c:v>1.5356558360168224</c:v>
                </c:pt>
                <c:pt idx="50">
                  <c:v>0.8083284671348524</c:v>
                </c:pt>
                <c:pt idx="51">
                  <c:v>1.0994036302928385</c:v>
                </c:pt>
                <c:pt idx="52">
                  <c:v>3.3382388680492761</c:v>
                </c:pt>
                <c:pt idx="53">
                  <c:v>9.4393861037472888</c:v>
                </c:pt>
                <c:pt idx="54">
                  <c:v>4.2575558667745019</c:v>
                </c:pt>
                <c:pt idx="55">
                  <c:v>8.3468365129914517</c:v>
                </c:pt>
                <c:pt idx="56">
                  <c:v>8.6902721922635795</c:v>
                </c:pt>
                <c:pt idx="57">
                  <c:v>5.8874294433041294</c:v>
                </c:pt>
                <c:pt idx="58">
                  <c:v>1.0450873490601149</c:v>
                </c:pt>
                <c:pt idx="59">
                  <c:v>4.8904469581677237</c:v>
                </c:pt>
                <c:pt idx="61">
                  <c:v>4.5511424217898089</c:v>
                </c:pt>
                <c:pt idx="62">
                  <c:v>4.0113397502794896</c:v>
                </c:pt>
                <c:pt idx="63">
                  <c:v>5.4632987728317373</c:v>
                </c:pt>
                <c:pt idx="64">
                  <c:v>1.5694211855109972</c:v>
                </c:pt>
                <c:pt idx="65">
                  <c:v>1.7524308157245725</c:v>
                </c:pt>
                <c:pt idx="66">
                  <c:v>1.6665948467003975</c:v>
                </c:pt>
                <c:pt idx="67">
                  <c:v>1.3024116497817857</c:v>
                </c:pt>
                <c:pt idx="68">
                  <c:v>0.53429448098470389</c:v>
                </c:pt>
                <c:pt idx="69">
                  <c:v>1.5651523378536449</c:v>
                </c:pt>
                <c:pt idx="70">
                  <c:v>2.5739774326201248</c:v>
                </c:pt>
                <c:pt idx="71">
                  <c:v>2.4734843581434958</c:v>
                </c:pt>
                <c:pt idx="72">
                  <c:v>0.2096593446811317</c:v>
                </c:pt>
                <c:pt idx="73">
                  <c:v>0.15366294283298451</c:v>
                </c:pt>
                <c:pt idx="74">
                  <c:v>0.69298704115804644</c:v>
                </c:pt>
                <c:pt idx="75">
                  <c:v>0.5230922590029462</c:v>
                </c:pt>
                <c:pt idx="76">
                  <c:v>0.54531633320918083</c:v>
                </c:pt>
                <c:pt idx="77">
                  <c:v>0.29506591084558748</c:v>
                </c:pt>
                <c:pt idx="78">
                  <c:v>0.71273156989499054</c:v>
                </c:pt>
                <c:pt idx="79">
                  <c:v>0.89745770735714392</c:v>
                </c:pt>
                <c:pt idx="80">
                  <c:v>0.77678649451833226</c:v>
                </c:pt>
                <c:pt idx="81">
                  <c:v>0.91963586405468811</c:v>
                </c:pt>
                <c:pt idx="82">
                  <c:v>0.77044987831903389</c:v>
                </c:pt>
                <c:pt idx="83">
                  <c:v>0.45660370641900427</c:v>
                </c:pt>
                <c:pt idx="84">
                  <c:v>0.7890464693387137</c:v>
                </c:pt>
                <c:pt idx="85">
                  <c:v>0.7047419233828317</c:v>
                </c:pt>
                <c:pt idx="86">
                  <c:v>2.4547500145977441</c:v>
                </c:pt>
                <c:pt idx="87">
                  <c:v>4.2595836111891945</c:v>
                </c:pt>
                <c:pt idx="88">
                  <c:v>6.4796033213607567</c:v>
                </c:pt>
                <c:pt idx="89">
                  <c:v>2.6126144094759161</c:v>
                </c:pt>
                <c:pt idx="90">
                  <c:v>1.0653780366385497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3-47E0-BEF1-6F7354CA2D0E}"/>
            </c:ext>
          </c:extLst>
        </c:ser>
        <c:ser>
          <c:idx val="4"/>
          <c:order val="3"/>
          <c:tx>
            <c:strRef>
              <c:f>'Dhaka IC(新)'!$X$5</c:f>
              <c:strCache>
                <c:ptCount val="1"/>
                <c:pt idx="0">
                  <c:v>SO42-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'Dhaka IC(新)'!$C$6:$C$96</c:f>
              <c:numCache>
                <c:formatCode>m/d/yyyy</c:formatCode>
                <c:ptCount val="91"/>
                <c:pt idx="0">
                  <c:v>45050</c:v>
                </c:pt>
                <c:pt idx="1">
                  <c:v>45058</c:v>
                </c:pt>
                <c:pt idx="2">
                  <c:v>45066</c:v>
                </c:pt>
                <c:pt idx="3">
                  <c:v>45074</c:v>
                </c:pt>
                <c:pt idx="4">
                  <c:v>45082</c:v>
                </c:pt>
                <c:pt idx="5">
                  <c:v>45090</c:v>
                </c:pt>
                <c:pt idx="6">
                  <c:v>45098</c:v>
                </c:pt>
                <c:pt idx="7">
                  <c:v>45113</c:v>
                </c:pt>
                <c:pt idx="8">
                  <c:v>45121</c:v>
                </c:pt>
                <c:pt idx="9">
                  <c:v>45129</c:v>
                </c:pt>
                <c:pt idx="10">
                  <c:v>45137</c:v>
                </c:pt>
                <c:pt idx="11">
                  <c:v>45145</c:v>
                </c:pt>
                <c:pt idx="12">
                  <c:v>45153</c:v>
                </c:pt>
                <c:pt idx="13">
                  <c:v>45170</c:v>
                </c:pt>
                <c:pt idx="14">
                  <c:v>45178</c:v>
                </c:pt>
                <c:pt idx="15">
                  <c:v>45186</c:v>
                </c:pt>
                <c:pt idx="16">
                  <c:v>45202</c:v>
                </c:pt>
                <c:pt idx="18">
                  <c:v>45293</c:v>
                </c:pt>
                <c:pt idx="19">
                  <c:v>45300</c:v>
                </c:pt>
                <c:pt idx="20">
                  <c:v>45305</c:v>
                </c:pt>
                <c:pt idx="21">
                  <c:v>45310</c:v>
                </c:pt>
                <c:pt idx="22">
                  <c:v>45315</c:v>
                </c:pt>
                <c:pt idx="23">
                  <c:v>45320</c:v>
                </c:pt>
                <c:pt idx="24">
                  <c:v>45327</c:v>
                </c:pt>
                <c:pt idx="25">
                  <c:v>45337</c:v>
                </c:pt>
                <c:pt idx="26">
                  <c:v>45340</c:v>
                </c:pt>
                <c:pt idx="27">
                  <c:v>45347</c:v>
                </c:pt>
                <c:pt idx="28">
                  <c:v>45356</c:v>
                </c:pt>
                <c:pt idx="29">
                  <c:v>45361</c:v>
                </c:pt>
                <c:pt idx="30">
                  <c:v>45369</c:v>
                </c:pt>
                <c:pt idx="31">
                  <c:v>45376</c:v>
                </c:pt>
                <c:pt idx="32">
                  <c:v>45384</c:v>
                </c:pt>
                <c:pt idx="33">
                  <c:v>45398</c:v>
                </c:pt>
                <c:pt idx="34">
                  <c:v>45406</c:v>
                </c:pt>
                <c:pt idx="35">
                  <c:v>45417</c:v>
                </c:pt>
                <c:pt idx="36">
                  <c:v>45425</c:v>
                </c:pt>
                <c:pt idx="37">
                  <c:v>45437</c:v>
                </c:pt>
                <c:pt idx="38">
                  <c:v>45453</c:v>
                </c:pt>
                <c:pt idx="39">
                  <c:v>45461</c:v>
                </c:pt>
                <c:pt idx="40">
                  <c:v>45469</c:v>
                </c:pt>
                <c:pt idx="41">
                  <c:v>45517</c:v>
                </c:pt>
                <c:pt idx="42">
                  <c:v>45526</c:v>
                </c:pt>
                <c:pt idx="43">
                  <c:v>45534</c:v>
                </c:pt>
                <c:pt idx="44">
                  <c:v>45543</c:v>
                </c:pt>
                <c:pt idx="45">
                  <c:v>45552</c:v>
                </c:pt>
                <c:pt idx="46">
                  <c:v>45560</c:v>
                </c:pt>
                <c:pt idx="47">
                  <c:v>45568</c:v>
                </c:pt>
                <c:pt idx="48">
                  <c:v>45579</c:v>
                </c:pt>
                <c:pt idx="49">
                  <c:v>45587</c:v>
                </c:pt>
                <c:pt idx="50">
                  <c:v>45595</c:v>
                </c:pt>
                <c:pt idx="51">
                  <c:v>45604</c:v>
                </c:pt>
                <c:pt idx="52">
                  <c:v>45615</c:v>
                </c:pt>
                <c:pt idx="53">
                  <c:v>45623</c:v>
                </c:pt>
                <c:pt idx="54">
                  <c:v>45631</c:v>
                </c:pt>
                <c:pt idx="55">
                  <c:v>45639</c:v>
                </c:pt>
                <c:pt idx="56">
                  <c:v>45646</c:v>
                </c:pt>
                <c:pt idx="57">
                  <c:v>45661</c:v>
                </c:pt>
                <c:pt idx="58">
                  <c:v>45669</c:v>
                </c:pt>
                <c:pt idx="59">
                  <c:v>45677</c:v>
                </c:pt>
                <c:pt idx="61">
                  <c:v>45754</c:v>
                </c:pt>
                <c:pt idx="62">
                  <c:v>45762</c:v>
                </c:pt>
                <c:pt idx="63">
                  <c:v>45768</c:v>
                </c:pt>
                <c:pt idx="64">
                  <c:v>45775</c:v>
                </c:pt>
                <c:pt idx="65">
                  <c:v>45782</c:v>
                </c:pt>
                <c:pt idx="66">
                  <c:v>45790</c:v>
                </c:pt>
                <c:pt idx="67">
                  <c:v>45798</c:v>
                </c:pt>
                <c:pt idx="68">
                  <c:v>45811</c:v>
                </c:pt>
                <c:pt idx="69">
                  <c:v>45819</c:v>
                </c:pt>
                <c:pt idx="70">
                  <c:v>45827</c:v>
                </c:pt>
                <c:pt idx="71">
                  <c:v>45835</c:v>
                </c:pt>
                <c:pt idx="72">
                  <c:v>45851</c:v>
                </c:pt>
                <c:pt idx="73">
                  <c:v>45859</c:v>
                </c:pt>
                <c:pt idx="74">
                  <c:v>45867</c:v>
                </c:pt>
                <c:pt idx="75">
                  <c:v>45883</c:v>
                </c:pt>
                <c:pt idx="76">
                  <c:v>45891</c:v>
                </c:pt>
                <c:pt idx="77">
                  <c:v>45899</c:v>
                </c:pt>
                <c:pt idx="78">
                  <c:v>45908</c:v>
                </c:pt>
                <c:pt idx="79">
                  <c:v>45916</c:v>
                </c:pt>
                <c:pt idx="80">
                  <c:v>45924</c:v>
                </c:pt>
                <c:pt idx="81">
                  <c:v>45932</c:v>
                </c:pt>
                <c:pt idx="82">
                  <c:v>45950</c:v>
                </c:pt>
                <c:pt idx="83">
                  <c:v>45948</c:v>
                </c:pt>
                <c:pt idx="84">
                  <c:v>45956</c:v>
                </c:pt>
                <c:pt idx="85">
                  <c:v>45965</c:v>
                </c:pt>
                <c:pt idx="86">
                  <c:v>45973</c:v>
                </c:pt>
                <c:pt idx="87">
                  <c:v>45981</c:v>
                </c:pt>
                <c:pt idx="88">
                  <c:v>45989</c:v>
                </c:pt>
                <c:pt idx="89">
                  <c:v>45997</c:v>
                </c:pt>
                <c:pt idx="90">
                  <c:v>46005</c:v>
                </c:pt>
              </c:numCache>
            </c:numRef>
          </c:cat>
          <c:val>
            <c:numRef>
              <c:f>'Dhaka IC(新)'!$X$6:$X$96</c:f>
              <c:numCache>
                <c:formatCode>0.00_ </c:formatCode>
                <c:ptCount val="91"/>
                <c:pt idx="0">
                  <c:v>7.7142260099374855</c:v>
                </c:pt>
                <c:pt idx="1">
                  <c:v>1.9307123714551353</c:v>
                </c:pt>
                <c:pt idx="2">
                  <c:v>7.3911939804859488</c:v>
                </c:pt>
                <c:pt idx="3">
                  <c:v>5.9935679681233767</c:v>
                </c:pt>
                <c:pt idx="4">
                  <c:v>9.964371293970995</c:v>
                </c:pt>
                <c:pt idx="5">
                  <c:v>4.3639976205178099</c:v>
                </c:pt>
                <c:pt idx="6">
                  <c:v>5.4882103464132195</c:v>
                </c:pt>
                <c:pt idx="7">
                  <c:v>2.3955648474302285</c:v>
                </c:pt>
                <c:pt idx="8">
                  <c:v>1.9122069056086342</c:v>
                </c:pt>
                <c:pt idx="9">
                  <c:v>3.92965174290774</c:v>
                </c:pt>
                <c:pt idx="10">
                  <c:v>1.3923154477750324</c:v>
                </c:pt>
                <c:pt idx="11">
                  <c:v>0.69862468936930955</c:v>
                </c:pt>
                <c:pt idx="12">
                  <c:v>1.1798075525352878</c:v>
                </c:pt>
                <c:pt idx="13">
                  <c:v>2.653199317807855</c:v>
                </c:pt>
                <c:pt idx="14">
                  <c:v>2.0343174685951873</c:v>
                </c:pt>
                <c:pt idx="15">
                  <c:v>12.13522747453132</c:v>
                </c:pt>
                <c:pt idx="16">
                  <c:v>7.3975533815463539</c:v>
                </c:pt>
                <c:pt idx="18">
                  <c:v>7.4580667648254693</c:v>
                </c:pt>
                <c:pt idx="19">
                  <c:v>11.541744738854739</c:v>
                </c:pt>
                <c:pt idx="20">
                  <c:v>7.7200224205787062</c:v>
                </c:pt>
                <c:pt idx="21">
                  <c:v>5.4746985264047821</c:v>
                </c:pt>
                <c:pt idx="22">
                  <c:v>11.889599478047176</c:v>
                </c:pt>
                <c:pt idx="23">
                  <c:v>6.5757940406925766</c:v>
                </c:pt>
                <c:pt idx="24">
                  <c:v>7.2747974087091345</c:v>
                </c:pt>
                <c:pt idx="25">
                  <c:v>10.52481547385095</c:v>
                </c:pt>
                <c:pt idx="26">
                  <c:v>8.9780071856598482</c:v>
                </c:pt>
                <c:pt idx="27">
                  <c:v>8.8335427335030712</c:v>
                </c:pt>
                <c:pt idx="28">
                  <c:v>6.5144287866482138</c:v>
                </c:pt>
                <c:pt idx="29">
                  <c:v>6.9652067545769265</c:v>
                </c:pt>
                <c:pt idx="30">
                  <c:v>12.48422885631593</c:v>
                </c:pt>
                <c:pt idx="31">
                  <c:v>5.3877580462680044</c:v>
                </c:pt>
                <c:pt idx="32">
                  <c:v>7.7741910521852473</c:v>
                </c:pt>
                <c:pt idx="33">
                  <c:v>7.0874343419833092</c:v>
                </c:pt>
                <c:pt idx="34">
                  <c:v>8.6119768005676125</c:v>
                </c:pt>
                <c:pt idx="35">
                  <c:v>6.0778940554061807</c:v>
                </c:pt>
                <c:pt idx="36">
                  <c:v>4.9023637950103165</c:v>
                </c:pt>
                <c:pt idx="37">
                  <c:v>0.99917859995409086</c:v>
                </c:pt>
                <c:pt idx="38">
                  <c:v>3.6695539018032934</c:v>
                </c:pt>
                <c:pt idx="39">
                  <c:v>4.5305475997386999</c:v>
                </c:pt>
                <c:pt idx="40">
                  <c:v>2.279033299718169</c:v>
                </c:pt>
                <c:pt idx="41">
                  <c:v>3.1702595535914959</c:v>
                </c:pt>
                <c:pt idx="42">
                  <c:v>2.5050253422511788</c:v>
                </c:pt>
                <c:pt idx="43">
                  <c:v>2.3259306303925995</c:v>
                </c:pt>
                <c:pt idx="44">
                  <c:v>2.1558614425506084</c:v>
                </c:pt>
                <c:pt idx="45">
                  <c:v>3.0477070951309555</c:v>
                </c:pt>
                <c:pt idx="46">
                  <c:v>5.4797318754832576</c:v>
                </c:pt>
                <c:pt idx="47">
                  <c:v>3.7779781707084541</c:v>
                </c:pt>
                <c:pt idx="48">
                  <c:v>12.837480630653518</c:v>
                </c:pt>
                <c:pt idx="49">
                  <c:v>8.9273050787609129</c:v>
                </c:pt>
                <c:pt idx="50">
                  <c:v>9.7523441565125903</c:v>
                </c:pt>
                <c:pt idx="51">
                  <c:v>8.6432665288270982</c:v>
                </c:pt>
                <c:pt idx="52">
                  <c:v>2.4788214229551544</c:v>
                </c:pt>
                <c:pt idx="53">
                  <c:v>6.6901030754019972</c:v>
                </c:pt>
                <c:pt idx="54">
                  <c:v>3.25512489484053</c:v>
                </c:pt>
                <c:pt idx="55">
                  <c:v>9.7737585224797261</c:v>
                </c:pt>
                <c:pt idx="56">
                  <c:v>9.4024742700480459</c:v>
                </c:pt>
                <c:pt idx="57">
                  <c:v>3.6162287726087596</c:v>
                </c:pt>
                <c:pt idx="58">
                  <c:v>1.0045301718568196</c:v>
                </c:pt>
                <c:pt idx="59">
                  <c:v>10.249840749388087</c:v>
                </c:pt>
                <c:pt idx="61">
                  <c:v>7.7564474176009366</c:v>
                </c:pt>
                <c:pt idx="62">
                  <c:v>8.2838307482055047</c:v>
                </c:pt>
                <c:pt idx="63">
                  <c:v>10.909768565806976</c:v>
                </c:pt>
                <c:pt idx="64">
                  <c:v>3.9783307263243866</c:v>
                </c:pt>
                <c:pt idx="65">
                  <c:v>4.5144971252660469</c:v>
                </c:pt>
                <c:pt idx="66">
                  <c:v>7.0532696434615128</c:v>
                </c:pt>
                <c:pt idx="67">
                  <c:v>4.8965605979296125</c:v>
                </c:pt>
                <c:pt idx="68">
                  <c:v>1.4044924731770387</c:v>
                </c:pt>
                <c:pt idx="69">
                  <c:v>2.0665162490854594</c:v>
                </c:pt>
                <c:pt idx="70">
                  <c:v>3.2259810771765385</c:v>
                </c:pt>
                <c:pt idx="71">
                  <c:v>5.1641686518012166</c:v>
                </c:pt>
                <c:pt idx="72">
                  <c:v>0.78996530424826972</c:v>
                </c:pt>
                <c:pt idx="73">
                  <c:v>2.0598936944205155</c:v>
                </c:pt>
                <c:pt idx="74">
                  <c:v>1.9397986882792819</c:v>
                </c:pt>
                <c:pt idx="75">
                  <c:v>0.86769934446827934</c:v>
                </c:pt>
                <c:pt idx="76">
                  <c:v>2.0504708811348888</c:v>
                </c:pt>
                <c:pt idx="77">
                  <c:v>2.0995028653114232</c:v>
                </c:pt>
                <c:pt idx="78">
                  <c:v>3.7321345180249179</c:v>
                </c:pt>
                <c:pt idx="79">
                  <c:v>7.258134571960734</c:v>
                </c:pt>
                <c:pt idx="80">
                  <c:v>4.0390347128604933</c:v>
                </c:pt>
                <c:pt idx="81">
                  <c:v>4.7016669561605164</c:v>
                </c:pt>
                <c:pt idx="82">
                  <c:v>3.0798089979293493</c:v>
                </c:pt>
                <c:pt idx="83">
                  <c:v>2.5345866759227951</c:v>
                </c:pt>
                <c:pt idx="84">
                  <c:v>2.8392520796428404</c:v>
                </c:pt>
                <c:pt idx="85">
                  <c:v>1.2280010404376169</c:v>
                </c:pt>
                <c:pt idx="86">
                  <c:v>5.2550279204385504</c:v>
                </c:pt>
                <c:pt idx="87">
                  <c:v>7.1414584626753452</c:v>
                </c:pt>
                <c:pt idx="88">
                  <c:v>9.890251534776171</c:v>
                </c:pt>
                <c:pt idx="89">
                  <c:v>5.6178646033449064</c:v>
                </c:pt>
                <c:pt idx="90">
                  <c:v>1.1781685340704451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3-47E0-BEF1-6F7354CA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27631"/>
        <c:axId val="169928111"/>
      </c:lineChart>
      <c:catAx>
        <c:axId val="1699276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928111"/>
        <c:crosses val="autoZero"/>
        <c:auto val="0"/>
        <c:lblAlgn val="ctr"/>
        <c:lblOffset val="100"/>
        <c:noMultiLvlLbl val="0"/>
      </c:catAx>
      <c:valAx>
        <c:axId val="1699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92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'Dhaka IC(新)'!$W$5</c:f>
              <c:strCache>
                <c:ptCount val="1"/>
                <c:pt idx="0">
                  <c:v>NO3-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'Dhaka IC(新)'!$C$6:$C$96</c:f>
              <c:numCache>
                <c:formatCode>m/d/yyyy</c:formatCode>
                <c:ptCount val="91"/>
                <c:pt idx="0">
                  <c:v>45050</c:v>
                </c:pt>
                <c:pt idx="1">
                  <c:v>45058</c:v>
                </c:pt>
                <c:pt idx="2">
                  <c:v>45066</c:v>
                </c:pt>
                <c:pt idx="3">
                  <c:v>45074</c:v>
                </c:pt>
                <c:pt idx="4">
                  <c:v>45082</c:v>
                </c:pt>
                <c:pt idx="5">
                  <c:v>45090</c:v>
                </c:pt>
                <c:pt idx="6">
                  <c:v>45098</c:v>
                </c:pt>
                <c:pt idx="7">
                  <c:v>45113</c:v>
                </c:pt>
                <c:pt idx="8">
                  <c:v>45121</c:v>
                </c:pt>
                <c:pt idx="9">
                  <c:v>45129</c:v>
                </c:pt>
                <c:pt idx="10">
                  <c:v>45137</c:v>
                </c:pt>
                <c:pt idx="11">
                  <c:v>45145</c:v>
                </c:pt>
                <c:pt idx="12">
                  <c:v>45153</c:v>
                </c:pt>
                <c:pt idx="13">
                  <c:v>45170</c:v>
                </c:pt>
                <c:pt idx="14">
                  <c:v>45178</c:v>
                </c:pt>
                <c:pt idx="15">
                  <c:v>45186</c:v>
                </c:pt>
                <c:pt idx="16">
                  <c:v>45202</c:v>
                </c:pt>
                <c:pt idx="18">
                  <c:v>45293</c:v>
                </c:pt>
                <c:pt idx="19">
                  <c:v>45300</c:v>
                </c:pt>
                <c:pt idx="20">
                  <c:v>45305</c:v>
                </c:pt>
                <c:pt idx="21">
                  <c:v>45310</c:v>
                </c:pt>
                <c:pt idx="22">
                  <c:v>45315</c:v>
                </c:pt>
                <c:pt idx="23">
                  <c:v>45320</c:v>
                </c:pt>
                <c:pt idx="24">
                  <c:v>45327</c:v>
                </c:pt>
                <c:pt idx="25">
                  <c:v>45337</c:v>
                </c:pt>
                <c:pt idx="26">
                  <c:v>45340</c:v>
                </c:pt>
                <c:pt idx="27">
                  <c:v>45347</c:v>
                </c:pt>
                <c:pt idx="28">
                  <c:v>45356</c:v>
                </c:pt>
                <c:pt idx="29">
                  <c:v>45361</c:v>
                </c:pt>
                <c:pt idx="30">
                  <c:v>45369</c:v>
                </c:pt>
                <c:pt idx="31">
                  <c:v>45376</c:v>
                </c:pt>
                <c:pt idx="32">
                  <c:v>45384</c:v>
                </c:pt>
                <c:pt idx="33">
                  <c:v>45398</c:v>
                </c:pt>
                <c:pt idx="34">
                  <c:v>45406</c:v>
                </c:pt>
                <c:pt idx="35">
                  <c:v>45417</c:v>
                </c:pt>
                <c:pt idx="36">
                  <c:v>45425</c:v>
                </c:pt>
                <c:pt idx="37">
                  <c:v>45437</c:v>
                </c:pt>
                <c:pt idx="38">
                  <c:v>45453</c:v>
                </c:pt>
                <c:pt idx="39">
                  <c:v>45461</c:v>
                </c:pt>
                <c:pt idx="40">
                  <c:v>45469</c:v>
                </c:pt>
                <c:pt idx="41">
                  <c:v>45517</c:v>
                </c:pt>
                <c:pt idx="42">
                  <c:v>45526</c:v>
                </c:pt>
                <c:pt idx="43">
                  <c:v>45534</c:v>
                </c:pt>
                <c:pt idx="44">
                  <c:v>45543</c:v>
                </c:pt>
                <c:pt idx="45">
                  <c:v>45552</c:v>
                </c:pt>
                <c:pt idx="46">
                  <c:v>45560</c:v>
                </c:pt>
                <c:pt idx="47">
                  <c:v>45568</c:v>
                </c:pt>
                <c:pt idx="48">
                  <c:v>45579</c:v>
                </c:pt>
                <c:pt idx="49">
                  <c:v>45587</c:v>
                </c:pt>
                <c:pt idx="50">
                  <c:v>45595</c:v>
                </c:pt>
                <c:pt idx="51">
                  <c:v>45604</c:v>
                </c:pt>
                <c:pt idx="52">
                  <c:v>45615</c:v>
                </c:pt>
                <c:pt idx="53">
                  <c:v>45623</c:v>
                </c:pt>
                <c:pt idx="54">
                  <c:v>45631</c:v>
                </c:pt>
                <c:pt idx="55">
                  <c:v>45639</c:v>
                </c:pt>
                <c:pt idx="56">
                  <c:v>45646</c:v>
                </c:pt>
                <c:pt idx="57">
                  <c:v>45661</c:v>
                </c:pt>
                <c:pt idx="58">
                  <c:v>45669</c:v>
                </c:pt>
                <c:pt idx="59">
                  <c:v>45677</c:v>
                </c:pt>
                <c:pt idx="61">
                  <c:v>45754</c:v>
                </c:pt>
                <c:pt idx="62">
                  <c:v>45762</c:v>
                </c:pt>
                <c:pt idx="63">
                  <c:v>45768</c:v>
                </c:pt>
                <c:pt idx="64">
                  <c:v>45775</c:v>
                </c:pt>
                <c:pt idx="65">
                  <c:v>45782</c:v>
                </c:pt>
                <c:pt idx="66">
                  <c:v>45790</c:v>
                </c:pt>
                <c:pt idx="67">
                  <c:v>45798</c:v>
                </c:pt>
                <c:pt idx="68">
                  <c:v>45811</c:v>
                </c:pt>
                <c:pt idx="69">
                  <c:v>45819</c:v>
                </c:pt>
                <c:pt idx="70">
                  <c:v>45827</c:v>
                </c:pt>
                <c:pt idx="71">
                  <c:v>45835</c:v>
                </c:pt>
                <c:pt idx="72">
                  <c:v>45851</c:v>
                </c:pt>
                <c:pt idx="73">
                  <c:v>45859</c:v>
                </c:pt>
                <c:pt idx="74">
                  <c:v>45867</c:v>
                </c:pt>
                <c:pt idx="75">
                  <c:v>45883</c:v>
                </c:pt>
                <c:pt idx="76">
                  <c:v>45891</c:v>
                </c:pt>
                <c:pt idx="77">
                  <c:v>45899</c:v>
                </c:pt>
                <c:pt idx="78">
                  <c:v>45908</c:v>
                </c:pt>
                <c:pt idx="79">
                  <c:v>45916</c:v>
                </c:pt>
                <c:pt idx="80">
                  <c:v>45924</c:v>
                </c:pt>
                <c:pt idx="81">
                  <c:v>45932</c:v>
                </c:pt>
                <c:pt idx="82">
                  <c:v>45950</c:v>
                </c:pt>
                <c:pt idx="83">
                  <c:v>45948</c:v>
                </c:pt>
                <c:pt idx="84">
                  <c:v>45956</c:v>
                </c:pt>
                <c:pt idx="85">
                  <c:v>45965</c:v>
                </c:pt>
                <c:pt idx="86">
                  <c:v>45973</c:v>
                </c:pt>
                <c:pt idx="87">
                  <c:v>45981</c:v>
                </c:pt>
                <c:pt idx="88">
                  <c:v>45989</c:v>
                </c:pt>
                <c:pt idx="89">
                  <c:v>45997</c:v>
                </c:pt>
                <c:pt idx="90">
                  <c:v>46005</c:v>
                </c:pt>
              </c:numCache>
            </c:numRef>
          </c:cat>
          <c:val>
            <c:numRef>
              <c:f>'Dhaka IC(新)'!$W$6:$W$96</c:f>
              <c:numCache>
                <c:formatCode>0.00_ </c:formatCode>
                <c:ptCount val="91"/>
                <c:pt idx="0">
                  <c:v>0.60769220570889348</c:v>
                </c:pt>
                <c:pt idx="1">
                  <c:v>1.4347199964841317</c:v>
                </c:pt>
                <c:pt idx="2">
                  <c:v>0.48241379571579046</c:v>
                </c:pt>
                <c:pt idx="3">
                  <c:v>1.0030738195918849</c:v>
                </c:pt>
                <c:pt idx="4">
                  <c:v>0.85206702442621163</c:v>
                </c:pt>
                <c:pt idx="5">
                  <c:v>1.0083022004895021</c:v>
                </c:pt>
                <c:pt idx="6">
                  <c:v>0.6310372588055474</c:v>
                </c:pt>
                <c:pt idx="7">
                  <c:v>0.37434875020913583</c:v>
                </c:pt>
                <c:pt idx="8">
                  <c:v>0.48743227361995745</c:v>
                </c:pt>
                <c:pt idx="9">
                  <c:v>0.28380577037023219</c:v>
                </c:pt>
                <c:pt idx="10">
                  <c:v>0.90542997278077209</c:v>
                </c:pt>
                <c:pt idx="11">
                  <c:v>0.81579630259157077</c:v>
                </c:pt>
                <c:pt idx="12">
                  <c:v>0.83309402841755698</c:v>
                </c:pt>
                <c:pt idx="13">
                  <c:v>1.7562674472753006</c:v>
                </c:pt>
                <c:pt idx="14">
                  <c:v>1.6287143561128803</c:v>
                </c:pt>
                <c:pt idx="15">
                  <c:v>1.4174563313215258</c:v>
                </c:pt>
                <c:pt idx="16">
                  <c:v>2.7342683059094126</c:v>
                </c:pt>
                <c:pt idx="18">
                  <c:v>5.0987019907043081</c:v>
                </c:pt>
                <c:pt idx="19">
                  <c:v>4.9719760632154193</c:v>
                </c:pt>
                <c:pt idx="20">
                  <c:v>3.6216721834586005</c:v>
                </c:pt>
                <c:pt idx="21">
                  <c:v>3.1340246874192235</c:v>
                </c:pt>
                <c:pt idx="22">
                  <c:v>16.118872737377526</c:v>
                </c:pt>
                <c:pt idx="23">
                  <c:v>3.6396324661725021</c:v>
                </c:pt>
                <c:pt idx="24">
                  <c:v>6.2297338536168869</c:v>
                </c:pt>
                <c:pt idx="25">
                  <c:v>10.893728091618867</c:v>
                </c:pt>
                <c:pt idx="26">
                  <c:v>9.251040575136825</c:v>
                </c:pt>
                <c:pt idx="27">
                  <c:v>8.9588949492245877</c:v>
                </c:pt>
                <c:pt idx="28">
                  <c:v>4.5068275544336629</c:v>
                </c:pt>
                <c:pt idx="29">
                  <c:v>7.7663811780189445</c:v>
                </c:pt>
                <c:pt idx="30">
                  <c:v>4.7228719401471828</c:v>
                </c:pt>
                <c:pt idx="31">
                  <c:v>1.3689674574960087</c:v>
                </c:pt>
                <c:pt idx="32">
                  <c:v>1.0882445761670516</c:v>
                </c:pt>
                <c:pt idx="33">
                  <c:v>1.3594894491720868</c:v>
                </c:pt>
                <c:pt idx="34">
                  <c:v>1.4463003000465371</c:v>
                </c:pt>
                <c:pt idx="35">
                  <c:v>1.2950561346781404</c:v>
                </c:pt>
                <c:pt idx="36">
                  <c:v>1.2323223464170057</c:v>
                </c:pt>
                <c:pt idx="37">
                  <c:v>0.43336789362002354</c:v>
                </c:pt>
                <c:pt idx="38">
                  <c:v>0.52462432379809842</c:v>
                </c:pt>
                <c:pt idx="39">
                  <c:v>1.3833881928619221</c:v>
                </c:pt>
                <c:pt idx="40">
                  <c:v>0.42856070678008978</c:v>
                </c:pt>
                <c:pt idx="41">
                  <c:v>1.2418165404258745</c:v>
                </c:pt>
                <c:pt idx="42">
                  <c:v>1.0814968593140855</c:v>
                </c:pt>
                <c:pt idx="43">
                  <c:v>0.93487766069610745</c:v>
                </c:pt>
                <c:pt idx="44">
                  <c:v>0.66122854983288126</c:v>
                </c:pt>
                <c:pt idx="45">
                  <c:v>0.88512327690279358</c:v>
                </c:pt>
                <c:pt idx="46">
                  <c:v>1.4003335264726884</c:v>
                </c:pt>
                <c:pt idx="47">
                  <c:v>1.632039932157493</c:v>
                </c:pt>
                <c:pt idx="48">
                  <c:v>3.5505881999750346</c:v>
                </c:pt>
                <c:pt idx="49">
                  <c:v>1.5356558360168224</c:v>
                </c:pt>
                <c:pt idx="50">
                  <c:v>0.8083284671348524</c:v>
                </c:pt>
                <c:pt idx="51">
                  <c:v>1.0994036302928385</c:v>
                </c:pt>
                <c:pt idx="52">
                  <c:v>3.3382388680492761</c:v>
                </c:pt>
                <c:pt idx="53">
                  <c:v>9.4393861037472888</c:v>
                </c:pt>
                <c:pt idx="54">
                  <c:v>4.2575558667745019</c:v>
                </c:pt>
                <c:pt idx="55">
                  <c:v>8.3468365129914517</c:v>
                </c:pt>
                <c:pt idx="56">
                  <c:v>8.6902721922635795</c:v>
                </c:pt>
                <c:pt idx="57">
                  <c:v>5.8874294433041294</c:v>
                </c:pt>
                <c:pt idx="58">
                  <c:v>1.0450873490601149</c:v>
                </c:pt>
                <c:pt idx="59">
                  <c:v>4.8904469581677237</c:v>
                </c:pt>
                <c:pt idx="61">
                  <c:v>4.5511424217898089</c:v>
                </c:pt>
                <c:pt idx="62">
                  <c:v>4.0113397502794896</c:v>
                </c:pt>
                <c:pt idx="63">
                  <c:v>5.4632987728317373</c:v>
                </c:pt>
                <c:pt idx="64">
                  <c:v>1.5694211855109972</c:v>
                </c:pt>
                <c:pt idx="65">
                  <c:v>1.7524308157245725</c:v>
                </c:pt>
                <c:pt idx="66">
                  <c:v>1.6665948467003975</c:v>
                </c:pt>
                <c:pt idx="67">
                  <c:v>1.3024116497817857</c:v>
                </c:pt>
                <c:pt idx="68">
                  <c:v>0.53429448098470389</c:v>
                </c:pt>
                <c:pt idx="69">
                  <c:v>1.5651523378536449</c:v>
                </c:pt>
                <c:pt idx="70">
                  <c:v>2.5739774326201248</c:v>
                </c:pt>
                <c:pt idx="71">
                  <c:v>2.4734843581434958</c:v>
                </c:pt>
                <c:pt idx="72">
                  <c:v>0.2096593446811317</c:v>
                </c:pt>
                <c:pt idx="73">
                  <c:v>0.15366294283298451</c:v>
                </c:pt>
                <c:pt idx="74">
                  <c:v>0.69298704115804644</c:v>
                </c:pt>
                <c:pt idx="75">
                  <c:v>0.5230922590029462</c:v>
                </c:pt>
                <c:pt idx="76">
                  <c:v>0.54531633320918083</c:v>
                </c:pt>
                <c:pt idx="77">
                  <c:v>0.29506591084558748</c:v>
                </c:pt>
                <c:pt idx="78">
                  <c:v>0.71273156989499054</c:v>
                </c:pt>
                <c:pt idx="79">
                  <c:v>0.89745770735714392</c:v>
                </c:pt>
                <c:pt idx="80">
                  <c:v>0.77678649451833226</c:v>
                </c:pt>
                <c:pt idx="81">
                  <c:v>0.91963586405468811</c:v>
                </c:pt>
                <c:pt idx="82">
                  <c:v>0.77044987831903389</c:v>
                </c:pt>
                <c:pt idx="83">
                  <c:v>0.45660370641900427</c:v>
                </c:pt>
                <c:pt idx="84">
                  <c:v>0.7890464693387137</c:v>
                </c:pt>
                <c:pt idx="85">
                  <c:v>0.7047419233828317</c:v>
                </c:pt>
                <c:pt idx="86">
                  <c:v>2.4547500145977441</c:v>
                </c:pt>
                <c:pt idx="87">
                  <c:v>4.2595836111891945</c:v>
                </c:pt>
                <c:pt idx="88">
                  <c:v>6.4796033213607567</c:v>
                </c:pt>
                <c:pt idx="89">
                  <c:v>2.6126144094759161</c:v>
                </c:pt>
                <c:pt idx="90">
                  <c:v>1.0653780366385497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1-4D83-8D4B-169D77BEA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27631"/>
        <c:axId val="169928111"/>
      </c:lineChart>
      <c:catAx>
        <c:axId val="1699276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928111"/>
        <c:crosses val="autoZero"/>
        <c:auto val="0"/>
        <c:lblAlgn val="ctr"/>
        <c:lblOffset val="100"/>
        <c:noMultiLvlLbl val="0"/>
      </c:catAx>
      <c:valAx>
        <c:axId val="1699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92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'Bhola IC'!$T$5</c:f>
              <c:strCache>
                <c:ptCount val="1"/>
                <c:pt idx="0">
                  <c:v>Cl-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IC'!$T$6:$T$89</c:f>
              <c:numCache>
                <c:formatCode>0.00_ </c:formatCode>
                <c:ptCount val="84"/>
                <c:pt idx="0">
                  <c:v>0.75740454130231916</c:v>
                </c:pt>
                <c:pt idx="1">
                  <c:v>1.3606247672960998</c:v>
                </c:pt>
                <c:pt idx="2">
                  <c:v>0.59826397973897649</c:v>
                </c:pt>
                <c:pt idx="3">
                  <c:v>0.56514724340005895</c:v>
                </c:pt>
                <c:pt idx="4">
                  <c:v>1.9665934571220895</c:v>
                </c:pt>
                <c:pt idx="5">
                  <c:v>1.3869829860148299</c:v>
                </c:pt>
                <c:pt idx="6">
                  <c:v>0.126282901733199</c:v>
                </c:pt>
                <c:pt idx="7">
                  <c:v>0.3360334960757107</c:v>
                </c:pt>
                <c:pt idx="8">
                  <c:v>0.11979472481781922</c:v>
                </c:pt>
                <c:pt idx="9">
                  <c:v>0.53378772164238997</c:v>
                </c:pt>
                <c:pt idx="10">
                  <c:v>0.19144627578783785</c:v>
                </c:pt>
                <c:pt idx="11">
                  <c:v>0.16639470380901042</c:v>
                </c:pt>
                <c:pt idx="12">
                  <c:v>6.1029414110290982E-2</c:v>
                </c:pt>
                <c:pt idx="13">
                  <c:v>1.2672220537851117E-2</c:v>
                </c:pt>
                <c:pt idx="14">
                  <c:v>9.0564136110509327E-2</c:v>
                </c:pt>
                <c:pt idx="15">
                  <c:v>2.4972722606591936E-2</c:v>
                </c:pt>
                <c:pt idx="16">
                  <c:v>5.6264659188058959E-2</c:v>
                </c:pt>
                <c:pt idx="17">
                  <c:v>4.6194467933979952E-2</c:v>
                </c:pt>
                <c:pt idx="18">
                  <c:v>5.596129649295381E-2</c:v>
                </c:pt>
                <c:pt idx="19">
                  <c:v>4.2812132147684763E-2</c:v>
                </c:pt>
                <c:pt idx="20">
                  <c:v>1.6629825495487308E-2</c:v>
                </c:pt>
                <c:pt idx="21">
                  <c:v>6.7911566442036553E-2</c:v>
                </c:pt>
                <c:pt idx="22">
                  <c:v>4.0917105521454819E-2</c:v>
                </c:pt>
                <c:pt idx="23">
                  <c:v>3.7243074307335533E-2</c:v>
                </c:pt>
                <c:pt idx="24">
                  <c:v>0.10013991042553907</c:v>
                </c:pt>
                <c:pt idx="25">
                  <c:v>3.0011033917437563E-2</c:v>
                </c:pt>
                <c:pt idx="26">
                  <c:v>0.34141418482363245</c:v>
                </c:pt>
                <c:pt idx="27">
                  <c:v>0.24380097656640001</c:v>
                </c:pt>
                <c:pt idx="28">
                  <c:v>0.1394584900854122</c:v>
                </c:pt>
                <c:pt idx="29">
                  <c:v>0.20992254137094213</c:v>
                </c:pt>
                <c:pt idx="30">
                  <c:v>0.10844193183568934</c:v>
                </c:pt>
                <c:pt idx="31">
                  <c:v>0.29330371292505986</c:v>
                </c:pt>
                <c:pt idx="32">
                  <c:v>0.62744718334601424</c:v>
                </c:pt>
                <c:pt idx="33">
                  <c:v>0.19615459282118985</c:v>
                </c:pt>
                <c:pt idx="34">
                  <c:v>0.50461851875608943</c:v>
                </c:pt>
                <c:pt idx="35">
                  <c:v>1.3404843847879415</c:v>
                </c:pt>
                <c:pt idx="36">
                  <c:v>0.1269249609071168</c:v>
                </c:pt>
                <c:pt idx="37">
                  <c:v>1.0014771409593488</c:v>
                </c:pt>
                <c:pt idx="38">
                  <c:v>2.3058710416554904</c:v>
                </c:pt>
                <c:pt idx="39">
                  <c:v>0.58001598216447092</c:v>
                </c:pt>
                <c:pt idx="40">
                  <c:v>2.0147141025778232</c:v>
                </c:pt>
                <c:pt idx="41">
                  <c:v>0.91050749379162799</c:v>
                </c:pt>
                <c:pt idx="42">
                  <c:v>1.5460784907940384</c:v>
                </c:pt>
                <c:pt idx="43">
                  <c:v>0.57379814595389866</c:v>
                </c:pt>
                <c:pt idx="44">
                  <c:v>0.6737566215564682</c:v>
                </c:pt>
                <c:pt idx="45">
                  <c:v>0.23506124283011304</c:v>
                </c:pt>
                <c:pt idx="46">
                  <c:v>0.40537588685883208</c:v>
                </c:pt>
                <c:pt idx="47">
                  <c:v>0.40506048936988998</c:v>
                </c:pt>
                <c:pt idx="48">
                  <c:v>8.0516473248497589E-2</c:v>
                </c:pt>
                <c:pt idx="49">
                  <c:v>0.19153638935610701</c:v>
                </c:pt>
                <c:pt idx="50">
                  <c:v>0.16348854123232992</c:v>
                </c:pt>
                <c:pt idx="51">
                  <c:v>0.26205511059865583</c:v>
                </c:pt>
                <c:pt idx="52">
                  <c:v>0.42010290949375229</c:v>
                </c:pt>
                <c:pt idx="53">
                  <c:v>0.42409002064403539</c:v>
                </c:pt>
                <c:pt idx="54">
                  <c:v>0.43178853588233457</c:v>
                </c:pt>
                <c:pt idx="55">
                  <c:v>0.27931659985400276</c:v>
                </c:pt>
                <c:pt idx="56">
                  <c:v>0.15240735116895018</c:v>
                </c:pt>
                <c:pt idx="57">
                  <c:v>2.1979519344782237E-2</c:v>
                </c:pt>
                <c:pt idx="58">
                  <c:v>2.6815633615284395E-2</c:v>
                </c:pt>
                <c:pt idx="59">
                  <c:v>0.42614381917237359</c:v>
                </c:pt>
                <c:pt idx="60">
                  <c:v>2.3591557434949624E-2</c:v>
                </c:pt>
                <c:pt idx="61">
                  <c:v>3.1961755210818746E-2</c:v>
                </c:pt>
                <c:pt idx="62">
                  <c:v>5.5088301658220075E-2</c:v>
                </c:pt>
                <c:pt idx="63">
                  <c:v>2.7218643137826241E-2</c:v>
                </c:pt>
                <c:pt idx="64">
                  <c:v>0.14248711676792014</c:v>
                </c:pt>
                <c:pt idx="65">
                  <c:v>0.10311618648883204</c:v>
                </c:pt>
                <c:pt idx="66">
                  <c:v>0.11335934518677065</c:v>
                </c:pt>
                <c:pt idx="67">
                  <c:v>1.4144084204593647E-2</c:v>
                </c:pt>
                <c:pt idx="69">
                  <c:v>0.31698248984541377</c:v>
                </c:pt>
                <c:pt idx="70">
                  <c:v>2.3059894872519422</c:v>
                </c:pt>
                <c:pt idx="71">
                  <c:v>1.7379010641304544</c:v>
                </c:pt>
                <c:pt idx="72">
                  <c:v>3.5212182013781246</c:v>
                </c:pt>
                <c:pt idx="73">
                  <c:v>0.44183794000212812</c:v>
                </c:pt>
                <c:pt idx="74">
                  <c:v>1.3666672924044079</c:v>
                </c:pt>
                <c:pt idx="75">
                  <c:v>2.3878314210604397</c:v>
                </c:pt>
                <c:pt idx="76">
                  <c:v>4.2069544043493279</c:v>
                </c:pt>
                <c:pt idx="77">
                  <c:v>0.77145322834260366</c:v>
                </c:pt>
                <c:pt idx="78">
                  <c:v>1.4289787647358776</c:v>
                </c:pt>
                <c:pt idx="79">
                  <c:v>0.11625274688707107</c:v>
                </c:pt>
                <c:pt idx="80">
                  <c:v>0.75486783645338162</c:v>
                </c:pt>
                <c:pt idx="81">
                  <c:v>7.9206871545724436E-2</c:v>
                </c:pt>
                <c:pt idx="82">
                  <c:v>0.54437286275652486</c:v>
                </c:pt>
                <c:pt idx="83">
                  <c:v>0.13464651483898099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C9E-4591-B917-6D9F8D5A8168}"/>
            </c:ext>
          </c:extLst>
        </c:ser>
        <c:ser>
          <c:idx val="9"/>
          <c:order val="1"/>
          <c:tx>
            <c:strRef>
              <c:f>'Bhola IC'!$U$5</c:f>
              <c:strCache>
                <c:ptCount val="1"/>
                <c:pt idx="0">
                  <c:v>NO2-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IC'!$U$6:$U$89</c:f>
              <c:numCache>
                <c:formatCode>0.00_ 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1.3652306120625318E-2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2.1321529877629974E-2</c:v>
                </c:pt>
                <c:pt idx="13">
                  <c:v>2.4585029348695792E-2</c:v>
                </c:pt>
                <c:pt idx="14">
                  <c:v>2.4802595980100182E-2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7.4593405554756048E-2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7.2081843078164926E-2</c:v>
                </c:pt>
                <c:pt idx="35">
                  <c:v>0</c:v>
                </c:pt>
                <c:pt idx="36">
                  <c:v>8.7896919087372585E-2</c:v>
                </c:pt>
                <c:pt idx="37">
                  <c:v>6.287675647586799E-2</c:v>
                </c:pt>
                <c:pt idx="38">
                  <c:v>0</c:v>
                </c:pt>
                <c:pt idx="39">
                  <c:v>0.20581803330855064</c:v>
                </c:pt>
                <c:pt idx="40">
                  <c:v>0.26891235641582301</c:v>
                </c:pt>
                <c:pt idx="41">
                  <c:v>0</c:v>
                </c:pt>
                <c:pt idx="42">
                  <c:v>0.19232890216147858</c:v>
                </c:pt>
                <c:pt idx="43">
                  <c:v>0.22866252960601127</c:v>
                </c:pt>
                <c:pt idx="44">
                  <c:v>8.4742202932008973E-2</c:v>
                </c:pt>
                <c:pt idx="45">
                  <c:v>0</c:v>
                </c:pt>
                <c:pt idx="46">
                  <c:v>4.5580209279219186E-2</c:v>
                </c:pt>
                <c:pt idx="47">
                  <c:v>3.9161993652789766E-2</c:v>
                </c:pt>
                <c:pt idx="48">
                  <c:v>5.4464180061565011E-2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4.8640593296647883E-2</c:v>
                </c:pt>
                <c:pt idx="53">
                  <c:v>0</c:v>
                </c:pt>
                <c:pt idx="54">
                  <c:v>0</c:v>
                </c:pt>
                <c:pt idx="55">
                  <c:v>3.9071056118152106E-2</c:v>
                </c:pt>
                <c:pt idx="56">
                  <c:v>1.7834046582962976E-2</c:v>
                </c:pt>
                <c:pt idx="57">
                  <c:v>0</c:v>
                </c:pt>
                <c:pt idx="58">
                  <c:v>6.0043390757056982E-2</c:v>
                </c:pt>
                <c:pt idx="59">
                  <c:v>2.6089382633733824E-2</c:v>
                </c:pt>
                <c:pt idx="60">
                  <c:v>2.8635303064658568E-2</c:v>
                </c:pt>
                <c:pt idx="61">
                  <c:v>0</c:v>
                </c:pt>
                <c:pt idx="62">
                  <c:v>2.1678134362329553E-2</c:v>
                </c:pt>
                <c:pt idx="63">
                  <c:v>0</c:v>
                </c:pt>
                <c:pt idx="64">
                  <c:v>0</c:v>
                </c:pt>
                <c:pt idx="65">
                  <c:v>3.3273415532877923E-2</c:v>
                </c:pt>
                <c:pt idx="66">
                  <c:v>3.6214247713814103E-2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C9E-4591-B917-6D9F8D5A8168}"/>
            </c:ext>
          </c:extLst>
        </c:ser>
        <c:ser>
          <c:idx val="10"/>
          <c:order val="2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C9E-4591-B917-6D9F8D5A8168}"/>
            </c:ext>
          </c:extLst>
        </c:ser>
        <c:ser>
          <c:idx val="11"/>
          <c:order val="3"/>
          <c:tx>
            <c:strRef>
              <c:f>'Bhola IC'!$X$5</c:f>
              <c:strCache>
                <c:ptCount val="1"/>
                <c:pt idx="0">
                  <c:v>SO42-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IC'!$X$6:$X$89</c:f>
              <c:numCache>
                <c:formatCode>0.00_ </c:formatCode>
                <c:ptCount val="84"/>
                <c:pt idx="0">
                  <c:v>26.737554490789439</c:v>
                </c:pt>
                <c:pt idx="1">
                  <c:v>6.7618871990162699</c:v>
                </c:pt>
                <c:pt idx="2">
                  <c:v>13.116033077753718</c:v>
                </c:pt>
                <c:pt idx="3">
                  <c:v>6.4497102506777981</c:v>
                </c:pt>
                <c:pt idx="4">
                  <c:v>13.49634388386448</c:v>
                </c:pt>
                <c:pt idx="5">
                  <c:v>8.8563396840422453</c:v>
                </c:pt>
                <c:pt idx="6">
                  <c:v>10.216273788071152</c:v>
                </c:pt>
                <c:pt idx="7">
                  <c:v>16.664833726864487</c:v>
                </c:pt>
                <c:pt idx="8">
                  <c:v>4.1895243687589749</c:v>
                </c:pt>
                <c:pt idx="9">
                  <c:v>20.362467036719387</c:v>
                </c:pt>
                <c:pt idx="10">
                  <c:v>8.6118246706516608</c:v>
                </c:pt>
                <c:pt idx="11">
                  <c:v>3.1060190591204839</c:v>
                </c:pt>
                <c:pt idx="12">
                  <c:v>1.6471581330273999</c:v>
                </c:pt>
                <c:pt idx="13">
                  <c:v>0.27187178961733477</c:v>
                </c:pt>
                <c:pt idx="14">
                  <c:v>3.7611659200893186</c:v>
                </c:pt>
                <c:pt idx="15">
                  <c:v>1.0118320306832298</c:v>
                </c:pt>
                <c:pt idx="16">
                  <c:v>0.48242310723961235</c:v>
                </c:pt>
                <c:pt idx="17">
                  <c:v>0.71465337960761721</c:v>
                </c:pt>
                <c:pt idx="18">
                  <c:v>1.6963797839932875</c:v>
                </c:pt>
                <c:pt idx="19">
                  <c:v>3.2467410568823953</c:v>
                </c:pt>
                <c:pt idx="20">
                  <c:v>1.5387835918993034</c:v>
                </c:pt>
                <c:pt idx="21">
                  <c:v>2.241578770258891</c:v>
                </c:pt>
                <c:pt idx="22">
                  <c:v>7.519104957309934</c:v>
                </c:pt>
                <c:pt idx="23">
                  <c:v>1.0681408789042546</c:v>
                </c:pt>
                <c:pt idx="24">
                  <c:v>10.743821804953102</c:v>
                </c:pt>
                <c:pt idx="25">
                  <c:v>1.5611903969183658</c:v>
                </c:pt>
                <c:pt idx="26">
                  <c:v>16.107149254282042</c:v>
                </c:pt>
                <c:pt idx="27">
                  <c:v>15.1667620966446</c:v>
                </c:pt>
                <c:pt idx="28">
                  <c:v>11.889978953745555</c:v>
                </c:pt>
                <c:pt idx="29">
                  <c:v>10.810559816635712</c:v>
                </c:pt>
                <c:pt idx="30">
                  <c:v>2.6484943340126428</c:v>
                </c:pt>
                <c:pt idx="31">
                  <c:v>7.3839654740323821</c:v>
                </c:pt>
                <c:pt idx="32">
                  <c:v>17.366721099897035</c:v>
                </c:pt>
                <c:pt idx="33">
                  <c:v>2.9838478523380294</c:v>
                </c:pt>
                <c:pt idx="34">
                  <c:v>16.774862063090623</c:v>
                </c:pt>
                <c:pt idx="35">
                  <c:v>9.804727590020633</c:v>
                </c:pt>
                <c:pt idx="36">
                  <c:v>0.99917859995409086</c:v>
                </c:pt>
                <c:pt idx="37">
                  <c:v>11.00866170540988</c:v>
                </c:pt>
                <c:pt idx="38">
                  <c:v>9.0610951994773998</c:v>
                </c:pt>
                <c:pt idx="39">
                  <c:v>4.5580665994363381</c:v>
                </c:pt>
                <c:pt idx="40">
                  <c:v>6.3405191071829918</c:v>
                </c:pt>
                <c:pt idx="41">
                  <c:v>5.0100506845023576</c:v>
                </c:pt>
                <c:pt idx="42">
                  <c:v>4.651861260785199</c:v>
                </c:pt>
                <c:pt idx="43">
                  <c:v>4.3117228851012168</c:v>
                </c:pt>
                <c:pt idx="44">
                  <c:v>3.0477070951309555</c:v>
                </c:pt>
                <c:pt idx="45">
                  <c:v>5.4797318754832576</c:v>
                </c:pt>
                <c:pt idx="46">
                  <c:v>1.888989085354227</c:v>
                </c:pt>
                <c:pt idx="47">
                  <c:v>4.2791602102178397</c:v>
                </c:pt>
                <c:pt idx="48">
                  <c:v>2.9757683595869708</c:v>
                </c:pt>
                <c:pt idx="49">
                  <c:v>9.7523441565125903</c:v>
                </c:pt>
                <c:pt idx="50">
                  <c:v>8.6432665288270982</c:v>
                </c:pt>
                <c:pt idx="51">
                  <c:v>1.2394107114775772</c:v>
                </c:pt>
                <c:pt idx="52">
                  <c:v>2.2300343584673326</c:v>
                </c:pt>
                <c:pt idx="53">
                  <c:v>2.8360499908802912</c:v>
                </c:pt>
                <c:pt idx="54">
                  <c:v>5.6611595118218734</c:v>
                </c:pt>
                <c:pt idx="55">
                  <c:v>12.882269932465633</c:v>
                </c:pt>
                <c:pt idx="56">
                  <c:v>0.56471837285769988</c:v>
                </c:pt>
                <c:pt idx="57">
                  <c:v>0.19784905941600847</c:v>
                </c:pt>
                <c:pt idx="58">
                  <c:v>3.1316428097731142</c:v>
                </c:pt>
                <c:pt idx="59">
                  <c:v>2.796474175080661</c:v>
                </c:pt>
                <c:pt idx="60">
                  <c:v>1.1467880641974628</c:v>
                </c:pt>
                <c:pt idx="61">
                  <c:v>0.76145670773419882</c:v>
                </c:pt>
                <c:pt idx="62">
                  <c:v>1.0044952448116831</c:v>
                </c:pt>
                <c:pt idx="63">
                  <c:v>1.3798601000015127</c:v>
                </c:pt>
                <c:pt idx="64">
                  <c:v>1.3010486903332708</c:v>
                </c:pt>
                <c:pt idx="65">
                  <c:v>3.6040009348860358</c:v>
                </c:pt>
                <c:pt idx="66">
                  <c:v>2.8982238810197889</c:v>
                </c:pt>
                <c:pt idx="67">
                  <c:v>0.25761804747446582</c:v>
                </c:pt>
                <c:pt idx="69">
                  <c:v>6.4474057233928086</c:v>
                </c:pt>
                <c:pt idx="70">
                  <c:v>8.8533751673532102</c:v>
                </c:pt>
                <c:pt idx="71">
                  <c:v>3.5012839312998878</c:v>
                </c:pt>
                <c:pt idx="72">
                  <c:v>11.996625548890567</c:v>
                </c:pt>
                <c:pt idx="73">
                  <c:v>3.4008183963749059</c:v>
                </c:pt>
                <c:pt idx="74">
                  <c:v>12.267602310421291</c:v>
                </c:pt>
                <c:pt idx="75">
                  <c:v>8.3816674665201827</c:v>
                </c:pt>
                <c:pt idx="76">
                  <c:v>10.417595527858495</c:v>
                </c:pt>
                <c:pt idx="77">
                  <c:v>18.248703857767872</c:v>
                </c:pt>
                <c:pt idx="78">
                  <c:v>13.541032985177576</c:v>
                </c:pt>
                <c:pt idx="79">
                  <c:v>7.2205100290007787</c:v>
                </c:pt>
                <c:pt idx="80">
                  <c:v>12.963656355180422</c:v>
                </c:pt>
                <c:pt idx="81">
                  <c:v>9.6587004911343346</c:v>
                </c:pt>
                <c:pt idx="82">
                  <c:v>10.436207668790811</c:v>
                </c:pt>
                <c:pt idx="83">
                  <c:v>1.7522763651224944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C9E-4591-B917-6D9F8D5A8168}"/>
            </c:ext>
          </c:extLst>
        </c:ser>
        <c:ser>
          <c:idx val="12"/>
          <c:order val="4"/>
          <c:tx>
            <c:strRef>
              <c:f>'Bhola IC'!$T$5</c:f>
              <c:strCache>
                <c:ptCount val="1"/>
                <c:pt idx="0">
                  <c:v>Cl-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IC'!$T$6:$T$89</c:f>
              <c:numCache>
                <c:formatCode>0.00_ </c:formatCode>
                <c:ptCount val="84"/>
                <c:pt idx="0">
                  <c:v>0.75740454130231916</c:v>
                </c:pt>
                <c:pt idx="1">
                  <c:v>1.3606247672960998</c:v>
                </c:pt>
                <c:pt idx="2">
                  <c:v>0.59826397973897649</c:v>
                </c:pt>
                <c:pt idx="3">
                  <c:v>0.56514724340005895</c:v>
                </c:pt>
                <c:pt idx="4">
                  <c:v>1.9665934571220895</c:v>
                </c:pt>
                <c:pt idx="5">
                  <c:v>1.3869829860148299</c:v>
                </c:pt>
                <c:pt idx="6">
                  <c:v>0.126282901733199</c:v>
                </c:pt>
                <c:pt idx="7">
                  <c:v>0.3360334960757107</c:v>
                </c:pt>
                <c:pt idx="8">
                  <c:v>0.11979472481781922</c:v>
                </c:pt>
                <c:pt idx="9">
                  <c:v>0.53378772164238997</c:v>
                </c:pt>
                <c:pt idx="10">
                  <c:v>0.19144627578783785</c:v>
                </c:pt>
                <c:pt idx="11">
                  <c:v>0.16639470380901042</c:v>
                </c:pt>
                <c:pt idx="12">
                  <c:v>6.1029414110290982E-2</c:v>
                </c:pt>
                <c:pt idx="13">
                  <c:v>1.2672220537851117E-2</c:v>
                </c:pt>
                <c:pt idx="14">
                  <c:v>9.0564136110509327E-2</c:v>
                </c:pt>
                <c:pt idx="15">
                  <c:v>2.4972722606591936E-2</c:v>
                </c:pt>
                <c:pt idx="16">
                  <c:v>5.6264659188058959E-2</c:v>
                </c:pt>
                <c:pt idx="17">
                  <c:v>4.6194467933979952E-2</c:v>
                </c:pt>
                <c:pt idx="18">
                  <c:v>5.596129649295381E-2</c:v>
                </c:pt>
                <c:pt idx="19">
                  <c:v>4.2812132147684763E-2</c:v>
                </c:pt>
                <c:pt idx="20">
                  <c:v>1.6629825495487308E-2</c:v>
                </c:pt>
                <c:pt idx="21">
                  <c:v>6.7911566442036553E-2</c:v>
                </c:pt>
                <c:pt idx="22">
                  <c:v>4.0917105521454819E-2</c:v>
                </c:pt>
                <c:pt idx="23">
                  <c:v>3.7243074307335533E-2</c:v>
                </c:pt>
                <c:pt idx="24">
                  <c:v>0.10013991042553907</c:v>
                </c:pt>
                <c:pt idx="25">
                  <c:v>3.0011033917437563E-2</c:v>
                </c:pt>
                <c:pt idx="26">
                  <c:v>0.34141418482363245</c:v>
                </c:pt>
                <c:pt idx="27">
                  <c:v>0.24380097656640001</c:v>
                </c:pt>
                <c:pt idx="28">
                  <c:v>0.1394584900854122</c:v>
                </c:pt>
                <c:pt idx="29">
                  <c:v>0.20992254137094213</c:v>
                </c:pt>
                <c:pt idx="30">
                  <c:v>0.10844193183568934</c:v>
                </c:pt>
                <c:pt idx="31">
                  <c:v>0.29330371292505986</c:v>
                </c:pt>
                <c:pt idx="32">
                  <c:v>0.62744718334601424</c:v>
                </c:pt>
                <c:pt idx="33">
                  <c:v>0.19615459282118985</c:v>
                </c:pt>
                <c:pt idx="34">
                  <c:v>0.50461851875608943</c:v>
                </c:pt>
                <c:pt idx="35">
                  <c:v>1.3404843847879415</c:v>
                </c:pt>
                <c:pt idx="36">
                  <c:v>0.1269249609071168</c:v>
                </c:pt>
                <c:pt idx="37">
                  <c:v>1.0014771409593488</c:v>
                </c:pt>
                <c:pt idx="38">
                  <c:v>2.3058710416554904</c:v>
                </c:pt>
                <c:pt idx="39">
                  <c:v>0.58001598216447092</c:v>
                </c:pt>
                <c:pt idx="40">
                  <c:v>2.0147141025778232</c:v>
                </c:pt>
                <c:pt idx="41">
                  <c:v>0.91050749379162799</c:v>
                </c:pt>
                <c:pt idx="42">
                  <c:v>1.5460784907940384</c:v>
                </c:pt>
                <c:pt idx="43">
                  <c:v>0.57379814595389866</c:v>
                </c:pt>
                <c:pt idx="44">
                  <c:v>0.6737566215564682</c:v>
                </c:pt>
                <c:pt idx="45">
                  <c:v>0.23506124283011304</c:v>
                </c:pt>
                <c:pt idx="46">
                  <c:v>0.40537588685883208</c:v>
                </c:pt>
                <c:pt idx="47">
                  <c:v>0.40506048936988998</c:v>
                </c:pt>
                <c:pt idx="48">
                  <c:v>8.0516473248497589E-2</c:v>
                </c:pt>
                <c:pt idx="49">
                  <c:v>0.19153638935610701</c:v>
                </c:pt>
                <c:pt idx="50">
                  <c:v>0.16348854123232992</c:v>
                </c:pt>
                <c:pt idx="51">
                  <c:v>0.26205511059865583</c:v>
                </c:pt>
                <c:pt idx="52">
                  <c:v>0.42010290949375229</c:v>
                </c:pt>
                <c:pt idx="53">
                  <c:v>0.42409002064403539</c:v>
                </c:pt>
                <c:pt idx="54">
                  <c:v>0.43178853588233457</c:v>
                </c:pt>
                <c:pt idx="55">
                  <c:v>0.27931659985400276</c:v>
                </c:pt>
                <c:pt idx="56">
                  <c:v>0.15240735116895018</c:v>
                </c:pt>
                <c:pt idx="57">
                  <c:v>2.1979519344782237E-2</c:v>
                </c:pt>
                <c:pt idx="58">
                  <c:v>2.6815633615284395E-2</c:v>
                </c:pt>
                <c:pt idx="59">
                  <c:v>0.42614381917237359</c:v>
                </c:pt>
                <c:pt idx="60">
                  <c:v>2.3591557434949624E-2</c:v>
                </c:pt>
                <c:pt idx="61">
                  <c:v>3.1961755210818746E-2</c:v>
                </c:pt>
                <c:pt idx="62">
                  <c:v>5.5088301658220075E-2</c:v>
                </c:pt>
                <c:pt idx="63">
                  <c:v>2.7218643137826241E-2</c:v>
                </c:pt>
                <c:pt idx="64">
                  <c:v>0.14248711676792014</c:v>
                </c:pt>
                <c:pt idx="65">
                  <c:v>0.10311618648883204</c:v>
                </c:pt>
                <c:pt idx="66">
                  <c:v>0.11335934518677065</c:v>
                </c:pt>
                <c:pt idx="67">
                  <c:v>1.4144084204593647E-2</c:v>
                </c:pt>
                <c:pt idx="69">
                  <c:v>0.31698248984541377</c:v>
                </c:pt>
                <c:pt idx="70">
                  <c:v>2.3059894872519422</c:v>
                </c:pt>
                <c:pt idx="71">
                  <c:v>1.7379010641304544</c:v>
                </c:pt>
                <c:pt idx="72">
                  <c:v>3.5212182013781246</c:v>
                </c:pt>
                <c:pt idx="73">
                  <c:v>0.44183794000212812</c:v>
                </c:pt>
                <c:pt idx="74">
                  <c:v>1.3666672924044079</c:v>
                </c:pt>
                <c:pt idx="75">
                  <c:v>2.3878314210604397</c:v>
                </c:pt>
                <c:pt idx="76">
                  <c:v>4.2069544043493279</c:v>
                </c:pt>
                <c:pt idx="77">
                  <c:v>0.77145322834260366</c:v>
                </c:pt>
                <c:pt idx="78">
                  <c:v>1.4289787647358776</c:v>
                </c:pt>
                <c:pt idx="79">
                  <c:v>0.11625274688707107</c:v>
                </c:pt>
                <c:pt idx="80">
                  <c:v>0.75486783645338162</c:v>
                </c:pt>
                <c:pt idx="81">
                  <c:v>7.9206871545724436E-2</c:v>
                </c:pt>
                <c:pt idx="82">
                  <c:v>0.54437286275652486</c:v>
                </c:pt>
                <c:pt idx="83">
                  <c:v>0.13464651483898099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C9E-4591-B917-6D9F8D5A8168}"/>
            </c:ext>
          </c:extLst>
        </c:ser>
        <c:ser>
          <c:idx val="13"/>
          <c:order val="5"/>
          <c:tx>
            <c:strRef>
              <c:f>'Bhola IC'!$U$5</c:f>
              <c:strCache>
                <c:ptCount val="1"/>
                <c:pt idx="0">
                  <c:v>NO2-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IC'!$U$6:$U$89</c:f>
              <c:numCache>
                <c:formatCode>0.00_ 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1.3652306120625318E-2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2.1321529877629974E-2</c:v>
                </c:pt>
                <c:pt idx="13">
                  <c:v>2.4585029348695792E-2</c:v>
                </c:pt>
                <c:pt idx="14">
                  <c:v>2.4802595980100182E-2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7.4593405554756048E-2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7.2081843078164926E-2</c:v>
                </c:pt>
                <c:pt idx="35">
                  <c:v>0</c:v>
                </c:pt>
                <c:pt idx="36">
                  <c:v>8.7896919087372585E-2</c:v>
                </c:pt>
                <c:pt idx="37">
                  <c:v>6.287675647586799E-2</c:v>
                </c:pt>
                <c:pt idx="38">
                  <c:v>0</c:v>
                </c:pt>
                <c:pt idx="39">
                  <c:v>0.20581803330855064</c:v>
                </c:pt>
                <c:pt idx="40">
                  <c:v>0.26891235641582301</c:v>
                </c:pt>
                <c:pt idx="41">
                  <c:v>0</c:v>
                </c:pt>
                <c:pt idx="42">
                  <c:v>0.19232890216147858</c:v>
                </c:pt>
                <c:pt idx="43">
                  <c:v>0.22866252960601127</c:v>
                </c:pt>
                <c:pt idx="44">
                  <c:v>8.4742202932008973E-2</c:v>
                </c:pt>
                <c:pt idx="45">
                  <c:v>0</c:v>
                </c:pt>
                <c:pt idx="46">
                  <c:v>4.5580209279219186E-2</c:v>
                </c:pt>
                <c:pt idx="47">
                  <c:v>3.9161993652789766E-2</c:v>
                </c:pt>
                <c:pt idx="48">
                  <c:v>5.4464180061565011E-2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4.8640593296647883E-2</c:v>
                </c:pt>
                <c:pt idx="53">
                  <c:v>0</c:v>
                </c:pt>
                <c:pt idx="54">
                  <c:v>0</c:v>
                </c:pt>
                <c:pt idx="55">
                  <c:v>3.9071056118152106E-2</c:v>
                </c:pt>
                <c:pt idx="56">
                  <c:v>1.7834046582962976E-2</c:v>
                </c:pt>
                <c:pt idx="57">
                  <c:v>0</c:v>
                </c:pt>
                <c:pt idx="58">
                  <c:v>6.0043390757056982E-2</c:v>
                </c:pt>
                <c:pt idx="59">
                  <c:v>2.6089382633733824E-2</c:v>
                </c:pt>
                <c:pt idx="60">
                  <c:v>2.8635303064658568E-2</c:v>
                </c:pt>
                <c:pt idx="61">
                  <c:v>0</c:v>
                </c:pt>
                <c:pt idx="62">
                  <c:v>2.1678134362329553E-2</c:v>
                </c:pt>
                <c:pt idx="63">
                  <c:v>0</c:v>
                </c:pt>
                <c:pt idx="64">
                  <c:v>0</c:v>
                </c:pt>
                <c:pt idx="65">
                  <c:v>3.3273415532877923E-2</c:v>
                </c:pt>
                <c:pt idx="66">
                  <c:v>3.6214247713814103E-2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C9E-4591-B917-6D9F8D5A8168}"/>
            </c:ext>
          </c:extLst>
        </c:ser>
        <c:ser>
          <c:idx val="14"/>
          <c:order val="6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C9E-4591-B917-6D9F8D5A8168}"/>
            </c:ext>
          </c:extLst>
        </c:ser>
        <c:ser>
          <c:idx val="15"/>
          <c:order val="7"/>
          <c:tx>
            <c:strRef>
              <c:f>'Bhola IC'!$X$5</c:f>
              <c:strCache>
                <c:ptCount val="1"/>
                <c:pt idx="0">
                  <c:v>SO42-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IC'!$X$6:$X$89</c:f>
              <c:numCache>
                <c:formatCode>0.00_ </c:formatCode>
                <c:ptCount val="84"/>
                <c:pt idx="0">
                  <c:v>26.737554490789439</c:v>
                </c:pt>
                <c:pt idx="1">
                  <c:v>6.7618871990162699</c:v>
                </c:pt>
                <c:pt idx="2">
                  <c:v>13.116033077753718</c:v>
                </c:pt>
                <c:pt idx="3">
                  <c:v>6.4497102506777981</c:v>
                </c:pt>
                <c:pt idx="4">
                  <c:v>13.49634388386448</c:v>
                </c:pt>
                <c:pt idx="5">
                  <c:v>8.8563396840422453</c:v>
                </c:pt>
                <c:pt idx="6">
                  <c:v>10.216273788071152</c:v>
                </c:pt>
                <c:pt idx="7">
                  <c:v>16.664833726864487</c:v>
                </c:pt>
                <c:pt idx="8">
                  <c:v>4.1895243687589749</c:v>
                </c:pt>
                <c:pt idx="9">
                  <c:v>20.362467036719387</c:v>
                </c:pt>
                <c:pt idx="10">
                  <c:v>8.6118246706516608</c:v>
                </c:pt>
                <c:pt idx="11">
                  <c:v>3.1060190591204839</c:v>
                </c:pt>
                <c:pt idx="12">
                  <c:v>1.6471581330273999</c:v>
                </c:pt>
                <c:pt idx="13">
                  <c:v>0.27187178961733477</c:v>
                </c:pt>
                <c:pt idx="14">
                  <c:v>3.7611659200893186</c:v>
                </c:pt>
                <c:pt idx="15">
                  <c:v>1.0118320306832298</c:v>
                </c:pt>
                <c:pt idx="16">
                  <c:v>0.48242310723961235</c:v>
                </c:pt>
                <c:pt idx="17">
                  <c:v>0.71465337960761721</c:v>
                </c:pt>
                <c:pt idx="18">
                  <c:v>1.6963797839932875</c:v>
                </c:pt>
                <c:pt idx="19">
                  <c:v>3.2467410568823953</c:v>
                </c:pt>
                <c:pt idx="20">
                  <c:v>1.5387835918993034</c:v>
                </c:pt>
                <c:pt idx="21">
                  <c:v>2.241578770258891</c:v>
                </c:pt>
                <c:pt idx="22">
                  <c:v>7.519104957309934</c:v>
                </c:pt>
                <c:pt idx="23">
                  <c:v>1.0681408789042546</c:v>
                </c:pt>
                <c:pt idx="24">
                  <c:v>10.743821804953102</c:v>
                </c:pt>
                <c:pt idx="25">
                  <c:v>1.5611903969183658</c:v>
                </c:pt>
                <c:pt idx="26">
                  <c:v>16.107149254282042</c:v>
                </c:pt>
                <c:pt idx="27">
                  <c:v>15.1667620966446</c:v>
                </c:pt>
                <c:pt idx="28">
                  <c:v>11.889978953745555</c:v>
                </c:pt>
                <c:pt idx="29">
                  <c:v>10.810559816635712</c:v>
                </c:pt>
                <c:pt idx="30">
                  <c:v>2.6484943340126428</c:v>
                </c:pt>
                <c:pt idx="31">
                  <c:v>7.3839654740323821</c:v>
                </c:pt>
                <c:pt idx="32">
                  <c:v>17.366721099897035</c:v>
                </c:pt>
                <c:pt idx="33">
                  <c:v>2.9838478523380294</c:v>
                </c:pt>
                <c:pt idx="34">
                  <c:v>16.774862063090623</c:v>
                </c:pt>
                <c:pt idx="35">
                  <c:v>9.804727590020633</c:v>
                </c:pt>
                <c:pt idx="36">
                  <c:v>0.99917859995409086</c:v>
                </c:pt>
                <c:pt idx="37">
                  <c:v>11.00866170540988</c:v>
                </c:pt>
                <c:pt idx="38">
                  <c:v>9.0610951994773998</c:v>
                </c:pt>
                <c:pt idx="39">
                  <c:v>4.5580665994363381</c:v>
                </c:pt>
                <c:pt idx="40">
                  <c:v>6.3405191071829918</c:v>
                </c:pt>
                <c:pt idx="41">
                  <c:v>5.0100506845023576</c:v>
                </c:pt>
                <c:pt idx="42">
                  <c:v>4.651861260785199</c:v>
                </c:pt>
                <c:pt idx="43">
                  <c:v>4.3117228851012168</c:v>
                </c:pt>
                <c:pt idx="44">
                  <c:v>3.0477070951309555</c:v>
                </c:pt>
                <c:pt idx="45">
                  <c:v>5.4797318754832576</c:v>
                </c:pt>
                <c:pt idx="46">
                  <c:v>1.888989085354227</c:v>
                </c:pt>
                <c:pt idx="47">
                  <c:v>4.2791602102178397</c:v>
                </c:pt>
                <c:pt idx="48">
                  <c:v>2.9757683595869708</c:v>
                </c:pt>
                <c:pt idx="49">
                  <c:v>9.7523441565125903</c:v>
                </c:pt>
                <c:pt idx="50">
                  <c:v>8.6432665288270982</c:v>
                </c:pt>
                <c:pt idx="51">
                  <c:v>1.2394107114775772</c:v>
                </c:pt>
                <c:pt idx="52">
                  <c:v>2.2300343584673326</c:v>
                </c:pt>
                <c:pt idx="53">
                  <c:v>2.8360499908802912</c:v>
                </c:pt>
                <c:pt idx="54">
                  <c:v>5.6611595118218734</c:v>
                </c:pt>
                <c:pt idx="55">
                  <c:v>12.882269932465633</c:v>
                </c:pt>
                <c:pt idx="56">
                  <c:v>0.56471837285769988</c:v>
                </c:pt>
                <c:pt idx="57">
                  <c:v>0.19784905941600847</c:v>
                </c:pt>
                <c:pt idx="58">
                  <c:v>3.1316428097731142</c:v>
                </c:pt>
                <c:pt idx="59">
                  <c:v>2.796474175080661</c:v>
                </c:pt>
                <c:pt idx="60">
                  <c:v>1.1467880641974628</c:v>
                </c:pt>
                <c:pt idx="61">
                  <c:v>0.76145670773419882</c:v>
                </c:pt>
                <c:pt idx="62">
                  <c:v>1.0044952448116831</c:v>
                </c:pt>
                <c:pt idx="63">
                  <c:v>1.3798601000015127</c:v>
                </c:pt>
                <c:pt idx="64">
                  <c:v>1.3010486903332708</c:v>
                </c:pt>
                <c:pt idx="65">
                  <c:v>3.6040009348860358</c:v>
                </c:pt>
                <c:pt idx="66">
                  <c:v>2.8982238810197889</c:v>
                </c:pt>
                <c:pt idx="67">
                  <c:v>0.25761804747446582</c:v>
                </c:pt>
                <c:pt idx="69">
                  <c:v>6.4474057233928086</c:v>
                </c:pt>
                <c:pt idx="70">
                  <c:v>8.8533751673532102</c:v>
                </c:pt>
                <c:pt idx="71">
                  <c:v>3.5012839312998878</c:v>
                </c:pt>
                <c:pt idx="72">
                  <c:v>11.996625548890567</c:v>
                </c:pt>
                <c:pt idx="73">
                  <c:v>3.4008183963749059</c:v>
                </c:pt>
                <c:pt idx="74">
                  <c:v>12.267602310421291</c:v>
                </c:pt>
                <c:pt idx="75">
                  <c:v>8.3816674665201827</c:v>
                </c:pt>
                <c:pt idx="76">
                  <c:v>10.417595527858495</c:v>
                </c:pt>
                <c:pt idx="77">
                  <c:v>18.248703857767872</c:v>
                </c:pt>
                <c:pt idx="78">
                  <c:v>13.541032985177576</c:v>
                </c:pt>
                <c:pt idx="79">
                  <c:v>7.2205100290007787</c:v>
                </c:pt>
                <c:pt idx="80">
                  <c:v>12.963656355180422</c:v>
                </c:pt>
                <c:pt idx="81">
                  <c:v>9.6587004911343346</c:v>
                </c:pt>
                <c:pt idx="82">
                  <c:v>10.436207668790811</c:v>
                </c:pt>
                <c:pt idx="83">
                  <c:v>1.7522763651224944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C9E-4591-B917-6D9F8D5A8168}"/>
            </c:ext>
          </c:extLst>
        </c:ser>
        <c:ser>
          <c:idx val="2"/>
          <c:order val="8"/>
          <c:tx>
            <c:strRef>
              <c:f>'Bhola IC'!$T$5</c:f>
              <c:strCache>
                <c:ptCount val="1"/>
                <c:pt idx="0">
                  <c:v>Cl-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IC'!$T$6:$T$89</c:f>
              <c:numCache>
                <c:formatCode>0.00_ </c:formatCode>
                <c:ptCount val="84"/>
                <c:pt idx="0">
                  <c:v>0.75740454130231916</c:v>
                </c:pt>
                <c:pt idx="1">
                  <c:v>1.3606247672960998</c:v>
                </c:pt>
                <c:pt idx="2">
                  <c:v>0.59826397973897649</c:v>
                </c:pt>
                <c:pt idx="3">
                  <c:v>0.56514724340005895</c:v>
                </c:pt>
                <c:pt idx="4">
                  <c:v>1.9665934571220895</c:v>
                </c:pt>
                <c:pt idx="5">
                  <c:v>1.3869829860148299</c:v>
                </c:pt>
                <c:pt idx="6">
                  <c:v>0.126282901733199</c:v>
                </c:pt>
                <c:pt idx="7">
                  <c:v>0.3360334960757107</c:v>
                </c:pt>
                <c:pt idx="8">
                  <c:v>0.11979472481781922</c:v>
                </c:pt>
                <c:pt idx="9">
                  <c:v>0.53378772164238997</c:v>
                </c:pt>
                <c:pt idx="10">
                  <c:v>0.19144627578783785</c:v>
                </c:pt>
                <c:pt idx="11">
                  <c:v>0.16639470380901042</c:v>
                </c:pt>
                <c:pt idx="12">
                  <c:v>6.1029414110290982E-2</c:v>
                </c:pt>
                <c:pt idx="13">
                  <c:v>1.2672220537851117E-2</c:v>
                </c:pt>
                <c:pt idx="14">
                  <c:v>9.0564136110509327E-2</c:v>
                </c:pt>
                <c:pt idx="15">
                  <c:v>2.4972722606591936E-2</c:v>
                </c:pt>
                <c:pt idx="16">
                  <c:v>5.6264659188058959E-2</c:v>
                </c:pt>
                <c:pt idx="17">
                  <c:v>4.6194467933979952E-2</c:v>
                </c:pt>
                <c:pt idx="18">
                  <c:v>5.596129649295381E-2</c:v>
                </c:pt>
                <c:pt idx="19">
                  <c:v>4.2812132147684763E-2</c:v>
                </c:pt>
                <c:pt idx="20">
                  <c:v>1.6629825495487308E-2</c:v>
                </c:pt>
                <c:pt idx="21">
                  <c:v>6.7911566442036553E-2</c:v>
                </c:pt>
                <c:pt idx="22">
                  <c:v>4.0917105521454819E-2</c:v>
                </c:pt>
                <c:pt idx="23">
                  <c:v>3.7243074307335533E-2</c:v>
                </c:pt>
                <c:pt idx="24">
                  <c:v>0.10013991042553907</c:v>
                </c:pt>
                <c:pt idx="25">
                  <c:v>3.0011033917437563E-2</c:v>
                </c:pt>
                <c:pt idx="26">
                  <c:v>0.34141418482363245</c:v>
                </c:pt>
                <c:pt idx="27">
                  <c:v>0.24380097656640001</c:v>
                </c:pt>
                <c:pt idx="28">
                  <c:v>0.1394584900854122</c:v>
                </c:pt>
                <c:pt idx="29">
                  <c:v>0.20992254137094213</c:v>
                </c:pt>
                <c:pt idx="30">
                  <c:v>0.10844193183568934</c:v>
                </c:pt>
                <c:pt idx="31">
                  <c:v>0.29330371292505986</c:v>
                </c:pt>
                <c:pt idx="32">
                  <c:v>0.62744718334601424</c:v>
                </c:pt>
                <c:pt idx="33">
                  <c:v>0.19615459282118985</c:v>
                </c:pt>
                <c:pt idx="34">
                  <c:v>0.50461851875608943</c:v>
                </c:pt>
                <c:pt idx="35">
                  <c:v>1.3404843847879415</c:v>
                </c:pt>
                <c:pt idx="36">
                  <c:v>0.1269249609071168</c:v>
                </c:pt>
                <c:pt idx="37">
                  <c:v>1.0014771409593488</c:v>
                </c:pt>
                <c:pt idx="38">
                  <c:v>2.3058710416554904</c:v>
                </c:pt>
                <c:pt idx="39">
                  <c:v>0.58001598216447092</c:v>
                </c:pt>
                <c:pt idx="40">
                  <c:v>2.0147141025778232</c:v>
                </c:pt>
                <c:pt idx="41">
                  <c:v>0.91050749379162799</c:v>
                </c:pt>
                <c:pt idx="42">
                  <c:v>1.5460784907940384</c:v>
                </c:pt>
                <c:pt idx="43">
                  <c:v>0.57379814595389866</c:v>
                </c:pt>
                <c:pt idx="44">
                  <c:v>0.6737566215564682</c:v>
                </c:pt>
                <c:pt idx="45">
                  <c:v>0.23506124283011304</c:v>
                </c:pt>
                <c:pt idx="46">
                  <c:v>0.40537588685883208</c:v>
                </c:pt>
                <c:pt idx="47">
                  <c:v>0.40506048936988998</c:v>
                </c:pt>
                <c:pt idx="48">
                  <c:v>8.0516473248497589E-2</c:v>
                </c:pt>
                <c:pt idx="49">
                  <c:v>0.19153638935610701</c:v>
                </c:pt>
                <c:pt idx="50">
                  <c:v>0.16348854123232992</c:v>
                </c:pt>
                <c:pt idx="51">
                  <c:v>0.26205511059865583</c:v>
                </c:pt>
                <c:pt idx="52">
                  <c:v>0.42010290949375229</c:v>
                </c:pt>
                <c:pt idx="53">
                  <c:v>0.42409002064403539</c:v>
                </c:pt>
                <c:pt idx="54">
                  <c:v>0.43178853588233457</c:v>
                </c:pt>
                <c:pt idx="55">
                  <c:v>0.27931659985400276</c:v>
                </c:pt>
                <c:pt idx="56">
                  <c:v>0.15240735116895018</c:v>
                </c:pt>
                <c:pt idx="57">
                  <c:v>2.1979519344782237E-2</c:v>
                </c:pt>
                <c:pt idx="58">
                  <c:v>2.6815633615284395E-2</c:v>
                </c:pt>
                <c:pt idx="59">
                  <c:v>0.42614381917237359</c:v>
                </c:pt>
                <c:pt idx="60">
                  <c:v>2.3591557434949624E-2</c:v>
                </c:pt>
                <c:pt idx="61">
                  <c:v>3.1961755210818746E-2</c:v>
                </c:pt>
                <c:pt idx="62">
                  <c:v>5.5088301658220075E-2</c:v>
                </c:pt>
                <c:pt idx="63">
                  <c:v>2.7218643137826241E-2</c:v>
                </c:pt>
                <c:pt idx="64">
                  <c:v>0.14248711676792014</c:v>
                </c:pt>
                <c:pt idx="65">
                  <c:v>0.10311618648883204</c:v>
                </c:pt>
                <c:pt idx="66">
                  <c:v>0.11335934518677065</c:v>
                </c:pt>
                <c:pt idx="67">
                  <c:v>1.4144084204593647E-2</c:v>
                </c:pt>
                <c:pt idx="69">
                  <c:v>0.31698248984541377</c:v>
                </c:pt>
                <c:pt idx="70">
                  <c:v>2.3059894872519422</c:v>
                </c:pt>
                <c:pt idx="71">
                  <c:v>1.7379010641304544</c:v>
                </c:pt>
                <c:pt idx="72">
                  <c:v>3.5212182013781246</c:v>
                </c:pt>
                <c:pt idx="73">
                  <c:v>0.44183794000212812</c:v>
                </c:pt>
                <c:pt idx="74">
                  <c:v>1.3666672924044079</c:v>
                </c:pt>
                <c:pt idx="75">
                  <c:v>2.3878314210604397</c:v>
                </c:pt>
                <c:pt idx="76">
                  <c:v>4.2069544043493279</c:v>
                </c:pt>
                <c:pt idx="77">
                  <c:v>0.77145322834260366</c:v>
                </c:pt>
                <c:pt idx="78">
                  <c:v>1.4289787647358776</c:v>
                </c:pt>
                <c:pt idx="79">
                  <c:v>0.11625274688707107</c:v>
                </c:pt>
                <c:pt idx="80">
                  <c:v>0.75486783645338162</c:v>
                </c:pt>
                <c:pt idx="81">
                  <c:v>7.9206871545724436E-2</c:v>
                </c:pt>
                <c:pt idx="82">
                  <c:v>0.54437286275652486</c:v>
                </c:pt>
                <c:pt idx="83">
                  <c:v>0.13464651483898099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C9E-4591-B917-6D9F8D5A8168}"/>
            </c:ext>
          </c:extLst>
        </c:ser>
        <c:ser>
          <c:idx val="5"/>
          <c:order val="9"/>
          <c:tx>
            <c:strRef>
              <c:f>'Bhola IC'!$U$5</c:f>
              <c:strCache>
                <c:ptCount val="1"/>
                <c:pt idx="0">
                  <c:v>NO2-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IC'!$U$6:$U$89</c:f>
              <c:numCache>
                <c:formatCode>0.00_ 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1.3652306120625318E-2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2.1321529877629974E-2</c:v>
                </c:pt>
                <c:pt idx="13">
                  <c:v>2.4585029348695792E-2</c:v>
                </c:pt>
                <c:pt idx="14">
                  <c:v>2.4802595980100182E-2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7.4593405554756048E-2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7.2081843078164926E-2</c:v>
                </c:pt>
                <c:pt idx="35">
                  <c:v>0</c:v>
                </c:pt>
                <c:pt idx="36">
                  <c:v>8.7896919087372585E-2</c:v>
                </c:pt>
                <c:pt idx="37">
                  <c:v>6.287675647586799E-2</c:v>
                </c:pt>
                <c:pt idx="38">
                  <c:v>0</c:v>
                </c:pt>
                <c:pt idx="39">
                  <c:v>0.20581803330855064</c:v>
                </c:pt>
                <c:pt idx="40">
                  <c:v>0.26891235641582301</c:v>
                </c:pt>
                <c:pt idx="41">
                  <c:v>0</c:v>
                </c:pt>
                <c:pt idx="42">
                  <c:v>0.19232890216147858</c:v>
                </c:pt>
                <c:pt idx="43">
                  <c:v>0.22866252960601127</c:v>
                </c:pt>
                <c:pt idx="44">
                  <c:v>8.4742202932008973E-2</c:v>
                </c:pt>
                <c:pt idx="45">
                  <c:v>0</c:v>
                </c:pt>
                <c:pt idx="46">
                  <c:v>4.5580209279219186E-2</c:v>
                </c:pt>
                <c:pt idx="47">
                  <c:v>3.9161993652789766E-2</c:v>
                </c:pt>
                <c:pt idx="48">
                  <c:v>5.4464180061565011E-2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4.8640593296647883E-2</c:v>
                </c:pt>
                <c:pt idx="53">
                  <c:v>0</c:v>
                </c:pt>
                <c:pt idx="54">
                  <c:v>0</c:v>
                </c:pt>
                <c:pt idx="55">
                  <c:v>3.9071056118152106E-2</c:v>
                </c:pt>
                <c:pt idx="56">
                  <c:v>1.7834046582962976E-2</c:v>
                </c:pt>
                <c:pt idx="57">
                  <c:v>0</c:v>
                </c:pt>
                <c:pt idx="58">
                  <c:v>6.0043390757056982E-2</c:v>
                </c:pt>
                <c:pt idx="59">
                  <c:v>2.6089382633733824E-2</c:v>
                </c:pt>
                <c:pt idx="60">
                  <c:v>2.8635303064658568E-2</c:v>
                </c:pt>
                <c:pt idx="61">
                  <c:v>0</c:v>
                </c:pt>
                <c:pt idx="62">
                  <c:v>2.1678134362329553E-2</c:v>
                </c:pt>
                <c:pt idx="63">
                  <c:v>0</c:v>
                </c:pt>
                <c:pt idx="64">
                  <c:v>0</c:v>
                </c:pt>
                <c:pt idx="65">
                  <c:v>3.3273415532877923E-2</c:v>
                </c:pt>
                <c:pt idx="66">
                  <c:v>3.6214247713814103E-2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C9E-4591-B917-6D9F8D5A8168}"/>
            </c:ext>
          </c:extLst>
        </c:ser>
        <c:ser>
          <c:idx val="6"/>
          <c:order val="10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C9E-4591-B917-6D9F8D5A8168}"/>
            </c:ext>
          </c:extLst>
        </c:ser>
        <c:ser>
          <c:idx val="7"/>
          <c:order val="11"/>
          <c:tx>
            <c:strRef>
              <c:f>'Bhola IC'!$X$5</c:f>
              <c:strCache>
                <c:ptCount val="1"/>
                <c:pt idx="0">
                  <c:v>SO42-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IC'!$X$6:$X$89</c:f>
              <c:numCache>
                <c:formatCode>0.00_ </c:formatCode>
                <c:ptCount val="84"/>
                <c:pt idx="0">
                  <c:v>26.737554490789439</c:v>
                </c:pt>
                <c:pt idx="1">
                  <c:v>6.7618871990162699</c:v>
                </c:pt>
                <c:pt idx="2">
                  <c:v>13.116033077753718</c:v>
                </c:pt>
                <c:pt idx="3">
                  <c:v>6.4497102506777981</c:v>
                </c:pt>
                <c:pt idx="4">
                  <c:v>13.49634388386448</c:v>
                </c:pt>
                <c:pt idx="5">
                  <c:v>8.8563396840422453</c:v>
                </c:pt>
                <c:pt idx="6">
                  <c:v>10.216273788071152</c:v>
                </c:pt>
                <c:pt idx="7">
                  <c:v>16.664833726864487</c:v>
                </c:pt>
                <c:pt idx="8">
                  <c:v>4.1895243687589749</c:v>
                </c:pt>
                <c:pt idx="9">
                  <c:v>20.362467036719387</c:v>
                </c:pt>
                <c:pt idx="10">
                  <c:v>8.6118246706516608</c:v>
                </c:pt>
                <c:pt idx="11">
                  <c:v>3.1060190591204839</c:v>
                </c:pt>
                <c:pt idx="12">
                  <c:v>1.6471581330273999</c:v>
                </c:pt>
                <c:pt idx="13">
                  <c:v>0.27187178961733477</c:v>
                </c:pt>
                <c:pt idx="14">
                  <c:v>3.7611659200893186</c:v>
                </c:pt>
                <c:pt idx="15">
                  <c:v>1.0118320306832298</c:v>
                </c:pt>
                <c:pt idx="16">
                  <c:v>0.48242310723961235</c:v>
                </c:pt>
                <c:pt idx="17">
                  <c:v>0.71465337960761721</c:v>
                </c:pt>
                <c:pt idx="18">
                  <c:v>1.6963797839932875</c:v>
                </c:pt>
                <c:pt idx="19">
                  <c:v>3.2467410568823953</c:v>
                </c:pt>
                <c:pt idx="20">
                  <c:v>1.5387835918993034</c:v>
                </c:pt>
                <c:pt idx="21">
                  <c:v>2.241578770258891</c:v>
                </c:pt>
                <c:pt idx="22">
                  <c:v>7.519104957309934</c:v>
                </c:pt>
                <c:pt idx="23">
                  <c:v>1.0681408789042546</c:v>
                </c:pt>
                <c:pt idx="24">
                  <c:v>10.743821804953102</c:v>
                </c:pt>
                <c:pt idx="25">
                  <c:v>1.5611903969183658</c:v>
                </c:pt>
                <c:pt idx="26">
                  <c:v>16.107149254282042</c:v>
                </c:pt>
                <c:pt idx="27">
                  <c:v>15.1667620966446</c:v>
                </c:pt>
                <c:pt idx="28">
                  <c:v>11.889978953745555</c:v>
                </c:pt>
                <c:pt idx="29">
                  <c:v>10.810559816635712</c:v>
                </c:pt>
                <c:pt idx="30">
                  <c:v>2.6484943340126428</c:v>
                </c:pt>
                <c:pt idx="31">
                  <c:v>7.3839654740323821</c:v>
                </c:pt>
                <c:pt idx="32">
                  <c:v>17.366721099897035</c:v>
                </c:pt>
                <c:pt idx="33">
                  <c:v>2.9838478523380294</c:v>
                </c:pt>
                <c:pt idx="34">
                  <c:v>16.774862063090623</c:v>
                </c:pt>
                <c:pt idx="35">
                  <c:v>9.804727590020633</c:v>
                </c:pt>
                <c:pt idx="36">
                  <c:v>0.99917859995409086</c:v>
                </c:pt>
                <c:pt idx="37">
                  <c:v>11.00866170540988</c:v>
                </c:pt>
                <c:pt idx="38">
                  <c:v>9.0610951994773998</c:v>
                </c:pt>
                <c:pt idx="39">
                  <c:v>4.5580665994363381</c:v>
                </c:pt>
                <c:pt idx="40">
                  <c:v>6.3405191071829918</c:v>
                </c:pt>
                <c:pt idx="41">
                  <c:v>5.0100506845023576</c:v>
                </c:pt>
                <c:pt idx="42">
                  <c:v>4.651861260785199</c:v>
                </c:pt>
                <c:pt idx="43">
                  <c:v>4.3117228851012168</c:v>
                </c:pt>
                <c:pt idx="44">
                  <c:v>3.0477070951309555</c:v>
                </c:pt>
                <c:pt idx="45">
                  <c:v>5.4797318754832576</c:v>
                </c:pt>
                <c:pt idx="46">
                  <c:v>1.888989085354227</c:v>
                </c:pt>
                <c:pt idx="47">
                  <c:v>4.2791602102178397</c:v>
                </c:pt>
                <c:pt idx="48">
                  <c:v>2.9757683595869708</c:v>
                </c:pt>
                <c:pt idx="49">
                  <c:v>9.7523441565125903</c:v>
                </c:pt>
                <c:pt idx="50">
                  <c:v>8.6432665288270982</c:v>
                </c:pt>
                <c:pt idx="51">
                  <c:v>1.2394107114775772</c:v>
                </c:pt>
                <c:pt idx="52">
                  <c:v>2.2300343584673326</c:v>
                </c:pt>
                <c:pt idx="53">
                  <c:v>2.8360499908802912</c:v>
                </c:pt>
                <c:pt idx="54">
                  <c:v>5.6611595118218734</c:v>
                </c:pt>
                <c:pt idx="55">
                  <c:v>12.882269932465633</c:v>
                </c:pt>
                <c:pt idx="56">
                  <c:v>0.56471837285769988</c:v>
                </c:pt>
                <c:pt idx="57">
                  <c:v>0.19784905941600847</c:v>
                </c:pt>
                <c:pt idx="58">
                  <c:v>3.1316428097731142</c:v>
                </c:pt>
                <c:pt idx="59">
                  <c:v>2.796474175080661</c:v>
                </c:pt>
                <c:pt idx="60">
                  <c:v>1.1467880641974628</c:v>
                </c:pt>
                <c:pt idx="61">
                  <c:v>0.76145670773419882</c:v>
                </c:pt>
                <c:pt idx="62">
                  <c:v>1.0044952448116831</c:v>
                </c:pt>
                <c:pt idx="63">
                  <c:v>1.3798601000015127</c:v>
                </c:pt>
                <c:pt idx="64">
                  <c:v>1.3010486903332708</c:v>
                </c:pt>
                <c:pt idx="65">
                  <c:v>3.6040009348860358</c:v>
                </c:pt>
                <c:pt idx="66">
                  <c:v>2.8982238810197889</c:v>
                </c:pt>
                <c:pt idx="67">
                  <c:v>0.25761804747446582</c:v>
                </c:pt>
                <c:pt idx="69">
                  <c:v>6.4474057233928086</c:v>
                </c:pt>
                <c:pt idx="70">
                  <c:v>8.8533751673532102</c:v>
                </c:pt>
                <c:pt idx="71">
                  <c:v>3.5012839312998878</c:v>
                </c:pt>
                <c:pt idx="72">
                  <c:v>11.996625548890567</c:v>
                </c:pt>
                <c:pt idx="73">
                  <c:v>3.4008183963749059</c:v>
                </c:pt>
                <c:pt idx="74">
                  <c:v>12.267602310421291</c:v>
                </c:pt>
                <c:pt idx="75">
                  <c:v>8.3816674665201827</c:v>
                </c:pt>
                <c:pt idx="76">
                  <c:v>10.417595527858495</c:v>
                </c:pt>
                <c:pt idx="77">
                  <c:v>18.248703857767872</c:v>
                </c:pt>
                <c:pt idx="78">
                  <c:v>13.541032985177576</c:v>
                </c:pt>
                <c:pt idx="79">
                  <c:v>7.2205100290007787</c:v>
                </c:pt>
                <c:pt idx="80">
                  <c:v>12.963656355180422</c:v>
                </c:pt>
                <c:pt idx="81">
                  <c:v>9.6587004911343346</c:v>
                </c:pt>
                <c:pt idx="82">
                  <c:v>10.436207668790811</c:v>
                </c:pt>
                <c:pt idx="83">
                  <c:v>1.7522763651224944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C9E-4591-B917-6D9F8D5A8168}"/>
            </c:ext>
          </c:extLst>
        </c:ser>
        <c:ser>
          <c:idx val="0"/>
          <c:order val="12"/>
          <c:tx>
            <c:strRef>
              <c:f>'Bhola IC'!$T$5</c:f>
              <c:strCache>
                <c:ptCount val="1"/>
                <c:pt idx="0">
                  <c:v>Cl-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IC'!$T$6:$T$89</c:f>
              <c:numCache>
                <c:formatCode>0.00_ </c:formatCode>
                <c:ptCount val="84"/>
                <c:pt idx="0">
                  <c:v>0.75740454130231916</c:v>
                </c:pt>
                <c:pt idx="1">
                  <c:v>1.3606247672960998</c:v>
                </c:pt>
                <c:pt idx="2">
                  <c:v>0.59826397973897649</c:v>
                </c:pt>
                <c:pt idx="3">
                  <c:v>0.56514724340005895</c:v>
                </c:pt>
                <c:pt idx="4">
                  <c:v>1.9665934571220895</c:v>
                </c:pt>
                <c:pt idx="5">
                  <c:v>1.3869829860148299</c:v>
                </c:pt>
                <c:pt idx="6">
                  <c:v>0.126282901733199</c:v>
                </c:pt>
                <c:pt idx="7">
                  <c:v>0.3360334960757107</c:v>
                </c:pt>
                <c:pt idx="8">
                  <c:v>0.11979472481781922</c:v>
                </c:pt>
                <c:pt idx="9">
                  <c:v>0.53378772164238997</c:v>
                </c:pt>
                <c:pt idx="10">
                  <c:v>0.19144627578783785</c:v>
                </c:pt>
                <c:pt idx="11">
                  <c:v>0.16639470380901042</c:v>
                </c:pt>
                <c:pt idx="12">
                  <c:v>6.1029414110290982E-2</c:v>
                </c:pt>
                <c:pt idx="13">
                  <c:v>1.2672220537851117E-2</c:v>
                </c:pt>
                <c:pt idx="14">
                  <c:v>9.0564136110509327E-2</c:v>
                </c:pt>
                <c:pt idx="15">
                  <c:v>2.4972722606591936E-2</c:v>
                </c:pt>
                <c:pt idx="16">
                  <c:v>5.6264659188058959E-2</c:v>
                </c:pt>
                <c:pt idx="17">
                  <c:v>4.6194467933979952E-2</c:v>
                </c:pt>
                <c:pt idx="18">
                  <c:v>5.596129649295381E-2</c:v>
                </c:pt>
                <c:pt idx="19">
                  <c:v>4.2812132147684763E-2</c:v>
                </c:pt>
                <c:pt idx="20">
                  <c:v>1.6629825495487308E-2</c:v>
                </c:pt>
                <c:pt idx="21">
                  <c:v>6.7911566442036553E-2</c:v>
                </c:pt>
                <c:pt idx="22">
                  <c:v>4.0917105521454819E-2</c:v>
                </c:pt>
                <c:pt idx="23">
                  <c:v>3.7243074307335533E-2</c:v>
                </c:pt>
                <c:pt idx="24">
                  <c:v>0.10013991042553907</c:v>
                </c:pt>
                <c:pt idx="25">
                  <c:v>3.0011033917437563E-2</c:v>
                </c:pt>
                <c:pt idx="26">
                  <c:v>0.34141418482363245</c:v>
                </c:pt>
                <c:pt idx="27">
                  <c:v>0.24380097656640001</c:v>
                </c:pt>
                <c:pt idx="28">
                  <c:v>0.1394584900854122</c:v>
                </c:pt>
                <c:pt idx="29">
                  <c:v>0.20992254137094213</c:v>
                </c:pt>
                <c:pt idx="30">
                  <c:v>0.10844193183568934</c:v>
                </c:pt>
                <c:pt idx="31">
                  <c:v>0.29330371292505986</c:v>
                </c:pt>
                <c:pt idx="32">
                  <c:v>0.62744718334601424</c:v>
                </c:pt>
                <c:pt idx="33">
                  <c:v>0.19615459282118985</c:v>
                </c:pt>
                <c:pt idx="34">
                  <c:v>0.50461851875608943</c:v>
                </c:pt>
                <c:pt idx="35">
                  <c:v>1.3404843847879415</c:v>
                </c:pt>
                <c:pt idx="36">
                  <c:v>0.1269249609071168</c:v>
                </c:pt>
                <c:pt idx="37">
                  <c:v>1.0014771409593488</c:v>
                </c:pt>
                <c:pt idx="38">
                  <c:v>2.3058710416554904</c:v>
                </c:pt>
                <c:pt idx="39">
                  <c:v>0.58001598216447092</c:v>
                </c:pt>
                <c:pt idx="40">
                  <c:v>2.0147141025778232</c:v>
                </c:pt>
                <c:pt idx="41">
                  <c:v>0.91050749379162799</c:v>
                </c:pt>
                <c:pt idx="42">
                  <c:v>1.5460784907940384</c:v>
                </c:pt>
                <c:pt idx="43">
                  <c:v>0.57379814595389866</c:v>
                </c:pt>
                <c:pt idx="44">
                  <c:v>0.6737566215564682</c:v>
                </c:pt>
                <c:pt idx="45">
                  <c:v>0.23506124283011304</c:v>
                </c:pt>
                <c:pt idx="46">
                  <c:v>0.40537588685883208</c:v>
                </c:pt>
                <c:pt idx="47">
                  <c:v>0.40506048936988998</c:v>
                </c:pt>
                <c:pt idx="48">
                  <c:v>8.0516473248497589E-2</c:v>
                </c:pt>
                <c:pt idx="49">
                  <c:v>0.19153638935610701</c:v>
                </c:pt>
                <c:pt idx="50">
                  <c:v>0.16348854123232992</c:v>
                </c:pt>
                <c:pt idx="51">
                  <c:v>0.26205511059865583</c:v>
                </c:pt>
                <c:pt idx="52">
                  <c:v>0.42010290949375229</c:v>
                </c:pt>
                <c:pt idx="53">
                  <c:v>0.42409002064403539</c:v>
                </c:pt>
                <c:pt idx="54">
                  <c:v>0.43178853588233457</c:v>
                </c:pt>
                <c:pt idx="55">
                  <c:v>0.27931659985400276</c:v>
                </c:pt>
                <c:pt idx="56">
                  <c:v>0.15240735116895018</c:v>
                </c:pt>
                <c:pt idx="57">
                  <c:v>2.1979519344782237E-2</c:v>
                </c:pt>
                <c:pt idx="58">
                  <c:v>2.6815633615284395E-2</c:v>
                </c:pt>
                <c:pt idx="59">
                  <c:v>0.42614381917237359</c:v>
                </c:pt>
                <c:pt idx="60">
                  <c:v>2.3591557434949624E-2</c:v>
                </c:pt>
                <c:pt idx="61">
                  <c:v>3.1961755210818746E-2</c:v>
                </c:pt>
                <c:pt idx="62">
                  <c:v>5.5088301658220075E-2</c:v>
                </c:pt>
                <c:pt idx="63">
                  <c:v>2.7218643137826241E-2</c:v>
                </c:pt>
                <c:pt idx="64">
                  <c:v>0.14248711676792014</c:v>
                </c:pt>
                <c:pt idx="65">
                  <c:v>0.10311618648883204</c:v>
                </c:pt>
                <c:pt idx="66">
                  <c:v>0.11335934518677065</c:v>
                </c:pt>
                <c:pt idx="67">
                  <c:v>1.4144084204593647E-2</c:v>
                </c:pt>
                <c:pt idx="69">
                  <c:v>0.31698248984541377</c:v>
                </c:pt>
                <c:pt idx="70">
                  <c:v>2.3059894872519422</c:v>
                </c:pt>
                <c:pt idx="71">
                  <c:v>1.7379010641304544</c:v>
                </c:pt>
                <c:pt idx="72">
                  <c:v>3.5212182013781246</c:v>
                </c:pt>
                <c:pt idx="73">
                  <c:v>0.44183794000212812</c:v>
                </c:pt>
                <c:pt idx="74">
                  <c:v>1.3666672924044079</c:v>
                </c:pt>
                <c:pt idx="75">
                  <c:v>2.3878314210604397</c:v>
                </c:pt>
                <c:pt idx="76">
                  <c:v>4.2069544043493279</c:v>
                </c:pt>
                <c:pt idx="77">
                  <c:v>0.77145322834260366</c:v>
                </c:pt>
                <c:pt idx="78">
                  <c:v>1.4289787647358776</c:v>
                </c:pt>
                <c:pt idx="79">
                  <c:v>0.11625274688707107</c:v>
                </c:pt>
                <c:pt idx="80">
                  <c:v>0.75486783645338162</c:v>
                </c:pt>
                <c:pt idx="81">
                  <c:v>7.9206871545724436E-2</c:v>
                </c:pt>
                <c:pt idx="82">
                  <c:v>0.54437286275652486</c:v>
                </c:pt>
                <c:pt idx="83">
                  <c:v>0.13464651483898099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C9E-4591-B917-6D9F8D5A8168}"/>
            </c:ext>
          </c:extLst>
        </c:ser>
        <c:ser>
          <c:idx val="1"/>
          <c:order val="13"/>
          <c:tx>
            <c:strRef>
              <c:f>'Bhola IC'!$U$5</c:f>
              <c:strCache>
                <c:ptCount val="1"/>
                <c:pt idx="0">
                  <c:v>NO2-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IC'!$U$6:$U$89</c:f>
              <c:numCache>
                <c:formatCode>0.00_ 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1.3652306120625318E-2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2.1321529877629974E-2</c:v>
                </c:pt>
                <c:pt idx="13">
                  <c:v>2.4585029348695792E-2</c:v>
                </c:pt>
                <c:pt idx="14">
                  <c:v>2.4802595980100182E-2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7.4593405554756048E-2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7.2081843078164926E-2</c:v>
                </c:pt>
                <c:pt idx="35">
                  <c:v>0</c:v>
                </c:pt>
                <c:pt idx="36">
                  <c:v>8.7896919087372585E-2</c:v>
                </c:pt>
                <c:pt idx="37">
                  <c:v>6.287675647586799E-2</c:v>
                </c:pt>
                <c:pt idx="38">
                  <c:v>0</c:v>
                </c:pt>
                <c:pt idx="39">
                  <c:v>0.20581803330855064</c:v>
                </c:pt>
                <c:pt idx="40">
                  <c:v>0.26891235641582301</c:v>
                </c:pt>
                <c:pt idx="41">
                  <c:v>0</c:v>
                </c:pt>
                <c:pt idx="42">
                  <c:v>0.19232890216147858</c:v>
                </c:pt>
                <c:pt idx="43">
                  <c:v>0.22866252960601127</c:v>
                </c:pt>
                <c:pt idx="44">
                  <c:v>8.4742202932008973E-2</c:v>
                </c:pt>
                <c:pt idx="45">
                  <c:v>0</c:v>
                </c:pt>
                <c:pt idx="46">
                  <c:v>4.5580209279219186E-2</c:v>
                </c:pt>
                <c:pt idx="47">
                  <c:v>3.9161993652789766E-2</c:v>
                </c:pt>
                <c:pt idx="48">
                  <c:v>5.4464180061565011E-2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4.8640593296647883E-2</c:v>
                </c:pt>
                <c:pt idx="53">
                  <c:v>0</c:v>
                </c:pt>
                <c:pt idx="54">
                  <c:v>0</c:v>
                </c:pt>
                <c:pt idx="55">
                  <c:v>3.9071056118152106E-2</c:v>
                </c:pt>
                <c:pt idx="56">
                  <c:v>1.7834046582962976E-2</c:v>
                </c:pt>
                <c:pt idx="57">
                  <c:v>0</c:v>
                </c:pt>
                <c:pt idx="58">
                  <c:v>6.0043390757056982E-2</c:v>
                </c:pt>
                <c:pt idx="59">
                  <c:v>2.6089382633733824E-2</c:v>
                </c:pt>
                <c:pt idx="60">
                  <c:v>2.8635303064658568E-2</c:v>
                </c:pt>
                <c:pt idx="61">
                  <c:v>0</c:v>
                </c:pt>
                <c:pt idx="62">
                  <c:v>2.1678134362329553E-2</c:v>
                </c:pt>
                <c:pt idx="63">
                  <c:v>0</c:v>
                </c:pt>
                <c:pt idx="64">
                  <c:v>0</c:v>
                </c:pt>
                <c:pt idx="65">
                  <c:v>3.3273415532877923E-2</c:v>
                </c:pt>
                <c:pt idx="66">
                  <c:v>3.6214247713814103E-2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C9E-4591-B917-6D9F8D5A8168}"/>
            </c:ext>
          </c:extLst>
        </c:ser>
        <c:ser>
          <c:idx val="3"/>
          <c:order val="14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C9E-4591-B917-6D9F8D5A8168}"/>
            </c:ext>
          </c:extLst>
        </c:ser>
        <c:ser>
          <c:idx val="4"/>
          <c:order val="15"/>
          <c:tx>
            <c:strRef>
              <c:f>'Bhola IC'!$X$5</c:f>
              <c:strCache>
                <c:ptCount val="1"/>
                <c:pt idx="0">
                  <c:v>SO42-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IC'!$X$6:$X$89</c:f>
              <c:numCache>
                <c:formatCode>0.00_ </c:formatCode>
                <c:ptCount val="84"/>
                <c:pt idx="0">
                  <c:v>26.737554490789439</c:v>
                </c:pt>
                <c:pt idx="1">
                  <c:v>6.7618871990162699</c:v>
                </c:pt>
                <c:pt idx="2">
                  <c:v>13.116033077753718</c:v>
                </c:pt>
                <c:pt idx="3">
                  <c:v>6.4497102506777981</c:v>
                </c:pt>
                <c:pt idx="4">
                  <c:v>13.49634388386448</c:v>
                </c:pt>
                <c:pt idx="5">
                  <c:v>8.8563396840422453</c:v>
                </c:pt>
                <c:pt idx="6">
                  <c:v>10.216273788071152</c:v>
                </c:pt>
                <c:pt idx="7">
                  <c:v>16.664833726864487</c:v>
                </c:pt>
                <c:pt idx="8">
                  <c:v>4.1895243687589749</c:v>
                </c:pt>
                <c:pt idx="9">
                  <c:v>20.362467036719387</c:v>
                </c:pt>
                <c:pt idx="10">
                  <c:v>8.6118246706516608</c:v>
                </c:pt>
                <c:pt idx="11">
                  <c:v>3.1060190591204839</c:v>
                </c:pt>
                <c:pt idx="12">
                  <c:v>1.6471581330273999</c:v>
                </c:pt>
                <c:pt idx="13">
                  <c:v>0.27187178961733477</c:v>
                </c:pt>
                <c:pt idx="14">
                  <c:v>3.7611659200893186</c:v>
                </c:pt>
                <c:pt idx="15">
                  <c:v>1.0118320306832298</c:v>
                </c:pt>
                <c:pt idx="16">
                  <c:v>0.48242310723961235</c:v>
                </c:pt>
                <c:pt idx="17">
                  <c:v>0.71465337960761721</c:v>
                </c:pt>
                <c:pt idx="18">
                  <c:v>1.6963797839932875</c:v>
                </c:pt>
                <c:pt idx="19">
                  <c:v>3.2467410568823953</c:v>
                </c:pt>
                <c:pt idx="20">
                  <c:v>1.5387835918993034</c:v>
                </c:pt>
                <c:pt idx="21">
                  <c:v>2.241578770258891</c:v>
                </c:pt>
                <c:pt idx="22">
                  <c:v>7.519104957309934</c:v>
                </c:pt>
                <c:pt idx="23">
                  <c:v>1.0681408789042546</c:v>
                </c:pt>
                <c:pt idx="24">
                  <c:v>10.743821804953102</c:v>
                </c:pt>
                <c:pt idx="25">
                  <c:v>1.5611903969183658</c:v>
                </c:pt>
                <c:pt idx="26">
                  <c:v>16.107149254282042</c:v>
                </c:pt>
                <c:pt idx="27">
                  <c:v>15.1667620966446</c:v>
                </c:pt>
                <c:pt idx="28">
                  <c:v>11.889978953745555</c:v>
                </c:pt>
                <c:pt idx="29">
                  <c:v>10.810559816635712</c:v>
                </c:pt>
                <c:pt idx="30">
                  <c:v>2.6484943340126428</c:v>
                </c:pt>
                <c:pt idx="31">
                  <c:v>7.3839654740323821</c:v>
                </c:pt>
                <c:pt idx="32">
                  <c:v>17.366721099897035</c:v>
                </c:pt>
                <c:pt idx="33">
                  <c:v>2.9838478523380294</c:v>
                </c:pt>
                <c:pt idx="34">
                  <c:v>16.774862063090623</c:v>
                </c:pt>
                <c:pt idx="35">
                  <c:v>9.804727590020633</c:v>
                </c:pt>
                <c:pt idx="36">
                  <c:v>0.99917859995409086</c:v>
                </c:pt>
                <c:pt idx="37">
                  <c:v>11.00866170540988</c:v>
                </c:pt>
                <c:pt idx="38">
                  <c:v>9.0610951994773998</c:v>
                </c:pt>
                <c:pt idx="39">
                  <c:v>4.5580665994363381</c:v>
                </c:pt>
                <c:pt idx="40">
                  <c:v>6.3405191071829918</c:v>
                </c:pt>
                <c:pt idx="41">
                  <c:v>5.0100506845023576</c:v>
                </c:pt>
                <c:pt idx="42">
                  <c:v>4.651861260785199</c:v>
                </c:pt>
                <c:pt idx="43">
                  <c:v>4.3117228851012168</c:v>
                </c:pt>
                <c:pt idx="44">
                  <c:v>3.0477070951309555</c:v>
                </c:pt>
                <c:pt idx="45">
                  <c:v>5.4797318754832576</c:v>
                </c:pt>
                <c:pt idx="46">
                  <c:v>1.888989085354227</c:v>
                </c:pt>
                <c:pt idx="47">
                  <c:v>4.2791602102178397</c:v>
                </c:pt>
                <c:pt idx="48">
                  <c:v>2.9757683595869708</c:v>
                </c:pt>
                <c:pt idx="49">
                  <c:v>9.7523441565125903</c:v>
                </c:pt>
                <c:pt idx="50">
                  <c:v>8.6432665288270982</c:v>
                </c:pt>
                <c:pt idx="51">
                  <c:v>1.2394107114775772</c:v>
                </c:pt>
                <c:pt idx="52">
                  <c:v>2.2300343584673326</c:v>
                </c:pt>
                <c:pt idx="53">
                  <c:v>2.8360499908802912</c:v>
                </c:pt>
                <c:pt idx="54">
                  <c:v>5.6611595118218734</c:v>
                </c:pt>
                <c:pt idx="55">
                  <c:v>12.882269932465633</c:v>
                </c:pt>
                <c:pt idx="56">
                  <c:v>0.56471837285769988</c:v>
                </c:pt>
                <c:pt idx="57">
                  <c:v>0.19784905941600847</c:v>
                </c:pt>
                <c:pt idx="58">
                  <c:v>3.1316428097731142</c:v>
                </c:pt>
                <c:pt idx="59">
                  <c:v>2.796474175080661</c:v>
                </c:pt>
                <c:pt idx="60">
                  <c:v>1.1467880641974628</c:v>
                </c:pt>
                <c:pt idx="61">
                  <c:v>0.76145670773419882</c:v>
                </c:pt>
                <c:pt idx="62">
                  <c:v>1.0044952448116831</c:v>
                </c:pt>
                <c:pt idx="63">
                  <c:v>1.3798601000015127</c:v>
                </c:pt>
                <c:pt idx="64">
                  <c:v>1.3010486903332708</c:v>
                </c:pt>
                <c:pt idx="65">
                  <c:v>3.6040009348860358</c:v>
                </c:pt>
                <c:pt idx="66">
                  <c:v>2.8982238810197889</c:v>
                </c:pt>
                <c:pt idx="67">
                  <c:v>0.25761804747446582</c:v>
                </c:pt>
                <c:pt idx="69">
                  <c:v>6.4474057233928086</c:v>
                </c:pt>
                <c:pt idx="70">
                  <c:v>8.8533751673532102</c:v>
                </c:pt>
                <c:pt idx="71">
                  <c:v>3.5012839312998878</c:v>
                </c:pt>
                <c:pt idx="72">
                  <c:v>11.996625548890567</c:v>
                </c:pt>
                <c:pt idx="73">
                  <c:v>3.4008183963749059</c:v>
                </c:pt>
                <c:pt idx="74">
                  <c:v>12.267602310421291</c:v>
                </c:pt>
                <c:pt idx="75">
                  <c:v>8.3816674665201827</c:v>
                </c:pt>
                <c:pt idx="76">
                  <c:v>10.417595527858495</c:v>
                </c:pt>
                <c:pt idx="77">
                  <c:v>18.248703857767872</c:v>
                </c:pt>
                <c:pt idx="78">
                  <c:v>13.541032985177576</c:v>
                </c:pt>
                <c:pt idx="79">
                  <c:v>7.2205100290007787</c:v>
                </c:pt>
                <c:pt idx="80">
                  <c:v>12.963656355180422</c:v>
                </c:pt>
                <c:pt idx="81">
                  <c:v>9.6587004911343346</c:v>
                </c:pt>
                <c:pt idx="82">
                  <c:v>10.436207668790811</c:v>
                </c:pt>
                <c:pt idx="83">
                  <c:v>1.7522763651224944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C9E-4591-B917-6D9F8D5A8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314847"/>
        <c:axId val="598317247"/>
      </c:lineChart>
      <c:catAx>
        <c:axId val="5983148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8317247"/>
        <c:crosses val="autoZero"/>
        <c:auto val="0"/>
        <c:lblAlgn val="ctr"/>
        <c:lblOffset val="100"/>
        <c:noMultiLvlLbl val="0"/>
      </c:catAx>
      <c:valAx>
        <c:axId val="5983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8314847"/>
        <c:crosses val="autoZero"/>
        <c:crossBetween val="between"/>
      </c:valAx>
    </c:plotArea>
    <c:legend>
      <c:legendPos val="b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8D-4E79-85F4-1B18AAC04490}"/>
            </c:ext>
          </c:extLst>
        </c:ser>
        <c:ser>
          <c:idx val="3"/>
          <c:order val="1"/>
          <c:tx>
            <c:strRef>
              <c:f>'Bhola IC'!$W$5</c:f>
              <c:strCache>
                <c:ptCount val="1"/>
                <c:pt idx="0">
                  <c:v>NO3-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'Bhola IC'!$C$6:$C$89</c:f>
              <c:numCache>
                <c:formatCode>m/d/yyyy</c:formatCode>
                <c:ptCount val="84"/>
                <c:pt idx="0">
                  <c:v>45327</c:v>
                </c:pt>
                <c:pt idx="1">
                  <c:v>45334</c:v>
                </c:pt>
                <c:pt idx="2">
                  <c:v>45341</c:v>
                </c:pt>
                <c:pt idx="3">
                  <c:v>45348</c:v>
                </c:pt>
                <c:pt idx="4">
                  <c:v>45354</c:v>
                </c:pt>
                <c:pt idx="5">
                  <c:v>45362</c:v>
                </c:pt>
                <c:pt idx="6">
                  <c:v>45376</c:v>
                </c:pt>
                <c:pt idx="7">
                  <c:v>45383</c:v>
                </c:pt>
                <c:pt idx="8">
                  <c:v>45396</c:v>
                </c:pt>
                <c:pt idx="9">
                  <c:v>45404</c:v>
                </c:pt>
                <c:pt idx="10">
                  <c:v>45411</c:v>
                </c:pt>
                <c:pt idx="11">
                  <c:v>45424</c:v>
                </c:pt>
                <c:pt idx="12">
                  <c:v>45446</c:v>
                </c:pt>
                <c:pt idx="13">
                  <c:v>45453</c:v>
                </c:pt>
                <c:pt idx="14">
                  <c:v>45467</c:v>
                </c:pt>
                <c:pt idx="15">
                  <c:v>45481</c:v>
                </c:pt>
                <c:pt idx="16">
                  <c:v>45487</c:v>
                </c:pt>
                <c:pt idx="17">
                  <c:v>45496</c:v>
                </c:pt>
                <c:pt idx="18">
                  <c:v>45502</c:v>
                </c:pt>
                <c:pt idx="19">
                  <c:v>45524</c:v>
                </c:pt>
                <c:pt idx="20">
                  <c:v>45531</c:v>
                </c:pt>
                <c:pt idx="21">
                  <c:v>45544</c:v>
                </c:pt>
                <c:pt idx="22">
                  <c:v>45552</c:v>
                </c:pt>
                <c:pt idx="23">
                  <c:v>45559</c:v>
                </c:pt>
                <c:pt idx="24">
                  <c:v>45565</c:v>
                </c:pt>
                <c:pt idx="25">
                  <c:v>45571</c:v>
                </c:pt>
                <c:pt idx="26">
                  <c:v>45580</c:v>
                </c:pt>
                <c:pt idx="27">
                  <c:v>45586</c:v>
                </c:pt>
                <c:pt idx="28">
                  <c:v>45594</c:v>
                </c:pt>
                <c:pt idx="29">
                  <c:v>45600</c:v>
                </c:pt>
                <c:pt idx="30">
                  <c:v>45607</c:v>
                </c:pt>
                <c:pt idx="31">
                  <c:v>45614</c:v>
                </c:pt>
                <c:pt idx="32">
                  <c:v>45621</c:v>
                </c:pt>
                <c:pt idx="33">
                  <c:v>45628</c:v>
                </c:pt>
                <c:pt idx="34">
                  <c:v>45636</c:v>
                </c:pt>
                <c:pt idx="35">
                  <c:v>45643</c:v>
                </c:pt>
                <c:pt idx="36">
                  <c:v>45650</c:v>
                </c:pt>
                <c:pt idx="37">
                  <c:v>45656</c:v>
                </c:pt>
                <c:pt idx="38">
                  <c:v>45663</c:v>
                </c:pt>
                <c:pt idx="39">
                  <c:v>45670</c:v>
                </c:pt>
                <c:pt idx="40">
                  <c:v>45679</c:v>
                </c:pt>
                <c:pt idx="41">
                  <c:v>45684</c:v>
                </c:pt>
                <c:pt idx="42">
                  <c:v>45691</c:v>
                </c:pt>
                <c:pt idx="43">
                  <c:v>45698</c:v>
                </c:pt>
                <c:pt idx="44">
                  <c:v>45705</c:v>
                </c:pt>
                <c:pt idx="45">
                  <c:v>45712</c:v>
                </c:pt>
                <c:pt idx="46">
                  <c:v>45719</c:v>
                </c:pt>
                <c:pt idx="47">
                  <c:v>45728</c:v>
                </c:pt>
                <c:pt idx="48">
                  <c:v>45733</c:v>
                </c:pt>
                <c:pt idx="49">
                  <c:v>45740</c:v>
                </c:pt>
                <c:pt idx="50">
                  <c:v>45755</c:v>
                </c:pt>
                <c:pt idx="51">
                  <c:v>45761</c:v>
                </c:pt>
                <c:pt idx="52">
                  <c:v>45768</c:v>
                </c:pt>
                <c:pt idx="53">
                  <c:v>45775</c:v>
                </c:pt>
                <c:pt idx="54">
                  <c:v>45782</c:v>
                </c:pt>
                <c:pt idx="55">
                  <c:v>45789</c:v>
                </c:pt>
                <c:pt idx="56">
                  <c:v>45798</c:v>
                </c:pt>
                <c:pt idx="57">
                  <c:v>45803</c:v>
                </c:pt>
                <c:pt idx="58">
                  <c:v>45811</c:v>
                </c:pt>
                <c:pt idx="59">
                  <c:v>45818</c:v>
                </c:pt>
                <c:pt idx="60">
                  <c:v>45824</c:v>
                </c:pt>
                <c:pt idx="61">
                  <c:v>45831</c:v>
                </c:pt>
                <c:pt idx="62">
                  <c:v>45838</c:v>
                </c:pt>
                <c:pt idx="63">
                  <c:v>45843</c:v>
                </c:pt>
                <c:pt idx="64">
                  <c:v>45845</c:v>
                </c:pt>
                <c:pt idx="65">
                  <c:v>45850</c:v>
                </c:pt>
                <c:pt idx="66">
                  <c:v>45852</c:v>
                </c:pt>
                <c:pt idx="67">
                  <c:v>45857</c:v>
                </c:pt>
                <c:pt idx="69">
                  <c:v>45992</c:v>
                </c:pt>
                <c:pt idx="70">
                  <c:v>45999</c:v>
                </c:pt>
                <c:pt idx="71">
                  <c:v>46006</c:v>
                </c:pt>
                <c:pt idx="72">
                  <c:v>46013</c:v>
                </c:pt>
                <c:pt idx="73">
                  <c:v>46020</c:v>
                </c:pt>
                <c:pt idx="74">
                  <c:v>46027</c:v>
                </c:pt>
                <c:pt idx="75">
                  <c:v>46034</c:v>
                </c:pt>
                <c:pt idx="76">
                  <c:v>46041</c:v>
                </c:pt>
                <c:pt idx="77">
                  <c:v>46048</c:v>
                </c:pt>
                <c:pt idx="78">
                  <c:v>46055</c:v>
                </c:pt>
                <c:pt idx="79">
                  <c:v>46069</c:v>
                </c:pt>
                <c:pt idx="80">
                  <c:v>46076</c:v>
                </c:pt>
                <c:pt idx="81">
                  <c:v>46085</c:v>
                </c:pt>
                <c:pt idx="82">
                  <c:v>46090</c:v>
                </c:pt>
                <c:pt idx="83">
                  <c:v>46097</c:v>
                </c:pt>
              </c:numCache>
            </c:numRef>
          </c:cat>
          <c:val>
            <c:numRef>
              <c:f>'Bhola IC'!$W$6:$W$89</c:f>
              <c:numCache>
                <c:formatCode>0.00_ </c:formatCode>
                <c:ptCount val="84"/>
                <c:pt idx="0">
                  <c:v>4.5148297602850711</c:v>
                </c:pt>
                <c:pt idx="1">
                  <c:v>7.9421937375964733</c:v>
                </c:pt>
                <c:pt idx="2">
                  <c:v>5.2109905344881371</c:v>
                </c:pt>
                <c:pt idx="3">
                  <c:v>4.0584674896140323</c:v>
                </c:pt>
                <c:pt idx="4">
                  <c:v>8.4209895468538676</c:v>
                </c:pt>
                <c:pt idx="5">
                  <c:v>5.8693347722170577</c:v>
                </c:pt>
                <c:pt idx="6">
                  <c:v>0.54429372995149372</c:v>
                </c:pt>
                <c:pt idx="7">
                  <c:v>0.36799015259692514</c:v>
                </c:pt>
                <c:pt idx="8">
                  <c:v>0.73958569532380058</c:v>
                </c:pt>
                <c:pt idx="9">
                  <c:v>0.64536483326110006</c:v>
                </c:pt>
                <c:pt idx="10">
                  <c:v>0.19677418131461968</c:v>
                </c:pt>
                <c:pt idx="11">
                  <c:v>0.21608304845502008</c:v>
                </c:pt>
                <c:pt idx="12">
                  <c:v>2.938392955909477E-2</c:v>
                </c:pt>
                <c:pt idx="13">
                  <c:v>0</c:v>
                </c:pt>
                <c:pt idx="14">
                  <c:v>0.10437604426206058</c:v>
                </c:pt>
                <c:pt idx="15">
                  <c:v>1.814713032074974E-2</c:v>
                </c:pt>
                <c:pt idx="16">
                  <c:v>2.1331891602205822E-2</c:v>
                </c:pt>
                <c:pt idx="17">
                  <c:v>4.5367825801874345E-2</c:v>
                </c:pt>
                <c:pt idx="18">
                  <c:v>2.9950785983034304E-2</c:v>
                </c:pt>
                <c:pt idx="19">
                  <c:v>3.9934381310712391E-2</c:v>
                </c:pt>
                <c:pt idx="20">
                  <c:v>0</c:v>
                </c:pt>
                <c:pt idx="21">
                  <c:v>2.4511447838988988E-2</c:v>
                </c:pt>
                <c:pt idx="22">
                  <c:v>5.2740924282768442E-2</c:v>
                </c:pt>
                <c:pt idx="23">
                  <c:v>0</c:v>
                </c:pt>
                <c:pt idx="24">
                  <c:v>0.4551601437666945</c:v>
                </c:pt>
                <c:pt idx="25">
                  <c:v>7.7849092762032446E-2</c:v>
                </c:pt>
                <c:pt idx="26">
                  <c:v>2.3825678118549858</c:v>
                </c:pt>
                <c:pt idx="27">
                  <c:v>1.7146997106241062</c:v>
                </c:pt>
                <c:pt idx="28">
                  <c:v>0.58111410045243561</c:v>
                </c:pt>
                <c:pt idx="29">
                  <c:v>1.5745162617471913</c:v>
                </c:pt>
                <c:pt idx="30">
                  <c:v>1.0727201048636192</c:v>
                </c:pt>
                <c:pt idx="31">
                  <c:v>1.9834994082741428</c:v>
                </c:pt>
                <c:pt idx="32">
                  <c:v>5.6423149649142399</c:v>
                </c:pt>
                <c:pt idx="33">
                  <c:v>1.4271721651869769</c:v>
                </c:pt>
                <c:pt idx="34">
                  <c:v>9.469405742111892</c:v>
                </c:pt>
                <c:pt idx="35">
                  <c:v>2.4646446928340113</c:v>
                </c:pt>
                <c:pt idx="36">
                  <c:v>0.43336789362002354</c:v>
                </c:pt>
                <c:pt idx="37">
                  <c:v>1.5738729713942952</c:v>
                </c:pt>
                <c:pt idx="38">
                  <c:v>2.7667763857238441</c:v>
                </c:pt>
                <c:pt idx="39">
                  <c:v>0.85712141356017957</c:v>
                </c:pt>
                <c:pt idx="40">
                  <c:v>2.4836330808517491</c:v>
                </c:pt>
                <c:pt idx="41">
                  <c:v>2.1629937186281709</c:v>
                </c:pt>
                <c:pt idx="42">
                  <c:v>1.8697553213922149</c:v>
                </c:pt>
                <c:pt idx="43">
                  <c:v>1.3224570996657625</c:v>
                </c:pt>
                <c:pt idx="44">
                  <c:v>0.88512327690279358</c:v>
                </c:pt>
                <c:pt idx="45">
                  <c:v>1.4003335264726884</c:v>
                </c:pt>
                <c:pt idx="46">
                  <c:v>0.81601996607874649</c:v>
                </c:pt>
                <c:pt idx="47">
                  <c:v>1.1835293999916783</c:v>
                </c:pt>
                <c:pt idx="48">
                  <c:v>0.51188527867227407</c:v>
                </c:pt>
                <c:pt idx="49">
                  <c:v>0.8083284671348524</c:v>
                </c:pt>
                <c:pt idx="50">
                  <c:v>1.0994036302928385</c:v>
                </c:pt>
                <c:pt idx="51">
                  <c:v>1.669119434024638</c:v>
                </c:pt>
                <c:pt idx="52">
                  <c:v>3.1464620345824295</c:v>
                </c:pt>
                <c:pt idx="53">
                  <c:v>0.24134242567762337</c:v>
                </c:pt>
                <c:pt idx="54">
                  <c:v>0.37670724129741667</c:v>
                </c:pt>
                <c:pt idx="55">
                  <c:v>0.22012853666258106</c:v>
                </c:pt>
                <c:pt idx="56">
                  <c:v>7.1975694872464718E-2</c:v>
                </c:pt>
                <c:pt idx="57">
                  <c:v>2.8432121381199459E-2</c:v>
                </c:pt>
                <c:pt idx="58">
                  <c:v>4.3254293186514685E-2</c:v>
                </c:pt>
                <c:pt idx="59">
                  <c:v>6.0886616523692642E-2</c:v>
                </c:pt>
                <c:pt idx="60">
                  <c:v>2.8928030475057591E-2</c:v>
                </c:pt>
                <c:pt idx="61">
                  <c:v>1.4822171805315225E-2</c:v>
                </c:pt>
                <c:pt idx="62">
                  <c:v>3.7358485070645805E-2</c:v>
                </c:pt>
                <c:pt idx="63">
                  <c:v>1.8734343545751583E-2</c:v>
                </c:pt>
                <c:pt idx="64">
                  <c:v>4.284103560829957E-2</c:v>
                </c:pt>
                <c:pt idx="65">
                  <c:v>0.11206167995933024</c:v>
                </c:pt>
                <c:pt idx="66">
                  <c:v>0.12287525325595892</c:v>
                </c:pt>
                <c:pt idx="67">
                  <c:v>2.2798043064866821E-2</c:v>
                </c:pt>
                <c:pt idx="69">
                  <c:v>7.5058596405949434</c:v>
                </c:pt>
                <c:pt idx="70">
                  <c:v>10.240247283118244</c:v>
                </c:pt>
                <c:pt idx="71">
                  <c:v>4.8929697260668847</c:v>
                </c:pt>
                <c:pt idx="72">
                  <c:v>18.759139000444488</c:v>
                </c:pt>
                <c:pt idx="73">
                  <c:v>4.1569579792657763</c:v>
                </c:pt>
                <c:pt idx="74">
                  <c:v>13.093653108167498</c:v>
                </c:pt>
                <c:pt idx="75">
                  <c:v>11.104231126639965</c:v>
                </c:pt>
                <c:pt idx="76">
                  <c:v>13.487625332732568</c:v>
                </c:pt>
                <c:pt idx="77">
                  <c:v>12.675160933961664</c:v>
                </c:pt>
                <c:pt idx="78">
                  <c:v>12.332432649095265</c:v>
                </c:pt>
                <c:pt idx="79">
                  <c:v>4.7734005334366465</c:v>
                </c:pt>
                <c:pt idx="80">
                  <c:v>7.0352970115340066</c:v>
                </c:pt>
                <c:pt idx="81">
                  <c:v>1.8103436976343186</c:v>
                </c:pt>
                <c:pt idx="82">
                  <c:v>2.1260724873906613</c:v>
                </c:pt>
                <c:pt idx="83">
                  <c:v>0.2222407420623472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8D-4E79-85F4-1B18AAC04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314847"/>
        <c:axId val="598317247"/>
      </c:lineChart>
      <c:catAx>
        <c:axId val="5983148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8317247"/>
        <c:crosses val="autoZero"/>
        <c:auto val="0"/>
        <c:lblAlgn val="ctr"/>
        <c:lblOffset val="100"/>
        <c:noMultiLvlLbl val="0"/>
      </c:catAx>
      <c:valAx>
        <c:axId val="59831724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8314847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248179</xdr:colOff>
      <xdr:row>120</xdr:row>
      <xdr:rowOff>165227</xdr:rowOff>
    </xdr:from>
    <xdr:ext cx="16727143" cy="50065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375672F-6C41-43B3-8F2F-80862466A49E}"/>
            </a:ext>
          </a:extLst>
        </xdr:cNvPr>
        <xdr:cNvSpPr txBox="1"/>
      </xdr:nvSpPr>
      <xdr:spPr>
        <a:xfrm>
          <a:off x="3558117" y="29883227"/>
          <a:ext cx="16727143" cy="5006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バングラデシュの気候は熱帯に属しており，大きく分けて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つの季節に分けられる。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pre-monsoon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–5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月），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monsoon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–9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月），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post-monsoon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–11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月）と，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dry season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–2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月）となっている。また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年を通して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14°C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から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34°C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程度で気温が変化する。</a:t>
          </a:r>
        </a:p>
        <a:p>
          <a:endParaRPr kumimoji="1" lang="ja-JP" altLang="en-US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30891</xdr:colOff>
      <xdr:row>9</xdr:row>
      <xdr:rowOff>52859</xdr:rowOff>
    </xdr:from>
    <xdr:to>
      <xdr:col>50</xdr:col>
      <xdr:colOff>207347</xdr:colOff>
      <xdr:row>43</xdr:row>
      <xdr:rowOff>17161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5078724-9207-952F-C6A9-375F09C7B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0</xdr:colOff>
      <xdr:row>9</xdr:row>
      <xdr:rowOff>0</xdr:rowOff>
    </xdr:from>
    <xdr:to>
      <xdr:col>69</xdr:col>
      <xdr:colOff>176456</xdr:colOff>
      <xdr:row>42</xdr:row>
      <xdr:rowOff>141512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5C72CE7-7553-4F1B-B1A6-E0F793225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412749</xdr:colOff>
      <xdr:row>8</xdr:row>
      <xdr:rowOff>44938</xdr:rowOff>
    </xdr:from>
    <xdr:to>
      <xdr:col>55</xdr:col>
      <xdr:colOff>293076</xdr:colOff>
      <xdr:row>59</xdr:row>
      <xdr:rowOff>122115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173763-3854-0954-62BF-69B407BD1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0</xdr:colOff>
      <xdr:row>9</xdr:row>
      <xdr:rowOff>0</xdr:rowOff>
    </xdr:from>
    <xdr:to>
      <xdr:col>81</xdr:col>
      <xdr:colOff>515327</xdr:colOff>
      <xdr:row>60</xdr:row>
      <xdr:rowOff>77177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0CD24E5-CD45-48C9-BF3F-72F72FA13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3815-F987-48AC-B8DB-579E32E4887D}">
  <dimension ref="B1:E93"/>
  <sheetViews>
    <sheetView tabSelected="1" topLeftCell="A22" zoomScale="55" workbookViewId="0">
      <selection activeCell="C45" sqref="C45:C60"/>
    </sheetView>
  </sheetViews>
  <sheetFormatPr defaultRowHeight="18"/>
  <cols>
    <col min="2" max="2" width="19.08203125" customWidth="1"/>
    <col min="3" max="3" width="20.58203125" style="575" customWidth="1"/>
    <col min="4" max="4" width="11.33203125" customWidth="1"/>
    <col min="5" max="5" width="23.4140625" style="579" customWidth="1"/>
  </cols>
  <sheetData>
    <row r="1" spans="2:5" ht="14.5" customHeight="1">
      <c r="B1" s="626" t="s">
        <v>248</v>
      </c>
      <c r="C1" s="626"/>
      <c r="D1" s="626"/>
      <c r="E1" s="626"/>
    </row>
    <row r="2" spans="2:5" ht="27.5" customHeight="1">
      <c r="B2" s="626"/>
      <c r="C2" s="626"/>
      <c r="D2" s="626"/>
      <c r="E2" s="626"/>
    </row>
    <row r="3" spans="2:5" ht="30" customHeight="1">
      <c r="B3" s="565" t="s">
        <v>249</v>
      </c>
      <c r="C3" s="566" t="s">
        <v>250</v>
      </c>
      <c r="D3" s="565" t="s">
        <v>249</v>
      </c>
      <c r="E3" s="567" t="s">
        <v>251</v>
      </c>
    </row>
    <row r="4" spans="2:5">
      <c r="B4" s="627" t="s">
        <v>252</v>
      </c>
      <c r="C4" s="568">
        <v>45417</v>
      </c>
      <c r="D4" s="629" t="s">
        <v>253</v>
      </c>
      <c r="E4" s="577">
        <v>45327</v>
      </c>
    </row>
    <row r="5" spans="2:5">
      <c r="B5" s="628"/>
      <c r="C5" s="569" t="s">
        <v>255</v>
      </c>
      <c r="D5" s="629"/>
      <c r="E5" s="567" t="s">
        <v>256</v>
      </c>
    </row>
    <row r="6" spans="2:5">
      <c r="B6" s="628"/>
      <c r="C6" s="569" t="s">
        <v>257</v>
      </c>
      <c r="D6" s="629"/>
      <c r="E6" s="567" t="s">
        <v>258</v>
      </c>
    </row>
    <row r="7" spans="2:5">
      <c r="B7" s="628"/>
      <c r="C7" s="568">
        <v>45571</v>
      </c>
      <c r="D7" s="629"/>
      <c r="E7" s="567" t="s">
        <v>259</v>
      </c>
    </row>
    <row r="8" spans="2:5">
      <c r="B8" s="628"/>
      <c r="C8" s="569" t="s">
        <v>260</v>
      </c>
      <c r="D8" s="629"/>
      <c r="E8" s="567" t="s">
        <v>261</v>
      </c>
    </row>
    <row r="9" spans="2:5">
      <c r="B9" s="628"/>
      <c r="C9" s="568" t="s">
        <v>262</v>
      </c>
      <c r="D9" s="629"/>
      <c r="E9" s="567" t="s">
        <v>263</v>
      </c>
    </row>
    <row r="10" spans="2:5">
      <c r="B10" s="628"/>
      <c r="C10" s="568" t="s">
        <v>264</v>
      </c>
      <c r="D10" s="629"/>
      <c r="E10" s="567" t="s">
        <v>265</v>
      </c>
    </row>
    <row r="11" spans="2:5">
      <c r="B11" s="628"/>
      <c r="C11" s="568" t="s">
        <v>266</v>
      </c>
      <c r="D11" s="629"/>
      <c r="E11" s="567" t="s">
        <v>267</v>
      </c>
    </row>
    <row r="12" spans="2:5">
      <c r="B12" s="628"/>
      <c r="C12" s="568" t="s">
        <v>268</v>
      </c>
      <c r="D12" s="629"/>
      <c r="E12" s="567" t="s">
        <v>269</v>
      </c>
    </row>
    <row r="13" spans="2:5">
      <c r="B13" s="628"/>
      <c r="C13" s="568">
        <v>45513</v>
      </c>
      <c r="D13" s="629"/>
      <c r="E13" s="567" t="s">
        <v>270</v>
      </c>
    </row>
    <row r="14" spans="2:5">
      <c r="B14" s="628"/>
      <c r="C14" s="568" t="s">
        <v>271</v>
      </c>
      <c r="D14" s="629"/>
      <c r="E14" s="567" t="s">
        <v>272</v>
      </c>
    </row>
    <row r="15" spans="2:5">
      <c r="B15" s="628"/>
      <c r="C15" s="568" t="s">
        <v>273</v>
      </c>
      <c r="D15" s="629"/>
      <c r="E15" s="567" t="s">
        <v>274</v>
      </c>
    </row>
    <row r="16" spans="2:5">
      <c r="B16" s="628"/>
      <c r="C16" s="568">
        <v>45361</v>
      </c>
      <c r="D16" s="629"/>
      <c r="E16" s="567" t="s">
        <v>275</v>
      </c>
    </row>
    <row r="17" spans="2:5">
      <c r="B17" s="628"/>
      <c r="C17" s="568" t="s">
        <v>276</v>
      </c>
      <c r="D17" s="629"/>
      <c r="E17" s="567" t="s">
        <v>277</v>
      </c>
    </row>
    <row r="18" spans="2:5">
      <c r="B18" s="628"/>
      <c r="C18" s="568" t="s">
        <v>278</v>
      </c>
      <c r="D18" s="629"/>
      <c r="E18" s="567" t="s">
        <v>279</v>
      </c>
    </row>
    <row r="19" spans="2:5">
      <c r="B19" s="628"/>
      <c r="C19" s="568" t="s">
        <v>280</v>
      </c>
      <c r="D19" s="629"/>
      <c r="E19" s="567" t="s">
        <v>281</v>
      </c>
    </row>
    <row r="20" spans="2:5">
      <c r="B20" s="628"/>
      <c r="C20" s="568">
        <v>45515</v>
      </c>
      <c r="D20" s="629"/>
      <c r="E20" s="567" t="s">
        <v>282</v>
      </c>
    </row>
    <row r="21" spans="2:5">
      <c r="B21" s="628"/>
      <c r="C21" s="568" t="s">
        <v>283</v>
      </c>
      <c r="D21" s="629"/>
      <c r="E21" s="567" t="s">
        <v>284</v>
      </c>
    </row>
    <row r="22" spans="2:5">
      <c r="B22" s="628"/>
      <c r="C22" s="568" t="s">
        <v>285</v>
      </c>
      <c r="D22" s="629"/>
      <c r="E22" s="567" t="s">
        <v>286</v>
      </c>
    </row>
    <row r="23" spans="2:5">
      <c r="B23" s="628"/>
      <c r="C23" s="568">
        <v>45424</v>
      </c>
      <c r="D23" s="629"/>
      <c r="E23" s="567" t="s">
        <v>287</v>
      </c>
    </row>
    <row r="24" spans="2:5">
      <c r="B24" s="628"/>
      <c r="C24" s="568" t="s">
        <v>288</v>
      </c>
      <c r="D24" s="629"/>
      <c r="E24" s="567" t="s">
        <v>289</v>
      </c>
    </row>
    <row r="25" spans="2:5">
      <c r="B25" s="628"/>
      <c r="C25" s="568" t="s">
        <v>290</v>
      </c>
      <c r="D25" s="629"/>
      <c r="E25" s="567" t="s">
        <v>291</v>
      </c>
    </row>
    <row r="26" spans="2:5">
      <c r="B26" s="628"/>
      <c r="C26" s="568">
        <v>45748</v>
      </c>
      <c r="D26" s="629"/>
      <c r="E26" s="567" t="s">
        <v>292</v>
      </c>
    </row>
    <row r="27" spans="2:5">
      <c r="B27" s="628"/>
      <c r="C27" s="568">
        <v>45992</v>
      </c>
      <c r="D27" s="629"/>
      <c r="E27" s="567" t="s">
        <v>293</v>
      </c>
    </row>
    <row r="28" spans="2:5">
      <c r="B28" s="628"/>
      <c r="C28" s="569" t="s">
        <v>294</v>
      </c>
      <c r="D28" s="629"/>
      <c r="E28" s="567" t="s">
        <v>295</v>
      </c>
    </row>
    <row r="29" spans="2:5">
      <c r="B29" s="628"/>
      <c r="C29" s="568">
        <v>45842</v>
      </c>
      <c r="D29" s="629"/>
      <c r="E29" s="567" t="s">
        <v>296</v>
      </c>
    </row>
    <row r="30" spans="2:5">
      <c r="B30" s="628"/>
      <c r="C30" s="569" t="s">
        <v>297</v>
      </c>
      <c r="D30" s="629"/>
      <c r="E30" s="567" t="s">
        <v>298</v>
      </c>
    </row>
    <row r="31" spans="2:5">
      <c r="B31" s="628"/>
      <c r="C31" s="569" t="s">
        <v>299</v>
      </c>
      <c r="D31" s="629"/>
      <c r="E31" s="567" t="s">
        <v>300</v>
      </c>
    </row>
    <row r="32" spans="2:5">
      <c r="B32" s="628"/>
      <c r="C32" s="569" t="s">
        <v>301</v>
      </c>
      <c r="D32" s="629"/>
      <c r="E32" s="567" t="s">
        <v>302</v>
      </c>
    </row>
    <row r="33" spans="2:5">
      <c r="B33" s="628"/>
      <c r="C33" s="568">
        <v>45782</v>
      </c>
      <c r="D33" s="629"/>
      <c r="E33" s="567" t="s">
        <v>303</v>
      </c>
    </row>
    <row r="34" spans="2:5">
      <c r="B34" s="628"/>
      <c r="C34" s="569" t="s">
        <v>304</v>
      </c>
      <c r="D34" s="629"/>
      <c r="E34" s="567" t="s">
        <v>305</v>
      </c>
    </row>
    <row r="35" spans="2:5">
      <c r="B35" s="628"/>
      <c r="C35" s="569" t="s">
        <v>306</v>
      </c>
      <c r="D35" s="629"/>
      <c r="E35" s="567" t="s">
        <v>307</v>
      </c>
    </row>
    <row r="36" spans="2:5">
      <c r="B36" s="628"/>
      <c r="C36" s="568">
        <v>45722</v>
      </c>
      <c r="D36" s="629"/>
      <c r="E36" s="567" t="s">
        <v>308</v>
      </c>
    </row>
    <row r="37" spans="2:5">
      <c r="B37" s="628"/>
      <c r="C37" s="568">
        <v>45967</v>
      </c>
      <c r="D37" s="629"/>
      <c r="E37" s="567" t="s">
        <v>309</v>
      </c>
    </row>
    <row r="38" spans="2:5">
      <c r="B38" s="628"/>
      <c r="C38" s="569" t="s">
        <v>310</v>
      </c>
      <c r="D38" s="629"/>
      <c r="E38" s="567" t="s">
        <v>311</v>
      </c>
    </row>
    <row r="39" spans="2:5">
      <c r="B39" s="628"/>
      <c r="C39" s="569" t="s">
        <v>312</v>
      </c>
      <c r="D39" s="629"/>
      <c r="E39" s="567" t="s">
        <v>313</v>
      </c>
    </row>
    <row r="40" spans="2:5">
      <c r="B40" s="628"/>
      <c r="C40" s="568">
        <v>45784</v>
      </c>
      <c r="D40" s="629"/>
      <c r="E40" s="567" t="s">
        <v>314</v>
      </c>
    </row>
    <row r="41" spans="2:5">
      <c r="B41" s="628"/>
      <c r="C41" s="569" t="s">
        <v>315</v>
      </c>
      <c r="D41" s="629"/>
      <c r="E41" s="567" t="s">
        <v>316</v>
      </c>
    </row>
    <row r="42" spans="2:5">
      <c r="B42" s="628"/>
      <c r="C42" s="569" t="s">
        <v>317</v>
      </c>
      <c r="D42" s="629"/>
      <c r="E42" s="567" t="s">
        <v>318</v>
      </c>
    </row>
    <row r="43" spans="2:5">
      <c r="B43" s="570"/>
      <c r="C43" s="569" t="s">
        <v>319</v>
      </c>
      <c r="D43" s="629"/>
      <c r="E43" s="567" t="s">
        <v>320</v>
      </c>
    </row>
    <row r="44" spans="2:5">
      <c r="B44" s="630"/>
      <c r="C44" s="571" t="s">
        <v>385</v>
      </c>
      <c r="D44" s="629"/>
      <c r="E44" s="567" t="s">
        <v>321</v>
      </c>
    </row>
    <row r="45" spans="2:5">
      <c r="B45" s="630"/>
      <c r="C45" s="572" t="s">
        <v>322</v>
      </c>
      <c r="D45" s="629"/>
      <c r="E45" s="567" t="s">
        <v>323</v>
      </c>
    </row>
    <row r="46" spans="2:5">
      <c r="B46" s="630"/>
      <c r="C46" s="572" t="s">
        <v>324</v>
      </c>
      <c r="D46" s="629"/>
      <c r="E46" s="567" t="s">
        <v>325</v>
      </c>
    </row>
    <row r="47" spans="2:5">
      <c r="B47" s="630"/>
      <c r="C47" s="572" t="s">
        <v>326</v>
      </c>
      <c r="D47" s="629"/>
      <c r="E47" s="567" t="s">
        <v>327</v>
      </c>
    </row>
    <row r="48" spans="2:5">
      <c r="B48" s="630"/>
      <c r="C48" s="573">
        <v>45878</v>
      </c>
      <c r="D48" s="629"/>
      <c r="E48" s="567" t="s">
        <v>328</v>
      </c>
    </row>
    <row r="49" spans="2:5">
      <c r="B49" s="630"/>
      <c r="C49" s="572" t="s">
        <v>329</v>
      </c>
      <c r="D49" s="629"/>
      <c r="E49" s="567" t="s">
        <v>330</v>
      </c>
    </row>
    <row r="50" spans="2:5">
      <c r="B50" s="630"/>
      <c r="C50" s="572" t="s">
        <v>331</v>
      </c>
      <c r="D50" s="629"/>
      <c r="E50" s="567" t="s">
        <v>332</v>
      </c>
    </row>
    <row r="51" spans="2:5">
      <c r="B51" s="630"/>
      <c r="C51" s="573">
        <v>45698</v>
      </c>
      <c r="D51" s="629"/>
      <c r="E51" s="567" t="s">
        <v>333</v>
      </c>
    </row>
    <row r="52" spans="2:5">
      <c r="B52" s="630"/>
      <c r="C52" s="573">
        <v>45950</v>
      </c>
      <c r="D52" s="629"/>
      <c r="E52" s="567" t="s">
        <v>334</v>
      </c>
    </row>
    <row r="53" spans="2:5">
      <c r="B53" s="630"/>
      <c r="C53" s="572" t="s">
        <v>335</v>
      </c>
      <c r="D53" s="629"/>
      <c r="E53" s="567" t="s">
        <v>336</v>
      </c>
    </row>
    <row r="54" spans="2:5">
      <c r="B54" s="630"/>
      <c r="C54" s="572" t="s">
        <v>337</v>
      </c>
      <c r="D54" s="629"/>
      <c r="E54" s="567" t="s">
        <v>338</v>
      </c>
    </row>
    <row r="55" spans="2:5">
      <c r="B55" s="630"/>
      <c r="C55" s="573">
        <v>45758</v>
      </c>
      <c r="D55" s="629"/>
      <c r="E55" s="567" t="s">
        <v>339</v>
      </c>
    </row>
    <row r="56" spans="2:5">
      <c r="B56" s="630"/>
      <c r="C56" s="573">
        <v>46002</v>
      </c>
      <c r="D56" s="629"/>
      <c r="E56" s="567" t="s">
        <v>340</v>
      </c>
    </row>
    <row r="57" spans="2:5">
      <c r="B57" s="630"/>
      <c r="C57" s="572" t="s">
        <v>341</v>
      </c>
      <c r="D57" s="629"/>
      <c r="E57" s="567" t="s">
        <v>342</v>
      </c>
    </row>
    <row r="58" spans="2:5">
      <c r="B58" s="630"/>
      <c r="C58" s="572" t="s">
        <v>343</v>
      </c>
      <c r="D58" s="629"/>
      <c r="E58" s="567" t="s">
        <v>344</v>
      </c>
    </row>
    <row r="59" spans="2:5">
      <c r="B59" s="630"/>
      <c r="C59" s="573">
        <v>45820</v>
      </c>
      <c r="D59" s="629"/>
      <c r="E59" s="567" t="s">
        <v>345</v>
      </c>
    </row>
    <row r="60" spans="2:5">
      <c r="B60" s="630"/>
      <c r="C60" s="572" t="s">
        <v>346</v>
      </c>
      <c r="D60" s="629"/>
      <c r="E60" s="567" t="s">
        <v>347</v>
      </c>
    </row>
    <row r="61" spans="2:5">
      <c r="B61" s="630"/>
      <c r="C61" s="571" t="s">
        <v>348</v>
      </c>
      <c r="D61" s="629"/>
      <c r="E61" s="567" t="s">
        <v>349</v>
      </c>
    </row>
    <row r="62" spans="2:5">
      <c r="B62" s="630"/>
      <c r="C62" s="572"/>
      <c r="D62" s="629"/>
      <c r="E62" s="567" t="s">
        <v>350</v>
      </c>
    </row>
    <row r="63" spans="2:5">
      <c r="B63" s="630"/>
      <c r="C63" s="574" t="s">
        <v>386</v>
      </c>
      <c r="D63" s="629"/>
      <c r="E63" s="567" t="s">
        <v>351</v>
      </c>
    </row>
    <row r="64" spans="2:5">
      <c r="D64" s="629"/>
      <c r="E64" s="567" t="s">
        <v>352</v>
      </c>
    </row>
    <row r="65" spans="4:5">
      <c r="D65" s="629"/>
      <c r="E65" s="567" t="s">
        <v>353</v>
      </c>
    </row>
    <row r="66" spans="4:5">
      <c r="D66" s="629"/>
      <c r="E66" s="576" t="s">
        <v>387</v>
      </c>
    </row>
    <row r="67" spans="4:5">
      <c r="D67" s="631"/>
      <c r="E67" s="577">
        <v>45784</v>
      </c>
    </row>
    <row r="68" spans="4:5">
      <c r="D68" s="632"/>
      <c r="E68" s="577">
        <v>45845</v>
      </c>
    </row>
    <row r="69" spans="4:5">
      <c r="D69" s="632"/>
      <c r="E69" s="577">
        <v>45998</v>
      </c>
    </row>
    <row r="70" spans="4:5">
      <c r="D70" s="632"/>
      <c r="E70" s="567" t="s">
        <v>354</v>
      </c>
    </row>
    <row r="71" spans="4:5">
      <c r="D71" s="632"/>
      <c r="E71" s="567" t="s">
        <v>355</v>
      </c>
    </row>
    <row r="72" spans="4:5">
      <c r="D72" s="632"/>
      <c r="E72" s="577">
        <v>45669</v>
      </c>
    </row>
    <row r="73" spans="4:5">
      <c r="D73" s="632"/>
      <c r="E73" s="577">
        <v>45881</v>
      </c>
    </row>
    <row r="74" spans="4:5">
      <c r="D74" s="632"/>
      <c r="E74" s="567" t="s">
        <v>356</v>
      </c>
    </row>
    <row r="75" spans="4:5">
      <c r="D75" s="632"/>
      <c r="E75" s="567" t="s">
        <v>357</v>
      </c>
    </row>
    <row r="76" spans="4:5">
      <c r="D76" s="632"/>
      <c r="E76" s="567" t="s">
        <v>358</v>
      </c>
    </row>
    <row r="77" spans="4:5">
      <c r="D77" s="632"/>
      <c r="E77" s="577">
        <v>46143</v>
      </c>
    </row>
    <row r="78" spans="4:5">
      <c r="D78" s="632"/>
      <c r="E78" s="577">
        <v>46357</v>
      </c>
    </row>
    <row r="79" spans="4:5">
      <c r="D79" s="632"/>
      <c r="E79" s="567" t="s">
        <v>359</v>
      </c>
    </row>
    <row r="80" spans="4:5">
      <c r="D80" s="632"/>
      <c r="E80" s="567" t="s">
        <v>360</v>
      </c>
    </row>
    <row r="81" spans="2:5">
      <c r="D81" s="632"/>
      <c r="E81" s="577">
        <v>46055</v>
      </c>
    </row>
    <row r="82" spans="2:5">
      <c r="D82" s="632"/>
      <c r="E82" s="567" t="s">
        <v>361</v>
      </c>
    </row>
    <row r="83" spans="2:5">
      <c r="D83" s="632"/>
      <c r="E83" s="567" t="s">
        <v>362</v>
      </c>
    </row>
    <row r="84" spans="2:5">
      <c r="D84" s="632"/>
      <c r="E84" s="577">
        <v>46115</v>
      </c>
    </row>
    <row r="85" spans="2:5">
      <c r="D85" s="632"/>
      <c r="E85" s="577">
        <v>46268</v>
      </c>
    </row>
    <row r="86" spans="2:5">
      <c r="D86" s="632"/>
      <c r="E86" s="567" t="s">
        <v>363</v>
      </c>
    </row>
    <row r="87" spans="2:5">
      <c r="D87" s="632"/>
      <c r="E87" s="576" t="s">
        <v>364</v>
      </c>
    </row>
    <row r="88" spans="2:5">
      <c r="D88" s="633"/>
      <c r="E88" s="567"/>
    </row>
    <row r="89" spans="2:5">
      <c r="E89" s="578" t="s">
        <v>388</v>
      </c>
    </row>
    <row r="93" spans="2:5">
      <c r="B93" s="625" t="s">
        <v>365</v>
      </c>
      <c r="C93" s="625"/>
      <c r="D93" s="625"/>
    </row>
  </sheetData>
  <mergeCells count="6">
    <mergeCell ref="B93:D93"/>
    <mergeCell ref="B1:E2"/>
    <mergeCell ref="B4:B42"/>
    <mergeCell ref="D4:D66"/>
    <mergeCell ref="B44:B63"/>
    <mergeCell ref="D67:D88"/>
  </mergeCells>
  <phoneticPr fontId="1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61F2-8BDA-469B-BBE6-08AF4216A72A}">
  <dimension ref="A1:AM295"/>
  <sheetViews>
    <sheetView topLeftCell="A213" zoomScale="40" zoomScaleNormal="60" workbookViewId="0">
      <selection activeCell="K201" sqref="K201"/>
    </sheetView>
  </sheetViews>
  <sheetFormatPr defaultColWidth="8.6640625" defaultRowHeight="19.5" customHeight="1"/>
  <cols>
    <col min="1" max="1" width="8.6640625" style="171"/>
    <col min="2" max="2" width="11.25" style="171" customWidth="1"/>
    <col min="3" max="4" width="11.75" style="171" bestFit="1" customWidth="1"/>
    <col min="5" max="5" width="10.33203125" style="171" customWidth="1"/>
    <col min="6" max="6" width="8.6640625" style="171"/>
    <col min="7" max="7" width="8.6640625" style="175"/>
    <col min="8" max="8" width="9.33203125" style="175" bestFit="1" customWidth="1"/>
    <col min="9" max="9" width="8.6640625" style="175"/>
    <col min="10" max="10" width="7.33203125" style="174" customWidth="1"/>
    <col min="11" max="11" width="9.1640625" style="171" bestFit="1" customWidth="1"/>
    <col min="12" max="17" width="8.6640625" style="171"/>
    <col min="18" max="18" width="9" style="171" customWidth="1"/>
    <col min="19" max="19" width="8.6640625" style="171"/>
    <col min="20" max="20" width="11.08203125" style="171" bestFit="1" customWidth="1"/>
    <col min="21" max="23" width="8.6640625" style="171"/>
    <col min="24" max="24" width="12.58203125" style="171" bestFit="1" customWidth="1"/>
    <col min="25" max="33" width="8.6640625" style="171"/>
    <col min="34" max="34" width="8.6640625" style="172"/>
    <col min="35" max="35" width="8.6640625" style="173"/>
    <col min="36" max="36" width="8.6640625" style="172"/>
    <col min="37" max="37" width="11.75" style="171" bestFit="1" customWidth="1"/>
    <col min="38" max="38" width="11.25" style="171" customWidth="1"/>
    <col min="39" max="16384" width="8.6640625" style="171"/>
  </cols>
  <sheetData>
    <row r="1" spans="1:38" ht="19.5" customHeight="1">
      <c r="A1" s="180"/>
      <c r="B1" s="245" t="s">
        <v>0</v>
      </c>
      <c r="C1" s="246" t="s">
        <v>1</v>
      </c>
      <c r="D1" s="245"/>
      <c r="E1" s="246" t="s">
        <v>76</v>
      </c>
      <c r="F1" s="245" t="s">
        <v>77</v>
      </c>
      <c r="G1" s="244" t="s">
        <v>78</v>
      </c>
      <c r="H1" s="244" t="s">
        <v>79</v>
      </c>
      <c r="I1" s="244" t="s">
        <v>80</v>
      </c>
      <c r="J1" s="244" t="s">
        <v>80</v>
      </c>
      <c r="K1" s="639" t="s">
        <v>26</v>
      </c>
      <c r="L1" s="635"/>
      <c r="M1" s="635"/>
      <c r="N1" s="636"/>
      <c r="O1" s="640" t="s">
        <v>243</v>
      </c>
      <c r="P1" s="637"/>
      <c r="Q1" s="637"/>
      <c r="R1" s="637"/>
      <c r="S1" s="638"/>
      <c r="T1" s="243"/>
      <c r="U1" s="243"/>
      <c r="V1" s="243"/>
      <c r="W1" s="243"/>
      <c r="X1" s="243"/>
      <c r="Y1" s="242"/>
      <c r="Z1" s="241" t="s">
        <v>81</v>
      </c>
      <c r="AA1" s="221" t="s">
        <v>52</v>
      </c>
      <c r="AB1" s="211"/>
      <c r="AC1" s="211"/>
      <c r="AD1" s="211"/>
      <c r="AE1" s="258" t="s">
        <v>40</v>
      </c>
      <c r="AF1" s="240"/>
      <c r="AG1" s="222" t="s">
        <v>82</v>
      </c>
      <c r="AH1" s="238"/>
      <c r="AI1" s="239"/>
      <c r="AJ1" s="238"/>
      <c r="AK1" s="205"/>
      <c r="AL1" s="245" t="s">
        <v>0</v>
      </c>
    </row>
    <row r="2" spans="1:38" ht="19.5" customHeight="1">
      <c r="A2" s="180"/>
      <c r="B2" s="237"/>
      <c r="C2" s="236"/>
      <c r="D2" s="237"/>
      <c r="E2" s="236"/>
      <c r="F2" s="237"/>
      <c r="G2" s="235" t="s">
        <v>83</v>
      </c>
      <c r="H2" s="235" t="s">
        <v>84</v>
      </c>
      <c r="I2" s="257" t="s">
        <v>85</v>
      </c>
      <c r="J2" s="235" t="s">
        <v>86</v>
      </c>
      <c r="K2" s="221" t="s">
        <v>32</v>
      </c>
      <c r="L2" s="220" t="s">
        <v>33</v>
      </c>
      <c r="M2" s="219" t="s">
        <v>87</v>
      </c>
      <c r="N2" s="218" t="s">
        <v>88</v>
      </c>
      <c r="O2" s="217" t="s">
        <v>39</v>
      </c>
      <c r="P2" s="217" t="s">
        <v>40</v>
      </c>
      <c r="Q2" s="217" t="s">
        <v>41</v>
      </c>
      <c r="R2" s="217" t="s">
        <v>42</v>
      </c>
      <c r="S2" s="289" t="s">
        <v>43</v>
      </c>
      <c r="T2" s="214" t="s">
        <v>244</v>
      </c>
      <c r="U2" s="214" t="s">
        <v>89</v>
      </c>
      <c r="V2" s="214" t="s">
        <v>90</v>
      </c>
      <c r="W2" s="214" t="s">
        <v>91</v>
      </c>
      <c r="X2" s="214" t="s">
        <v>92</v>
      </c>
      <c r="Y2" s="213" t="s">
        <v>44</v>
      </c>
      <c r="Z2" s="212"/>
      <c r="AA2" s="233" t="s">
        <v>55</v>
      </c>
      <c r="AB2" s="233" t="s">
        <v>46</v>
      </c>
      <c r="AC2" s="234" t="s">
        <v>56</v>
      </c>
      <c r="AD2" s="288" t="s">
        <v>46</v>
      </c>
      <c r="AE2" s="232" t="s">
        <v>56</v>
      </c>
      <c r="AF2" s="231" t="s">
        <v>46</v>
      </c>
      <c r="AG2" s="256" t="s">
        <v>93</v>
      </c>
      <c r="AH2" s="229" t="s">
        <v>94</v>
      </c>
      <c r="AI2" s="230" t="s">
        <v>95</v>
      </c>
      <c r="AJ2" s="229" t="s">
        <v>96</v>
      </c>
      <c r="AK2" s="228" t="s">
        <v>97</v>
      </c>
      <c r="AL2" s="237"/>
    </row>
    <row r="3" spans="1:38" ht="19.5" customHeight="1">
      <c r="A3" s="180"/>
      <c r="B3" s="498">
        <v>1</v>
      </c>
      <c r="C3" s="410" t="s">
        <v>98</v>
      </c>
      <c r="D3" s="479">
        <v>43531</v>
      </c>
      <c r="E3" s="497">
        <v>1440</v>
      </c>
      <c r="F3" s="400">
        <v>20</v>
      </c>
      <c r="G3" s="184">
        <v>107.07199999999999</v>
      </c>
      <c r="H3" s="184">
        <v>0.64249999999999996</v>
      </c>
      <c r="I3" s="184">
        <v>297.2385807</v>
      </c>
      <c r="J3" s="184">
        <f t="shared" ref="J3:J22" si="0">I3-273.16</f>
        <v>24.078580699999975</v>
      </c>
      <c r="K3" s="253">
        <v>0.33891868275664772</v>
      </c>
      <c r="L3" s="251">
        <v>0</v>
      </c>
      <c r="M3" s="388">
        <v>1.1311706736476184</v>
      </c>
      <c r="N3" s="389">
        <v>3.9094493640724668</v>
      </c>
      <c r="O3" s="388">
        <v>9.2122140680503714E-2</v>
      </c>
      <c r="P3" s="388">
        <v>0.83437375374182587</v>
      </c>
      <c r="Q3" s="388">
        <v>4.7424151018452675E-2</v>
      </c>
      <c r="R3" s="388">
        <v>1.2876239761491188</v>
      </c>
      <c r="S3" s="389">
        <v>0.1334553656680369</v>
      </c>
      <c r="T3" s="450">
        <f t="shared" ref="T3:T22" si="1">L3/M3</f>
        <v>0</v>
      </c>
      <c r="U3" s="388">
        <f t="shared" ref="U3:U22" si="2">K3/O3</f>
        <v>3.6790144068848676</v>
      </c>
      <c r="V3" s="388">
        <f t="shared" ref="V3:V22" si="3">M3/N3</f>
        <v>0.28934271001000506</v>
      </c>
      <c r="W3" s="388">
        <f t="shared" ref="W3:W22" si="4">SUM(K3:S3)</f>
        <v>7.7745381077346698</v>
      </c>
      <c r="X3" s="387">
        <f t="shared" ref="X3:X22" si="5">W3/G3</f>
        <v>7.2610375333744315E-2</v>
      </c>
      <c r="Y3" s="390">
        <f t="shared" ref="Y3:Y22" si="6">(M3/62+L3/46+N3/96*2+K3/35)/(P3/18+S3/39+O3/23+Q3/24*2+R3/40*2)</f>
        <v>0.89567491681978562</v>
      </c>
      <c r="Z3" s="479" t="s">
        <v>99</v>
      </c>
      <c r="AA3" s="251">
        <v>64.840215543827867</v>
      </c>
      <c r="AB3" s="251">
        <v>0.19990075760236403</v>
      </c>
      <c r="AC3" s="251">
        <v>0.67430843316147693</v>
      </c>
      <c r="AD3" s="393">
        <v>0.19614416277550126</v>
      </c>
      <c r="AE3" s="251">
        <v>21.382728089731501</v>
      </c>
      <c r="AF3" s="393">
        <v>0.34128541882860686</v>
      </c>
      <c r="AG3" s="409">
        <v>36.369999999999997</v>
      </c>
      <c r="AH3" s="191">
        <v>34.275489730683688</v>
      </c>
      <c r="AI3" s="226">
        <v>2.38575584753015E-2</v>
      </c>
      <c r="AJ3" s="191">
        <v>33.457760230164304</v>
      </c>
      <c r="AK3" s="287">
        <v>-12.0750321404328</v>
      </c>
      <c r="AL3" s="498">
        <v>1</v>
      </c>
    </row>
    <row r="4" spans="1:38" ht="19.5" customHeight="1">
      <c r="A4" s="180"/>
      <c r="B4" s="496">
        <v>2</v>
      </c>
      <c r="C4" s="396" t="s">
        <v>100</v>
      </c>
      <c r="D4" s="457">
        <v>43541</v>
      </c>
      <c r="E4" s="293">
        <v>1500</v>
      </c>
      <c r="F4" s="319">
        <v>20</v>
      </c>
      <c r="G4" s="184">
        <v>97.944000000000031</v>
      </c>
      <c r="H4" s="184">
        <v>0.59750000000000003</v>
      </c>
      <c r="I4" s="184">
        <v>301.66936679999998</v>
      </c>
      <c r="J4" s="184">
        <f t="shared" si="0"/>
        <v>28.509366799999952</v>
      </c>
      <c r="K4" s="253">
        <v>0.48412610403641393</v>
      </c>
      <c r="L4" s="251">
        <v>0.16821682552437808</v>
      </c>
      <c r="M4" s="388">
        <v>2.0657826484377853</v>
      </c>
      <c r="N4" s="389">
        <v>13.595505628093047</v>
      </c>
      <c r="O4" s="388">
        <v>0.10528244649200424</v>
      </c>
      <c r="P4" s="388">
        <v>0.3822303511356735</v>
      </c>
      <c r="Q4" s="388">
        <v>0.19897736925985626</v>
      </c>
      <c r="R4" s="388">
        <v>8.14432579339827</v>
      </c>
      <c r="S4" s="389">
        <v>0.10208872962885748</v>
      </c>
      <c r="T4" s="450">
        <f>L4/M4</f>
        <v>8.1430069930923929E-2</v>
      </c>
      <c r="U4" s="388">
        <f t="shared" si="2"/>
        <v>4.5983553780086339</v>
      </c>
      <c r="V4" s="388">
        <f t="shared" si="3"/>
        <v>0.15194599634228823</v>
      </c>
      <c r="W4" s="388">
        <f t="shared" si="4"/>
        <v>25.246535896006289</v>
      </c>
      <c r="X4" s="387">
        <f t="shared" si="5"/>
        <v>0.25776500751456222</v>
      </c>
      <c r="Y4" s="390">
        <f t="shared" si="6"/>
        <v>0.73867142454904211</v>
      </c>
      <c r="Z4" s="457" t="s">
        <v>101</v>
      </c>
      <c r="AA4" s="251">
        <v>59.965591235358666</v>
      </c>
      <c r="AB4" s="251">
        <v>0.14295416671983568</v>
      </c>
      <c r="AC4" s="251">
        <v>0.64879581770807404</v>
      </c>
      <c r="AD4" s="393">
        <v>0.12328237272050449</v>
      </c>
      <c r="AE4" s="251">
        <v>31.319909925341847</v>
      </c>
      <c r="AF4" s="393">
        <v>0.20173162706908312</v>
      </c>
      <c r="AG4" s="395">
        <v>34.35</v>
      </c>
      <c r="AH4" s="184">
        <v>33.65941382950524</v>
      </c>
      <c r="AI4" s="224">
        <v>1.1715901279501234E-2</v>
      </c>
      <c r="AJ4" s="184">
        <v>33.265063459952877</v>
      </c>
      <c r="AK4" s="247">
        <v>-1.9451535346110305</v>
      </c>
      <c r="AL4" s="496">
        <v>2</v>
      </c>
    </row>
    <row r="5" spans="1:38" ht="19.5" customHeight="1">
      <c r="A5" s="180"/>
      <c r="B5" s="496">
        <v>3</v>
      </c>
      <c r="C5" s="396" t="s">
        <v>102</v>
      </c>
      <c r="D5" s="457">
        <v>43551</v>
      </c>
      <c r="E5" s="293">
        <v>1500</v>
      </c>
      <c r="F5" s="319">
        <v>20</v>
      </c>
      <c r="G5" s="184">
        <v>112.0692307692308</v>
      </c>
      <c r="H5" s="184">
        <v>0.56374999999999997</v>
      </c>
      <c r="I5" s="184">
        <v>299.76159100000001</v>
      </c>
      <c r="J5" s="184">
        <f t="shared" si="0"/>
        <v>26.601590999999985</v>
      </c>
      <c r="K5" s="253">
        <v>0.8496291486114429</v>
      </c>
      <c r="L5" s="251">
        <v>6.575298856526425E-2</v>
      </c>
      <c r="M5" s="388">
        <v>2.0744334212565811</v>
      </c>
      <c r="N5" s="389">
        <v>4.3433304495649008</v>
      </c>
      <c r="O5" s="388">
        <v>0.16778831593659052</v>
      </c>
      <c r="P5" s="388">
        <v>0.58236304274254769</v>
      </c>
      <c r="Q5" s="388">
        <v>7.331580864079941E-2</v>
      </c>
      <c r="R5" s="388">
        <v>2.0724951808353955</v>
      </c>
      <c r="S5" s="389">
        <v>0.34761969274348092</v>
      </c>
      <c r="T5" s="450">
        <f t="shared" si="1"/>
        <v>3.1696842082998548E-2</v>
      </c>
      <c r="U5" s="388">
        <f t="shared" si="2"/>
        <v>5.063696741151686</v>
      </c>
      <c r="V5" s="388">
        <f t="shared" si="3"/>
        <v>0.47761353766310605</v>
      </c>
      <c r="W5" s="388">
        <f t="shared" si="4"/>
        <v>10.576728048897001</v>
      </c>
      <c r="X5" s="387">
        <f t="shared" si="5"/>
        <v>9.4376734597886591E-2</v>
      </c>
      <c r="Y5" s="390">
        <f t="shared" si="6"/>
        <v>0.94537338290143635</v>
      </c>
      <c r="Z5" s="457" t="s">
        <v>99</v>
      </c>
      <c r="AA5" s="251">
        <v>67.693130921389795</v>
      </c>
      <c r="AB5" s="251">
        <v>0.15063266105503734</v>
      </c>
      <c r="AC5" s="251">
        <v>2.5932174153384793</v>
      </c>
      <c r="AD5" s="393">
        <v>0.14883132420474834</v>
      </c>
      <c r="AE5" s="251">
        <v>17.784478842617897</v>
      </c>
      <c r="AF5" s="393">
        <v>0.36967822185126253</v>
      </c>
      <c r="AG5" s="395">
        <v>48.5</v>
      </c>
      <c r="AH5" s="184">
        <v>33.92244666437422</v>
      </c>
      <c r="AI5" s="224">
        <v>1.2630692401260061E-2</v>
      </c>
      <c r="AJ5" s="184">
        <v>33.493982675058362</v>
      </c>
      <c r="AK5" s="247">
        <v>-15.709503832440465</v>
      </c>
      <c r="AL5" s="496">
        <v>3</v>
      </c>
    </row>
    <row r="6" spans="1:38" ht="19.5" customHeight="1">
      <c r="A6" s="180"/>
      <c r="B6" s="496">
        <v>4</v>
      </c>
      <c r="C6" s="396" t="s">
        <v>103</v>
      </c>
      <c r="D6" s="457">
        <v>43561</v>
      </c>
      <c r="E6" s="293">
        <v>1470</v>
      </c>
      <c r="F6" s="319">
        <v>20</v>
      </c>
      <c r="G6" s="184">
        <v>61.113636363636353</v>
      </c>
      <c r="H6" s="184">
        <v>0.70750000000000002</v>
      </c>
      <c r="I6" s="184">
        <v>300.96303749999998</v>
      </c>
      <c r="J6" s="184">
        <f t="shared" si="0"/>
        <v>27.803037499999959</v>
      </c>
      <c r="K6" s="253">
        <v>0.31655521938300585</v>
      </c>
      <c r="L6" s="251">
        <v>0</v>
      </c>
      <c r="M6" s="388">
        <v>0.55417507697927082</v>
      </c>
      <c r="N6" s="389">
        <v>6.0229409492673156</v>
      </c>
      <c r="O6" s="388">
        <v>0.15645609624145115</v>
      </c>
      <c r="P6" s="388">
        <v>0.74474073640051053</v>
      </c>
      <c r="Q6" s="388">
        <v>7.9353896834130258E-2</v>
      </c>
      <c r="R6" s="388">
        <v>1.8434963324566378</v>
      </c>
      <c r="S6" s="389">
        <v>0.14442443806736815</v>
      </c>
      <c r="T6" s="450">
        <f t="shared" si="1"/>
        <v>0</v>
      </c>
      <c r="U6" s="388">
        <f t="shared" si="2"/>
        <v>2.0232846593237341</v>
      </c>
      <c r="V6" s="388">
        <f t="shared" si="3"/>
        <v>9.2010710655678202E-2</v>
      </c>
      <c r="W6" s="388">
        <f t="shared" si="4"/>
        <v>9.86214274562969</v>
      </c>
      <c r="X6" s="387">
        <f t="shared" si="5"/>
        <v>0.1613738493148778</v>
      </c>
      <c r="Y6" s="390">
        <f t="shared" si="6"/>
        <v>0.95216576129071617</v>
      </c>
      <c r="Z6" s="457" t="s">
        <v>99</v>
      </c>
      <c r="AA6" s="251">
        <v>62.673456822998077</v>
      </c>
      <c r="AB6" s="251">
        <v>4.1337126181341104E-2</v>
      </c>
      <c r="AC6" s="251">
        <v>1.1827527616068603</v>
      </c>
      <c r="AD6" s="393">
        <v>0.10159632270410646</v>
      </c>
      <c r="AE6" s="251">
        <v>19.884222152137454</v>
      </c>
      <c r="AF6" s="393">
        <v>0.25294584588106572</v>
      </c>
      <c r="AG6" s="395">
        <v>68.709999999999994</v>
      </c>
      <c r="AH6" s="184">
        <v>33.756409572910599</v>
      </c>
      <c r="AI6" s="224">
        <v>1.1415486687405241E-2</v>
      </c>
      <c r="AJ6" s="184">
        <v>33.371063728816438</v>
      </c>
      <c r="AK6" s="247">
        <v>-13.486841576678984</v>
      </c>
      <c r="AL6" s="496">
        <v>4</v>
      </c>
    </row>
    <row r="7" spans="1:38" ht="19.5" customHeight="1">
      <c r="A7" s="180"/>
      <c r="B7" s="496">
        <v>5</v>
      </c>
      <c r="C7" s="396" t="s">
        <v>104</v>
      </c>
      <c r="D7" s="457">
        <v>43571</v>
      </c>
      <c r="E7" s="293">
        <v>1445</v>
      </c>
      <c r="F7" s="319">
        <v>20</v>
      </c>
      <c r="G7" s="184">
        <v>53.951999999999998</v>
      </c>
      <c r="H7" s="184">
        <v>0.61937500000000001</v>
      </c>
      <c r="I7" s="184">
        <v>304.43551059999999</v>
      </c>
      <c r="J7" s="184">
        <f t="shared" si="0"/>
        <v>31.275510599999961</v>
      </c>
      <c r="K7" s="253">
        <v>0.41248278867136967</v>
      </c>
      <c r="L7" s="251">
        <v>0</v>
      </c>
      <c r="M7" s="388">
        <v>0.90284479948167173</v>
      </c>
      <c r="N7" s="389">
        <v>5.038491541259642</v>
      </c>
      <c r="O7" s="388">
        <v>0.14876272958870213</v>
      </c>
      <c r="P7" s="388">
        <v>0.52706715807579652</v>
      </c>
      <c r="Q7" s="388">
        <v>7.0512821305337536E-2</v>
      </c>
      <c r="R7" s="388">
        <v>1.7587833608988097</v>
      </c>
      <c r="S7" s="389">
        <v>0.20758922663999257</v>
      </c>
      <c r="T7" s="450">
        <f t="shared" si="1"/>
        <v>0</v>
      </c>
      <c r="U7" s="388">
        <f t="shared" si="2"/>
        <v>2.7727562529391498</v>
      </c>
      <c r="V7" s="388">
        <f t="shared" si="3"/>
        <v>0.17918950386010912</v>
      </c>
      <c r="W7" s="388">
        <f t="shared" si="4"/>
        <v>9.0665344259213221</v>
      </c>
      <c r="X7" s="387">
        <f t="shared" si="5"/>
        <v>0.16804816180903992</v>
      </c>
      <c r="Y7" s="390">
        <f t="shared" si="6"/>
        <v>0.97352103228189391</v>
      </c>
      <c r="Z7" s="457" t="s">
        <v>105</v>
      </c>
      <c r="AA7" s="251">
        <v>54.958762747797074</v>
      </c>
      <c r="AB7" s="251">
        <v>0.97952222627323693</v>
      </c>
      <c r="AC7" s="251">
        <v>0.65183315745453407</v>
      </c>
      <c r="AD7" s="393">
        <v>0.47685202268992416</v>
      </c>
      <c r="AE7" s="251">
        <v>18.420735141166208</v>
      </c>
      <c r="AF7" s="393">
        <v>0.25048774065020274</v>
      </c>
      <c r="AG7" s="395">
        <v>51.53</v>
      </c>
      <c r="AH7" s="184">
        <v>33.283889516890795</v>
      </c>
      <c r="AI7" s="224">
        <v>1.0779396195695422E-2</v>
      </c>
      <c r="AJ7" s="184">
        <v>32.925109284854472</v>
      </c>
      <c r="AK7" s="247">
        <v>-14.504374143688263</v>
      </c>
      <c r="AL7" s="496">
        <v>5</v>
      </c>
    </row>
    <row r="8" spans="1:38" ht="19.5" customHeight="1">
      <c r="A8" s="180"/>
      <c r="B8" s="500">
        <v>6</v>
      </c>
      <c r="C8" s="396" t="s">
        <v>106</v>
      </c>
      <c r="D8" s="457">
        <v>43581</v>
      </c>
      <c r="E8" s="293">
        <v>1445</v>
      </c>
      <c r="F8" s="319">
        <v>20</v>
      </c>
      <c r="G8" s="184">
        <v>63.356000000000016</v>
      </c>
      <c r="H8" s="184">
        <v>0.62937500000000002</v>
      </c>
      <c r="I8" s="184">
        <v>305.74114229999998</v>
      </c>
      <c r="J8" s="184">
        <f t="shared" si="0"/>
        <v>32.581142299999954</v>
      </c>
      <c r="K8" s="253">
        <v>0.22082029457118127</v>
      </c>
      <c r="L8" s="251">
        <v>0.37779451513046763</v>
      </c>
      <c r="M8" s="388">
        <v>0.6471085739061988</v>
      </c>
      <c r="N8" s="389">
        <v>7.3748256551338764</v>
      </c>
      <c r="O8" s="388">
        <v>0.20051023719446071</v>
      </c>
      <c r="P8" s="388">
        <v>0.54350613307449469</v>
      </c>
      <c r="Q8" s="388">
        <v>0.15789565803828942</v>
      </c>
      <c r="R8" s="388">
        <v>3.1893512224972902</v>
      </c>
      <c r="S8" s="389">
        <v>0.12595422453744876</v>
      </c>
      <c r="T8" s="450">
        <f t="shared" si="1"/>
        <v>0.58381936256840661</v>
      </c>
      <c r="U8" s="388">
        <f t="shared" si="2"/>
        <v>1.1012918724794249</v>
      </c>
      <c r="V8" s="388">
        <f t="shared" si="3"/>
        <v>8.7745609749529968E-2</v>
      </c>
      <c r="W8" s="388">
        <f t="shared" si="4"/>
        <v>12.837766514083707</v>
      </c>
      <c r="X8" s="387">
        <f t="shared" si="5"/>
        <v>0.20262905666525197</v>
      </c>
      <c r="Y8" s="390">
        <f t="shared" si="6"/>
        <v>0.83160303153934823</v>
      </c>
      <c r="Z8" s="457" t="s">
        <v>99</v>
      </c>
      <c r="AA8" s="251">
        <v>24.377326931955583</v>
      </c>
      <c r="AB8" s="251">
        <v>0.36607917037129362</v>
      </c>
      <c r="AC8" s="251">
        <v>-4.541466867816399</v>
      </c>
      <c r="AD8" s="393">
        <v>0.27151770910195633</v>
      </c>
      <c r="AE8" s="251">
        <v>22.62298800957522</v>
      </c>
      <c r="AF8" s="393">
        <v>4.389913921778589E-2</v>
      </c>
      <c r="AG8" s="395">
        <v>52.54</v>
      </c>
      <c r="AH8" s="184">
        <v>33.109000989781222</v>
      </c>
      <c r="AI8" s="224">
        <v>1.0900584696600157E-2</v>
      </c>
      <c r="AJ8" s="184">
        <v>32.748093520272292</v>
      </c>
      <c r="AK8" s="247">
        <v>-10.125105510697072</v>
      </c>
      <c r="AL8" s="500">
        <v>6</v>
      </c>
    </row>
    <row r="9" spans="1:38" ht="19.5" customHeight="1">
      <c r="A9" s="180"/>
      <c r="B9" s="496">
        <v>7</v>
      </c>
      <c r="C9" s="396" t="s">
        <v>107</v>
      </c>
      <c r="D9" s="457">
        <v>43591</v>
      </c>
      <c r="E9" s="293">
        <v>1500</v>
      </c>
      <c r="F9" s="319">
        <v>30</v>
      </c>
      <c r="G9" s="184">
        <v>53.496000000000002</v>
      </c>
      <c r="H9" s="184">
        <v>0.67</v>
      </c>
      <c r="I9" s="184">
        <v>303.65844149999998</v>
      </c>
      <c r="J9" s="184">
        <f t="shared" si="0"/>
        <v>30.498441499999956</v>
      </c>
      <c r="K9" s="253">
        <v>0.18940441551736728</v>
      </c>
      <c r="L9" s="251">
        <v>0</v>
      </c>
      <c r="M9" s="388">
        <v>0.41449141088595476</v>
      </c>
      <c r="N9" s="389">
        <v>6.277254495960598</v>
      </c>
      <c r="O9" s="388">
        <v>0.17189619700286221</v>
      </c>
      <c r="P9" s="388">
        <v>0.76570232335405575</v>
      </c>
      <c r="Q9" s="388">
        <v>0.10713950261384282</v>
      </c>
      <c r="R9" s="388">
        <v>2.1499138960611948</v>
      </c>
      <c r="S9" s="389">
        <v>0.15134619395517798</v>
      </c>
      <c r="T9" s="450">
        <f t="shared" si="1"/>
        <v>0</v>
      </c>
      <c r="U9" s="388">
        <f t="shared" si="2"/>
        <v>1.1018534372474427</v>
      </c>
      <c r="V9" s="388">
        <f t="shared" si="3"/>
        <v>6.6030684458098551E-2</v>
      </c>
      <c r="W9" s="388">
        <f t="shared" si="4"/>
        <v>10.227148435351054</v>
      </c>
      <c r="X9" s="387">
        <f t="shared" si="5"/>
        <v>0.19117594652592818</v>
      </c>
      <c r="Y9" s="390">
        <f t="shared" si="6"/>
        <v>0.83886329450997499</v>
      </c>
      <c r="Z9" s="457" t="s">
        <v>99</v>
      </c>
      <c r="AA9" s="251">
        <v>64.365229787630042</v>
      </c>
      <c r="AB9" s="251">
        <v>0.3267628603426288</v>
      </c>
      <c r="AC9" s="251">
        <v>3.4542524561041872</v>
      </c>
      <c r="AD9" s="393">
        <v>0.72906985415148873</v>
      </c>
      <c r="AE9" s="251">
        <v>19.275977148740846</v>
      </c>
      <c r="AF9" s="393">
        <v>6.3194286870947719E-2</v>
      </c>
      <c r="AG9" s="395">
        <v>74.77</v>
      </c>
      <c r="AH9" s="184">
        <v>33.388691330688701</v>
      </c>
      <c r="AI9" s="224">
        <v>1.0792337638990807E-2</v>
      </c>
      <c r="AJ9" s="184">
        <v>33.028349300523864</v>
      </c>
      <c r="AK9" s="247">
        <v>-13.752372151783018</v>
      </c>
      <c r="AL9" s="496">
        <v>7</v>
      </c>
    </row>
    <row r="10" spans="1:38" ht="19.5" customHeight="1">
      <c r="A10" s="180"/>
      <c r="B10" s="496">
        <v>8</v>
      </c>
      <c r="C10" s="396" t="s">
        <v>108</v>
      </c>
      <c r="D10" s="457">
        <v>43601</v>
      </c>
      <c r="E10" s="293">
        <v>1440</v>
      </c>
      <c r="F10" s="319">
        <v>50</v>
      </c>
      <c r="G10" s="184">
        <v>44.615384615384613</v>
      </c>
      <c r="H10" s="184">
        <v>0.72750000000000004</v>
      </c>
      <c r="I10" s="184">
        <v>304.26171299999999</v>
      </c>
      <c r="J10" s="184">
        <f t="shared" si="0"/>
        <v>31.101712999999961</v>
      </c>
      <c r="K10" s="253">
        <v>1.0613309253614365</v>
      </c>
      <c r="L10" s="251">
        <v>0.34242019101594723</v>
      </c>
      <c r="M10" s="388">
        <v>1.757399022965721</v>
      </c>
      <c r="N10" s="389">
        <v>12.973625546963321</v>
      </c>
      <c r="O10" s="388">
        <v>0.52779047539591661</v>
      </c>
      <c r="P10" s="388">
        <v>1.0343621338895979</v>
      </c>
      <c r="Q10" s="388">
        <v>0.23133928564714912</v>
      </c>
      <c r="R10" s="388">
        <v>5.2204166867009167</v>
      </c>
      <c r="S10" s="389">
        <v>0.61370295035669797</v>
      </c>
      <c r="T10" s="450">
        <f t="shared" si="1"/>
        <v>0.1948448738967043</v>
      </c>
      <c r="U10" s="388">
        <f t="shared" si="2"/>
        <v>2.0108944265530559</v>
      </c>
      <c r="V10" s="388">
        <f t="shared" si="3"/>
        <v>0.13545936073182471</v>
      </c>
      <c r="W10" s="388">
        <f t="shared" si="4"/>
        <v>23.762387218296702</v>
      </c>
      <c r="X10" s="387">
        <f t="shared" si="5"/>
        <v>0.53260523075492605</v>
      </c>
      <c r="Y10" s="390">
        <f t="shared" si="6"/>
        <v>0.89360950890767998</v>
      </c>
      <c r="Z10" s="457" t="s">
        <v>109</v>
      </c>
      <c r="AA10" s="251">
        <v>44.472998316507528</v>
      </c>
      <c r="AB10" s="251">
        <v>0.26962133825688511</v>
      </c>
      <c r="AC10" s="251">
        <v>-0.37692387629891666</v>
      </c>
      <c r="AD10" s="393">
        <v>0.16992205065337829</v>
      </c>
      <c r="AE10" s="251">
        <v>21.301059511699705</v>
      </c>
      <c r="AF10" s="393">
        <v>3.6920886773491611E-2</v>
      </c>
      <c r="AG10" s="395">
        <v>49.51</v>
      </c>
      <c r="AH10" s="184">
        <v>33.30728278977638</v>
      </c>
      <c r="AI10" s="224">
        <v>1.3694077966854913E-2</v>
      </c>
      <c r="AJ10" s="184">
        <v>32.851170262389097</v>
      </c>
      <c r="AK10" s="247">
        <v>-11.550110750689392</v>
      </c>
      <c r="AL10" s="496">
        <v>8</v>
      </c>
    </row>
    <row r="11" spans="1:38" ht="19.5" customHeight="1">
      <c r="A11" s="180"/>
      <c r="B11" s="496">
        <v>9</v>
      </c>
      <c r="C11" s="396" t="s">
        <v>110</v>
      </c>
      <c r="D11" s="457">
        <v>43611</v>
      </c>
      <c r="E11" s="293">
        <v>1440</v>
      </c>
      <c r="F11" s="319">
        <v>20</v>
      </c>
      <c r="G11" s="184">
        <v>37.973913043478255</v>
      </c>
      <c r="H11" s="184">
        <v>0.76249999999999996</v>
      </c>
      <c r="I11" s="184">
        <v>302.34093669999999</v>
      </c>
      <c r="J11" s="184">
        <f t="shared" si="0"/>
        <v>29.180936699999961</v>
      </c>
      <c r="K11" s="253">
        <v>1.2977438121704752</v>
      </c>
      <c r="L11" s="251">
        <v>0.70579945635917807</v>
      </c>
      <c r="M11" s="388">
        <v>1.2141195395999973</v>
      </c>
      <c r="N11" s="389">
        <v>5.6020779104805962</v>
      </c>
      <c r="O11" s="388">
        <v>0.23276460076704475</v>
      </c>
      <c r="P11" s="388">
        <v>0.44414776770994707</v>
      </c>
      <c r="Q11" s="388">
        <v>6.6460901294648531E-2</v>
      </c>
      <c r="R11" s="388">
        <v>1.7128666896092763</v>
      </c>
      <c r="S11" s="389">
        <v>0.32817237839918967</v>
      </c>
      <c r="T11" s="450">
        <f t="shared" si="1"/>
        <v>0.58132616545460603</v>
      </c>
      <c r="U11" s="388">
        <f t="shared" si="2"/>
        <v>5.5753486908831205</v>
      </c>
      <c r="V11" s="388">
        <f t="shared" si="3"/>
        <v>0.21672664304232059</v>
      </c>
      <c r="W11" s="388">
        <f t="shared" si="4"/>
        <v>11.604153056390352</v>
      </c>
      <c r="X11" s="387">
        <f t="shared" si="5"/>
        <v>0.30558223070411972</v>
      </c>
      <c r="Y11" s="390">
        <f t="shared" si="6"/>
        <v>1.4042137884622297</v>
      </c>
      <c r="Z11" s="457" t="s">
        <v>99</v>
      </c>
      <c r="AA11" s="251">
        <v>58.787705906701603</v>
      </c>
      <c r="AB11" s="251">
        <v>0.55543209053797227</v>
      </c>
      <c r="AC11" s="251">
        <v>2.5547148822712455</v>
      </c>
      <c r="AD11" s="393">
        <v>0.20226517020488954</v>
      </c>
      <c r="AE11" s="251">
        <v>17.227248343949668</v>
      </c>
      <c r="AF11" s="393">
        <v>0.31257480923728848</v>
      </c>
      <c r="AG11" s="395">
        <v>103.9</v>
      </c>
      <c r="AH11" s="184">
        <v>33.56761167290253</v>
      </c>
      <c r="AI11" s="224">
        <v>4.5335045037117605E-3</v>
      </c>
      <c r="AJ11" s="184">
        <v>33.415432754204573</v>
      </c>
      <c r="AK11" s="247">
        <v>-16.188184410254905</v>
      </c>
      <c r="AL11" s="496">
        <v>9</v>
      </c>
    </row>
    <row r="12" spans="1:38" ht="19.5" customHeight="1">
      <c r="A12" s="180"/>
      <c r="B12" s="494">
        <v>10</v>
      </c>
      <c r="C12" s="396" t="s">
        <v>111</v>
      </c>
      <c r="D12" s="457">
        <v>43621</v>
      </c>
      <c r="E12" s="293">
        <v>1440</v>
      </c>
      <c r="F12" s="319">
        <v>20</v>
      </c>
      <c r="G12" s="184">
        <v>36.076572327044069</v>
      </c>
      <c r="H12" s="184">
        <v>0.79249999999999998</v>
      </c>
      <c r="I12" s="184">
        <v>300.91552159999998</v>
      </c>
      <c r="J12" s="184">
        <f t="shared" si="0"/>
        <v>27.755521599999952</v>
      </c>
      <c r="K12" s="253">
        <v>0.60748905810096898</v>
      </c>
      <c r="L12" s="251">
        <v>4.4373372174169583E-2</v>
      </c>
      <c r="M12" s="388">
        <v>1.0837191771732104</v>
      </c>
      <c r="N12" s="389">
        <v>4.2792221517766773</v>
      </c>
      <c r="O12" s="388">
        <v>0.13840919607004398</v>
      </c>
      <c r="P12" s="388">
        <v>0.24428939788569062</v>
      </c>
      <c r="Q12" s="388">
        <v>5.9402488013092794E-2</v>
      </c>
      <c r="R12" s="388">
        <v>1.9851788552196781</v>
      </c>
      <c r="S12" s="389">
        <v>0.20779345215231199</v>
      </c>
      <c r="T12" s="450">
        <f t="shared" si="1"/>
        <v>4.0945452575559066E-2</v>
      </c>
      <c r="U12" s="388">
        <f t="shared" si="2"/>
        <v>4.3890801720540322</v>
      </c>
      <c r="V12" s="388">
        <f t="shared" si="3"/>
        <v>0.25325144120486109</v>
      </c>
      <c r="W12" s="388">
        <f t="shared" si="4"/>
        <v>8.6498771485658441</v>
      </c>
      <c r="X12" s="387">
        <f t="shared" si="5"/>
        <v>0.23976438421456242</v>
      </c>
      <c r="Y12" s="390">
        <f t="shared" si="6"/>
        <v>0.96766476092347697</v>
      </c>
      <c r="Z12" s="457" t="s">
        <v>99</v>
      </c>
      <c r="AA12" s="251">
        <v>56.124134925350283</v>
      </c>
      <c r="AB12" s="251">
        <v>0.40902954022581067</v>
      </c>
      <c r="AC12" s="251">
        <v>6.221659370882759</v>
      </c>
      <c r="AD12" s="393">
        <v>0.37195940584898857</v>
      </c>
      <c r="AE12" s="251">
        <v>16.963292169770757</v>
      </c>
      <c r="AF12" s="393">
        <v>0.12027569022142522</v>
      </c>
      <c r="AG12" s="395">
        <v>22.23</v>
      </c>
      <c r="AH12" s="184">
        <v>33.762950977864406</v>
      </c>
      <c r="AI12" s="224">
        <v>8.0439699294787888E-3</v>
      </c>
      <c r="AJ12" s="184">
        <v>33.491362815468001</v>
      </c>
      <c r="AK12" s="247">
        <v>-16.528070645697245</v>
      </c>
      <c r="AL12" s="494">
        <v>10</v>
      </c>
    </row>
    <row r="13" spans="1:38" ht="19.5" customHeight="1">
      <c r="A13" s="180"/>
      <c r="B13" s="494">
        <v>11</v>
      </c>
      <c r="C13" s="396" t="s">
        <v>112</v>
      </c>
      <c r="D13" s="457">
        <v>43631</v>
      </c>
      <c r="E13" s="293">
        <v>1440</v>
      </c>
      <c r="F13" s="319">
        <v>20</v>
      </c>
      <c r="G13" s="184">
        <v>40.49199999999999</v>
      </c>
      <c r="H13" s="184">
        <v>0.76437500000000003</v>
      </c>
      <c r="I13" s="184">
        <v>302.25844760000001</v>
      </c>
      <c r="J13" s="184">
        <f t="shared" si="0"/>
        <v>29.098447599999986</v>
      </c>
      <c r="K13" s="253">
        <v>0.53845851437215875</v>
      </c>
      <c r="L13" s="251">
        <v>0.26701328830937587</v>
      </c>
      <c r="M13" s="388">
        <v>0.70374219386660486</v>
      </c>
      <c r="N13" s="389">
        <v>3.8725931458727736</v>
      </c>
      <c r="O13" s="388">
        <v>9.82104437730969E-2</v>
      </c>
      <c r="P13" s="388">
        <v>0.33256640755273903</v>
      </c>
      <c r="Q13" s="388">
        <v>5.8563864652907964E-2</v>
      </c>
      <c r="R13" s="388">
        <v>1.399164144114702</v>
      </c>
      <c r="S13" s="389">
        <v>0.17752002326731312</v>
      </c>
      <c r="T13" s="450">
        <f t="shared" si="1"/>
        <v>0.37941918309929923</v>
      </c>
      <c r="U13" s="388">
        <f t="shared" si="2"/>
        <v>5.4827011638008747</v>
      </c>
      <c r="V13" s="388">
        <f t="shared" si="3"/>
        <v>0.18172376166513127</v>
      </c>
      <c r="W13" s="388">
        <f t="shared" si="4"/>
        <v>7.4478320257816719</v>
      </c>
      <c r="X13" s="387">
        <f t="shared" si="5"/>
        <v>0.1839334195836628</v>
      </c>
      <c r="Y13" s="390">
        <f t="shared" si="6"/>
        <v>1.1085081344446555</v>
      </c>
      <c r="Z13" s="457" t="s">
        <v>99</v>
      </c>
      <c r="AA13" s="251">
        <v>31.91663147229168</v>
      </c>
      <c r="AB13" s="251">
        <v>0.30988962057070746</v>
      </c>
      <c r="AC13" s="251">
        <v>-0.73254545361626933</v>
      </c>
      <c r="AD13" s="393">
        <v>0.42550864435648661</v>
      </c>
      <c r="AE13" s="251">
        <v>17.294154654688711</v>
      </c>
      <c r="AF13" s="393">
        <v>0.24512644084742422</v>
      </c>
      <c r="AG13" s="395">
        <v>32.33</v>
      </c>
      <c r="AH13" s="184">
        <v>33.578865778621363</v>
      </c>
      <c r="AI13" s="224">
        <v>3.9408475294199713E-3</v>
      </c>
      <c r="AJ13" s="184">
        <v>33.446536588376958</v>
      </c>
      <c r="AK13" s="247">
        <v>-16.152381933688247</v>
      </c>
      <c r="AL13" s="494">
        <v>11</v>
      </c>
    </row>
    <row r="14" spans="1:38" ht="19.5" customHeight="1">
      <c r="A14" s="180"/>
      <c r="B14" s="494">
        <v>12</v>
      </c>
      <c r="C14" s="396" t="s">
        <v>113</v>
      </c>
      <c r="D14" s="457">
        <v>43641</v>
      </c>
      <c r="E14" s="293">
        <v>2165</v>
      </c>
      <c r="F14" s="319">
        <v>20</v>
      </c>
      <c r="G14" s="184">
        <v>19.192000000000004</v>
      </c>
      <c r="H14" s="184">
        <v>0.77</v>
      </c>
      <c r="I14" s="184">
        <v>302.8157291</v>
      </c>
      <c r="J14" s="184">
        <f t="shared" si="0"/>
        <v>29.655729099999974</v>
      </c>
      <c r="K14" s="253">
        <v>0.13552692652778167</v>
      </c>
      <c r="L14" s="251">
        <v>0.33952587210618962</v>
      </c>
      <c r="M14" s="388">
        <v>0.39768004160667314</v>
      </c>
      <c r="N14" s="389">
        <v>3.180799240029645</v>
      </c>
      <c r="O14" s="388">
        <v>0.23459906763773875</v>
      </c>
      <c r="P14" s="388">
        <v>0.39607645059007784</v>
      </c>
      <c r="Q14" s="388">
        <v>6.3148339021918395E-2</v>
      </c>
      <c r="R14" s="388">
        <v>0.95505294208517222</v>
      </c>
      <c r="S14" s="389">
        <v>0.17079259462620225</v>
      </c>
      <c r="T14" s="450">
        <f t="shared" si="1"/>
        <v>0.8537664367929203</v>
      </c>
      <c r="U14" s="388">
        <f t="shared" si="2"/>
        <v>0.57769592987922069</v>
      </c>
      <c r="V14" s="388">
        <f t="shared" si="3"/>
        <v>0.12502519385755601</v>
      </c>
      <c r="W14" s="388">
        <f t="shared" si="4"/>
        <v>5.8732014742313989</v>
      </c>
      <c r="X14" s="387">
        <f t="shared" si="5"/>
        <v>0.30602341987449966</v>
      </c>
      <c r="Y14" s="390">
        <f t="shared" si="6"/>
        <v>0.9367793910845208</v>
      </c>
      <c r="Z14" s="457" t="s">
        <v>114</v>
      </c>
      <c r="AA14" s="251">
        <v>12.008163905048677</v>
      </c>
      <c r="AB14" s="251">
        <v>0.41790597685557312</v>
      </c>
      <c r="AC14" s="251">
        <v>-4.492751583252379</v>
      </c>
      <c r="AD14" s="393">
        <v>0.14895173103346773</v>
      </c>
      <c r="AE14" s="535"/>
      <c r="AF14" s="477" t="s">
        <v>115</v>
      </c>
      <c r="AG14" s="381"/>
      <c r="AH14" s="382"/>
      <c r="AI14" s="461"/>
      <c r="AJ14" s="382"/>
      <c r="AK14" s="460"/>
      <c r="AL14" s="494">
        <v>12</v>
      </c>
    </row>
    <row r="15" spans="1:38" ht="19.5" customHeight="1">
      <c r="A15" s="180"/>
      <c r="B15" s="494">
        <v>13</v>
      </c>
      <c r="C15" s="396" t="s">
        <v>116</v>
      </c>
      <c r="D15" s="457">
        <v>43650</v>
      </c>
      <c r="E15" s="293">
        <v>1440</v>
      </c>
      <c r="F15" s="319">
        <v>20</v>
      </c>
      <c r="G15" s="184">
        <v>27.524324324324322</v>
      </c>
      <c r="H15" s="184">
        <v>0.77875000000000005</v>
      </c>
      <c r="I15" s="184">
        <v>302.69371990000002</v>
      </c>
      <c r="J15" s="184">
        <f t="shared" si="0"/>
        <v>29.533719899999994</v>
      </c>
      <c r="K15" s="253">
        <v>0.21049009901261739</v>
      </c>
      <c r="L15" s="251">
        <v>0.1216549749597917</v>
      </c>
      <c r="M15" s="388">
        <v>0.28805730615141079</v>
      </c>
      <c r="N15" s="389">
        <v>0.80780112192989129</v>
      </c>
      <c r="O15" s="388">
        <v>6.2740645837267447E-2</v>
      </c>
      <c r="P15" s="388">
        <v>4.773330529146818E-2</v>
      </c>
      <c r="Q15" s="388">
        <v>1.3275427159471049E-2</v>
      </c>
      <c r="R15" s="388">
        <v>0.36526701304456077</v>
      </c>
      <c r="S15" s="389">
        <v>7.8361337400246617E-2</v>
      </c>
      <c r="T15" s="450">
        <f t="shared" si="1"/>
        <v>0.42232907259032176</v>
      </c>
      <c r="U15" s="388">
        <f t="shared" si="2"/>
        <v>3.3549240082509311</v>
      </c>
      <c r="V15" s="388">
        <f t="shared" si="3"/>
        <v>0.3565943378033723</v>
      </c>
      <c r="W15" s="388">
        <f t="shared" si="4"/>
        <v>1.9953812307867251</v>
      </c>
      <c r="X15" s="387">
        <f t="shared" si="5"/>
        <v>7.249519397005974E-2</v>
      </c>
      <c r="Y15" s="390">
        <f t="shared" si="6"/>
        <v>1.1261405799156099</v>
      </c>
      <c r="Z15" s="457" t="s">
        <v>99</v>
      </c>
      <c r="AA15" s="251">
        <v>32.752003953103703</v>
      </c>
      <c r="AB15" s="251">
        <v>0.27247403504230672</v>
      </c>
      <c r="AC15" s="251">
        <v>-2.1334724930801627</v>
      </c>
      <c r="AD15" s="393">
        <v>4.7314307683993577E-2</v>
      </c>
      <c r="AE15" s="251">
        <v>9.1748941845834313</v>
      </c>
      <c r="AF15" s="393">
        <v>0.23434504568071904</v>
      </c>
      <c r="AG15" s="395">
        <v>5.05</v>
      </c>
      <c r="AH15" s="184">
        <v>33.519550168870865</v>
      </c>
      <c r="AI15" s="224">
        <v>1.5923516907919044E-2</v>
      </c>
      <c r="AJ15" s="184">
        <v>32.985801045011009</v>
      </c>
      <c r="AK15" s="247">
        <v>-23.810906860427579</v>
      </c>
      <c r="AL15" s="494">
        <v>13</v>
      </c>
    </row>
    <row r="16" spans="1:38" ht="19.5" customHeight="1">
      <c r="A16" s="180"/>
      <c r="B16" s="494">
        <v>14</v>
      </c>
      <c r="C16" s="396" t="s">
        <v>117</v>
      </c>
      <c r="D16" s="457">
        <v>43655</v>
      </c>
      <c r="E16" s="293">
        <v>1440</v>
      </c>
      <c r="F16" s="319">
        <v>20</v>
      </c>
      <c r="G16" s="184">
        <v>27.1</v>
      </c>
      <c r="H16" s="184">
        <v>0.77875000000000005</v>
      </c>
      <c r="I16" s="184">
        <v>301.53585240000001</v>
      </c>
      <c r="J16" s="184">
        <f t="shared" si="0"/>
        <v>28.375852399999985</v>
      </c>
      <c r="K16" s="253">
        <v>0.25676118541127224</v>
      </c>
      <c r="L16" s="251">
        <v>0.15801249603484777</v>
      </c>
      <c r="M16" s="388">
        <v>0.38234955813032606</v>
      </c>
      <c r="N16" s="389">
        <v>3.9850449649054109</v>
      </c>
      <c r="O16" s="388">
        <v>0.4655292015340895</v>
      </c>
      <c r="P16" s="388">
        <v>0.45575118908370854</v>
      </c>
      <c r="Q16" s="388">
        <v>8.13744200499356E-2</v>
      </c>
      <c r="R16" s="388">
        <v>1.0024135166996775</v>
      </c>
      <c r="S16" s="389">
        <v>0.26514478131778213</v>
      </c>
      <c r="T16" s="450">
        <f t="shared" si="1"/>
        <v>0.41326710774172853</v>
      </c>
      <c r="U16" s="388">
        <f t="shared" si="2"/>
        <v>0.5515468945130616</v>
      </c>
      <c r="V16" s="388">
        <f t="shared" si="3"/>
        <v>9.5946108888987539E-2</v>
      </c>
      <c r="W16" s="388">
        <f t="shared" si="4"/>
        <v>7.052381313167051</v>
      </c>
      <c r="X16" s="387">
        <f t="shared" si="5"/>
        <v>0.26023547281059228</v>
      </c>
      <c r="Y16" s="390">
        <f t="shared" si="6"/>
        <v>0.91487686308003124</v>
      </c>
      <c r="Z16" s="457" t="s">
        <v>118</v>
      </c>
      <c r="AA16" s="251">
        <v>25.209141776175187</v>
      </c>
      <c r="AB16" s="251">
        <v>0.39905760333994283</v>
      </c>
      <c r="AC16" s="251">
        <v>-0.216150376839642</v>
      </c>
      <c r="AD16" s="393">
        <v>6.7097803337908421E-2</v>
      </c>
      <c r="AE16" s="251">
        <v>20.55717614469075</v>
      </c>
      <c r="AF16" s="393">
        <v>0.13489210816750724</v>
      </c>
      <c r="AG16" s="395">
        <v>33.340000000000003</v>
      </c>
      <c r="AH16" s="184">
        <v>33.677713689488769</v>
      </c>
      <c r="AI16" s="224">
        <v>1.7861042513529456E-2</v>
      </c>
      <c r="AJ16" s="184">
        <v>33.076194613522333</v>
      </c>
      <c r="AK16" s="247">
        <v>-12.519018468831582</v>
      </c>
      <c r="AL16" s="494">
        <v>14</v>
      </c>
    </row>
    <row r="17" spans="1:38" ht="19.5" customHeight="1">
      <c r="A17" s="180"/>
      <c r="B17" s="494">
        <v>15</v>
      </c>
      <c r="C17" s="396" t="s">
        <v>119</v>
      </c>
      <c r="D17" s="457">
        <v>43660</v>
      </c>
      <c r="E17" s="293">
        <v>1440</v>
      </c>
      <c r="F17" s="319">
        <v>20</v>
      </c>
      <c r="G17" s="184">
        <v>41.92799999999999</v>
      </c>
      <c r="H17" s="184">
        <v>0.77875000000000005</v>
      </c>
      <c r="I17" s="184">
        <v>301.2114201</v>
      </c>
      <c r="J17" s="184">
        <f t="shared" si="0"/>
        <v>28.051420099999973</v>
      </c>
      <c r="K17" s="253">
        <v>0.57961328787274169</v>
      </c>
      <c r="L17" s="251">
        <v>0.31587038101682391</v>
      </c>
      <c r="M17" s="388">
        <v>0.48364025252762</v>
      </c>
      <c r="N17" s="389">
        <v>2.203033363775766</v>
      </c>
      <c r="O17" s="388">
        <v>0.10278331771163848</v>
      </c>
      <c r="P17" s="388">
        <v>9.5167556813371745E-2</v>
      </c>
      <c r="Q17" s="388">
        <v>2.3118050629095409E-2</v>
      </c>
      <c r="R17" s="388">
        <v>0.43399751394157782</v>
      </c>
      <c r="S17" s="389">
        <v>0.14321013719764766</v>
      </c>
      <c r="T17" s="450">
        <f t="shared" si="1"/>
        <v>0.65311019785059143</v>
      </c>
      <c r="U17" s="388">
        <f t="shared" si="2"/>
        <v>5.6391766755268904</v>
      </c>
      <c r="V17" s="388">
        <f t="shared" si="3"/>
        <v>0.21953378486230085</v>
      </c>
      <c r="W17" s="388">
        <f t="shared" si="4"/>
        <v>4.3804338614862823</v>
      </c>
      <c r="X17" s="387">
        <f t="shared" si="5"/>
        <v>0.10447514456893445</v>
      </c>
      <c r="Y17" s="426">
        <f t="shared" si="6"/>
        <v>2.0813826607908767</v>
      </c>
      <c r="Z17" s="457" t="s">
        <v>99</v>
      </c>
      <c r="AA17" s="251">
        <v>17.47325607471755</v>
      </c>
      <c r="AB17" s="251">
        <v>0.50413166280458621</v>
      </c>
      <c r="AC17" s="251">
        <v>-3.1861518376900881</v>
      </c>
      <c r="AD17" s="393">
        <v>0.45042571899339739</v>
      </c>
      <c r="AE17" s="251">
        <v>17.43698375876788</v>
      </c>
      <c r="AF17" s="393">
        <v>0.29250009992589615</v>
      </c>
      <c r="AG17" s="395">
        <v>10.89</v>
      </c>
      <c r="AH17" s="184">
        <v>33.722248901273332</v>
      </c>
      <c r="AI17" s="224">
        <v>1.2143424595441711E-2</v>
      </c>
      <c r="AJ17" s="184">
        <v>33.312745314552004</v>
      </c>
      <c r="AK17" s="247">
        <v>-15.875761555784123</v>
      </c>
      <c r="AL17" s="494">
        <v>15</v>
      </c>
    </row>
    <row r="18" spans="1:38" ht="19.5" customHeight="1">
      <c r="A18" s="180"/>
      <c r="B18" s="494">
        <v>16</v>
      </c>
      <c r="C18" s="396" t="s">
        <v>120</v>
      </c>
      <c r="D18" s="457">
        <v>43665</v>
      </c>
      <c r="E18" s="293">
        <v>1440</v>
      </c>
      <c r="F18" s="319">
        <v>50</v>
      </c>
      <c r="G18" s="184">
        <v>30.760000000000005</v>
      </c>
      <c r="H18" s="184">
        <v>0.78874999999999995</v>
      </c>
      <c r="I18" s="184">
        <v>301.4923038</v>
      </c>
      <c r="J18" s="184">
        <f t="shared" si="0"/>
        <v>28.332303799999977</v>
      </c>
      <c r="K18" s="253">
        <v>0.38955121813482801</v>
      </c>
      <c r="L18" s="251">
        <v>0</v>
      </c>
      <c r="M18" s="388">
        <v>0.50134331082768757</v>
      </c>
      <c r="N18" s="389">
        <v>3.8989574479426272</v>
      </c>
      <c r="O18" s="388">
        <v>0.27926434796767996</v>
      </c>
      <c r="P18" s="388">
        <v>0.20463624921345239</v>
      </c>
      <c r="Q18" s="388">
        <v>7.5336331856604752E-2</v>
      </c>
      <c r="R18" s="388">
        <v>1.4819894575750645</v>
      </c>
      <c r="S18" s="389">
        <v>0.17365175179867429</v>
      </c>
      <c r="T18" s="450">
        <f t="shared" si="1"/>
        <v>0</v>
      </c>
      <c r="U18" s="388">
        <f t="shared" si="2"/>
        <v>1.3949192618741002</v>
      </c>
      <c r="V18" s="388">
        <f t="shared" si="3"/>
        <v>0.12858394007152674</v>
      </c>
      <c r="W18" s="388">
        <f t="shared" si="4"/>
        <v>7.0047301153166188</v>
      </c>
      <c r="X18" s="387">
        <f t="shared" si="5"/>
        <v>0.22772204536139851</v>
      </c>
      <c r="Y18" s="390">
        <f t="shared" si="6"/>
        <v>0.92711677599443321</v>
      </c>
      <c r="Z18" s="457" t="s">
        <v>99</v>
      </c>
      <c r="AA18" s="251">
        <v>52.765128931590958</v>
      </c>
      <c r="AB18" s="251">
        <v>0.34945037275111546</v>
      </c>
      <c r="AC18" s="251">
        <v>1.5108482730231556</v>
      </c>
      <c r="AD18" s="393">
        <v>0.4571408851815319</v>
      </c>
      <c r="AE18" s="251">
        <v>21.889799501990151</v>
      </c>
      <c r="AF18" s="393">
        <v>0.36153654354317666</v>
      </c>
      <c r="AG18" s="395">
        <v>20.2</v>
      </c>
      <c r="AH18" s="184">
        <v>33.683686088812948</v>
      </c>
      <c r="AI18" s="224">
        <v>1.7687495070846545E-2</v>
      </c>
      <c r="AJ18" s="184">
        <v>33.087906057149127</v>
      </c>
      <c r="AK18" s="247">
        <v>-11.198106555158976</v>
      </c>
      <c r="AL18" s="494">
        <v>16</v>
      </c>
    </row>
    <row r="19" spans="1:38" ht="19.5" customHeight="1">
      <c r="A19" s="180"/>
      <c r="B19" s="494">
        <v>17</v>
      </c>
      <c r="C19" s="396" t="s">
        <v>121</v>
      </c>
      <c r="D19" s="457">
        <v>43670</v>
      </c>
      <c r="E19" s="293">
        <v>1425</v>
      </c>
      <c r="F19" s="319">
        <v>20</v>
      </c>
      <c r="G19" s="184">
        <v>48.47999999999999</v>
      </c>
      <c r="H19" s="184">
        <v>0.83374999999999999</v>
      </c>
      <c r="I19" s="184">
        <v>301.40593910000001</v>
      </c>
      <c r="J19" s="184">
        <f t="shared" si="0"/>
        <v>28.245939099999987</v>
      </c>
      <c r="K19" s="253">
        <v>1.5268319602279072</v>
      </c>
      <c r="L19" s="251">
        <v>0.55737284560237388</v>
      </c>
      <c r="M19" s="388">
        <v>2.0969911326574922</v>
      </c>
      <c r="N19" s="389">
        <v>7.5471177468585164</v>
      </c>
      <c r="O19" s="388">
        <v>0.71451155289712465</v>
      </c>
      <c r="P19" s="388">
        <v>0.71180652124755517</v>
      </c>
      <c r="Q19" s="388">
        <v>0.16255316131582809</v>
      </c>
      <c r="R19" s="388">
        <v>3.3054384107715489</v>
      </c>
      <c r="S19" s="389">
        <v>0.5463933449452234</v>
      </c>
      <c r="T19" s="450">
        <f t="shared" si="1"/>
        <v>0.26579647234655773</v>
      </c>
      <c r="U19" s="388">
        <f t="shared" si="2"/>
        <v>2.13688911542028</v>
      </c>
      <c r="V19" s="388">
        <f t="shared" si="3"/>
        <v>0.27785324185916715</v>
      </c>
      <c r="W19" s="388">
        <f t="shared" si="4"/>
        <v>17.169016676523569</v>
      </c>
      <c r="X19" s="387">
        <f t="shared" si="5"/>
        <v>0.35414638359165784</v>
      </c>
      <c r="Y19" s="390">
        <f t="shared" si="6"/>
        <v>0.93682019638678571</v>
      </c>
      <c r="Z19" s="457" t="s">
        <v>122</v>
      </c>
      <c r="AA19" s="251">
        <v>33.938426480129628</v>
      </c>
      <c r="AB19" s="251">
        <v>0.38903463696989854</v>
      </c>
      <c r="AC19" s="251">
        <v>-1.2169706080255087</v>
      </c>
      <c r="AD19" s="393">
        <v>0.50418860511487695</v>
      </c>
      <c r="AE19" s="251">
        <v>24.822854880917987</v>
      </c>
      <c r="AF19" s="393">
        <v>0.35811468937466046</v>
      </c>
      <c r="AG19" s="395">
        <v>80.150000000000006</v>
      </c>
      <c r="AH19" s="184">
        <v>33.695535535183311</v>
      </c>
      <c r="AI19" s="224">
        <v>9.3726888716278382E-3</v>
      </c>
      <c r="AJ19" s="184">
        <v>33.379717764249158</v>
      </c>
      <c r="AK19" s="247">
        <v>-8.5568628833311706</v>
      </c>
      <c r="AL19" s="494">
        <v>17</v>
      </c>
    </row>
    <row r="20" spans="1:38" ht="19.5" customHeight="1">
      <c r="A20" s="180"/>
      <c r="B20" s="494">
        <v>18</v>
      </c>
      <c r="C20" s="396" t="s">
        <v>123</v>
      </c>
      <c r="D20" s="457">
        <v>43675</v>
      </c>
      <c r="E20" s="293">
        <v>1440</v>
      </c>
      <c r="F20" s="319">
        <v>20</v>
      </c>
      <c r="G20" s="184">
        <v>26.876000000000005</v>
      </c>
      <c r="H20" s="184">
        <v>0.83</v>
      </c>
      <c r="I20" s="184">
        <v>300.93737220000003</v>
      </c>
      <c r="J20" s="184">
        <f t="shared" si="0"/>
        <v>27.777372200000002</v>
      </c>
      <c r="K20" s="253">
        <v>0.56369128812745528</v>
      </c>
      <c r="L20" s="251">
        <v>0</v>
      </c>
      <c r="M20" s="388">
        <v>0.7686911895267986</v>
      </c>
      <c r="N20" s="389">
        <v>1.9267745572854866</v>
      </c>
      <c r="O20" s="388">
        <v>0.15974722216049947</v>
      </c>
      <c r="P20" s="388">
        <v>0.10431480946998058</v>
      </c>
      <c r="Q20" s="388">
        <v>5.2541960419159636E-2</v>
      </c>
      <c r="R20" s="388">
        <v>1.3856629684747319</v>
      </c>
      <c r="S20" s="389">
        <v>0.17819896244727781</v>
      </c>
      <c r="T20" s="450">
        <f t="shared" si="1"/>
        <v>0</v>
      </c>
      <c r="U20" s="388">
        <f t="shared" si="2"/>
        <v>3.5286453216764517</v>
      </c>
      <c r="V20" s="388">
        <f t="shared" si="3"/>
        <v>0.39895232507624556</v>
      </c>
      <c r="W20" s="388">
        <f t="shared" si="4"/>
        <v>5.1396229579113895</v>
      </c>
      <c r="X20" s="387">
        <f t="shared" si="5"/>
        <v>0.1912346687718183</v>
      </c>
      <c r="Y20" s="390">
        <f t="shared" si="6"/>
        <v>0.75457407418641853</v>
      </c>
      <c r="Z20" s="457" t="s">
        <v>99</v>
      </c>
      <c r="AA20" s="251">
        <v>55.378735796735249</v>
      </c>
      <c r="AB20" s="251">
        <v>0.31784001495697584</v>
      </c>
      <c r="AC20" s="251">
        <v>-0.87155241494063962</v>
      </c>
      <c r="AD20" s="393">
        <v>0.49825238827781448</v>
      </c>
      <c r="AE20" s="251">
        <v>20.330141847147264</v>
      </c>
      <c r="AF20" s="393">
        <v>2.1729031929507616E-2</v>
      </c>
      <c r="AG20" s="395">
        <v>10.1</v>
      </c>
      <c r="AH20" s="184">
        <v>33.759942599340377</v>
      </c>
      <c r="AI20" s="224">
        <v>2.0184080322193394E-2</v>
      </c>
      <c r="AJ20" s="184">
        <v>33.078529206242649</v>
      </c>
      <c r="AK20" s="247">
        <v>-12.748387359095386</v>
      </c>
      <c r="AL20" s="494">
        <v>18</v>
      </c>
    </row>
    <row r="21" spans="1:38" ht="19.5" customHeight="1">
      <c r="A21" s="180"/>
      <c r="B21" s="494">
        <v>19</v>
      </c>
      <c r="C21" s="396" t="s">
        <v>124</v>
      </c>
      <c r="D21" s="457">
        <v>43680</v>
      </c>
      <c r="E21" s="293">
        <v>1440</v>
      </c>
      <c r="F21" s="319">
        <v>20</v>
      </c>
      <c r="G21" s="184">
        <v>26.332000000000004</v>
      </c>
      <c r="H21" s="184">
        <v>0.8175</v>
      </c>
      <c r="I21" s="184">
        <v>301.1533756</v>
      </c>
      <c r="J21" s="184">
        <f t="shared" si="0"/>
        <v>27.993375599999979</v>
      </c>
      <c r="K21" s="253">
        <v>0.76916852542468772</v>
      </c>
      <c r="L21" s="251">
        <v>0.28587583675971973</v>
      </c>
      <c r="M21" s="388">
        <v>0.87931273082191441</v>
      </c>
      <c r="N21" s="389">
        <v>2.1478835482214818</v>
      </c>
      <c r="O21" s="388">
        <v>0.25806482324933017</v>
      </c>
      <c r="P21" s="388">
        <v>3.2618517476188894E-2</v>
      </c>
      <c r="Q21" s="388">
        <v>7.0165984727543596E-2</v>
      </c>
      <c r="R21" s="388">
        <v>1.8395429157694685</v>
      </c>
      <c r="S21" s="389">
        <v>0.1821437925804846</v>
      </c>
      <c r="T21" s="450">
        <f t="shared" si="1"/>
        <v>0.32511281451879448</v>
      </c>
      <c r="U21" s="388">
        <f t="shared" si="2"/>
        <v>2.9805244889248352</v>
      </c>
      <c r="V21" s="388">
        <f t="shared" si="3"/>
        <v>0.40938566317993091</v>
      </c>
      <c r="W21" s="388">
        <f t="shared" si="4"/>
        <v>6.4647766750308193</v>
      </c>
      <c r="X21" s="387">
        <f t="shared" si="5"/>
        <v>0.24551027931911051</v>
      </c>
      <c r="Y21" s="390">
        <f t="shared" si="6"/>
        <v>0.75411775728517705</v>
      </c>
      <c r="Z21" s="457" t="s">
        <v>118</v>
      </c>
      <c r="AA21" s="251">
        <v>28.251419280009433</v>
      </c>
      <c r="AB21" s="251">
        <v>0.53386505919410276</v>
      </c>
      <c r="AC21" s="251">
        <v>-2.9011697196534083</v>
      </c>
      <c r="AD21" s="393">
        <v>0.38991767686040063</v>
      </c>
      <c r="AE21" s="535"/>
      <c r="AF21" s="477" t="s">
        <v>115</v>
      </c>
      <c r="AG21" s="381"/>
      <c r="AH21" s="382"/>
      <c r="AI21" s="461"/>
      <c r="AJ21" s="382"/>
      <c r="AK21" s="460"/>
      <c r="AL21" s="494">
        <v>19</v>
      </c>
    </row>
    <row r="22" spans="1:38" ht="19.5" customHeight="1">
      <c r="A22" s="180"/>
      <c r="B22" s="494">
        <v>20</v>
      </c>
      <c r="C22" s="396" t="s">
        <v>125</v>
      </c>
      <c r="D22" s="457">
        <v>43685</v>
      </c>
      <c r="E22" s="293">
        <v>1455</v>
      </c>
      <c r="F22" s="319">
        <v>20</v>
      </c>
      <c r="G22" s="184">
        <v>21.371999999999993</v>
      </c>
      <c r="H22" s="184">
        <v>0.8175</v>
      </c>
      <c r="I22" s="184">
        <v>301.13433270000002</v>
      </c>
      <c r="J22" s="184">
        <f t="shared" si="0"/>
        <v>27.974332699999991</v>
      </c>
      <c r="K22" s="253">
        <v>0.10055550569600555</v>
      </c>
      <c r="L22" s="251">
        <v>0.44064150068426239</v>
      </c>
      <c r="M22" s="388">
        <v>0.32978790049713569</v>
      </c>
      <c r="N22" s="389">
        <v>2.1702124979337039</v>
      </c>
      <c r="O22" s="388">
        <v>0.1224813313222412</v>
      </c>
      <c r="P22" s="388">
        <v>0.59211958475884308</v>
      </c>
      <c r="Q22" s="388">
        <v>3.7524867962823158E-2</v>
      </c>
      <c r="R22" s="388">
        <v>0.72034108824012844</v>
      </c>
      <c r="S22" s="389">
        <v>0.11391967798348786</v>
      </c>
      <c r="T22" s="450">
        <f t="shared" si="1"/>
        <v>1.3361360438634089</v>
      </c>
      <c r="U22" s="388">
        <f t="shared" si="2"/>
        <v>0.82098638715356465</v>
      </c>
      <c r="V22" s="388">
        <f t="shared" si="3"/>
        <v>0.15196111017291272</v>
      </c>
      <c r="W22" s="388">
        <f t="shared" si="4"/>
        <v>4.6275839550786317</v>
      </c>
      <c r="X22" s="387">
        <f t="shared" si="5"/>
        <v>0.21652554534337606</v>
      </c>
      <c r="Y22" s="390">
        <f t="shared" si="6"/>
        <v>0.78449711418750823</v>
      </c>
      <c r="Z22" s="457" t="s">
        <v>99</v>
      </c>
      <c r="AA22" s="251">
        <v>-1.8889667542946214</v>
      </c>
      <c r="AB22" s="251">
        <v>0.65849281267959625</v>
      </c>
      <c r="AC22" s="251">
        <v>-8.9457843642551058</v>
      </c>
      <c r="AD22" s="393">
        <v>0.44408216715286819</v>
      </c>
      <c r="AE22" s="251">
        <v>18.438025282709049</v>
      </c>
      <c r="AF22" s="393">
        <v>0.15418466908508605</v>
      </c>
      <c r="AG22" s="395">
        <v>57.59</v>
      </c>
      <c r="AH22" s="184">
        <v>33.732844890757832</v>
      </c>
      <c r="AI22" s="224">
        <v>1.0177002642474241E-2</v>
      </c>
      <c r="AJ22" s="184">
        <v>33.389545639166414</v>
      </c>
      <c r="AK22" s="247">
        <v>-14.951520356457365</v>
      </c>
      <c r="AL22" s="494">
        <v>20</v>
      </c>
    </row>
    <row r="23" spans="1:38" ht="19.5" customHeight="1">
      <c r="A23" s="180"/>
      <c r="B23" s="495" t="s">
        <v>126</v>
      </c>
      <c r="C23" s="383"/>
      <c r="D23" s="538"/>
      <c r="E23" s="463"/>
      <c r="F23" s="377"/>
      <c r="G23" s="382"/>
      <c r="H23" s="382"/>
      <c r="I23" s="382"/>
      <c r="J23" s="382"/>
      <c r="K23" s="375"/>
      <c r="L23" s="374"/>
      <c r="M23" s="465"/>
      <c r="N23" s="466"/>
      <c r="O23" s="465"/>
      <c r="P23" s="465"/>
      <c r="Q23" s="465"/>
      <c r="R23" s="465"/>
      <c r="S23" s="466"/>
      <c r="T23" s="467"/>
      <c r="U23" s="465"/>
      <c r="V23" s="465"/>
      <c r="W23" s="465"/>
      <c r="X23" s="465"/>
      <c r="Y23" s="378"/>
      <c r="Z23" s="464"/>
      <c r="AA23" s="463"/>
      <c r="AB23" s="463"/>
      <c r="AC23" s="374"/>
      <c r="AD23" s="379"/>
      <c r="AE23" s="463"/>
      <c r="AF23" s="462"/>
      <c r="AG23" s="381"/>
      <c r="AH23" s="382"/>
      <c r="AI23" s="461"/>
      <c r="AJ23" s="382"/>
      <c r="AK23" s="460"/>
      <c r="AL23" s="495" t="s">
        <v>126</v>
      </c>
    </row>
    <row r="24" spans="1:38" ht="19.5" customHeight="1">
      <c r="A24" s="180"/>
      <c r="B24" s="494">
        <v>22</v>
      </c>
      <c r="C24" s="396" t="s">
        <v>127</v>
      </c>
      <c r="D24" s="457">
        <v>43695</v>
      </c>
      <c r="E24" s="293">
        <v>1450</v>
      </c>
      <c r="F24" s="319">
        <v>20</v>
      </c>
      <c r="G24" s="184">
        <v>20.372</v>
      </c>
      <c r="H24" s="184">
        <v>0.80374999999999996</v>
      </c>
      <c r="I24" s="184">
        <v>300.483881</v>
      </c>
      <c r="J24" s="184">
        <f t="shared" ref="J24:J36" si="7">I24-273.16</f>
        <v>27.323880999999972</v>
      </c>
      <c r="K24" s="253">
        <v>0.46417718919672246</v>
      </c>
      <c r="L24" s="251">
        <v>0.48228412177978125</v>
      </c>
      <c r="M24" s="388">
        <v>0.72100094505114287</v>
      </c>
      <c r="N24" s="389">
        <v>2.1182427255706746</v>
      </c>
      <c r="O24" s="388">
        <v>0.15524606147027925</v>
      </c>
      <c r="P24" s="388">
        <v>0.24704389673510146</v>
      </c>
      <c r="Q24" s="388">
        <v>3.6909855928057206E-2</v>
      </c>
      <c r="R24" s="388">
        <v>0.88002607557461021</v>
      </c>
      <c r="S24" s="389">
        <v>0.1372282209153679</v>
      </c>
      <c r="T24" s="450">
        <f t="shared" ref="T24:T36" si="8">L24/M24</f>
        <v>0.66890913956509634</v>
      </c>
      <c r="U24" s="388">
        <f t="shared" ref="U24:U36" si="9">K24/O24</f>
        <v>2.9899450253402136</v>
      </c>
      <c r="V24" s="388">
        <f t="shared" ref="V24:V36" si="10">M24/N24</f>
        <v>0.34037692486676585</v>
      </c>
      <c r="W24" s="388">
        <f t="shared" ref="W24:W36" si="11">SUM(K24:S24)</f>
        <v>5.2421590922217378</v>
      </c>
      <c r="X24" s="387">
        <f t="shared" ref="X24:X36" si="12">W24/G24</f>
        <v>0.25732176969476428</v>
      </c>
      <c r="Y24" s="390">
        <f t="shared" ref="Y24:Y36" si="13">(M24/62+L24/46+N24/96*2+K24/35)/(P24/18+S24/39+O24/23+Q24/24*2+R24/40*2)</f>
        <v>1.118691795596761</v>
      </c>
      <c r="Z24" s="457" t="s">
        <v>99</v>
      </c>
      <c r="AA24" s="251">
        <v>12.059183949681248</v>
      </c>
      <c r="AB24" s="251">
        <v>0.55367597978368743</v>
      </c>
      <c r="AC24" s="251">
        <v>-6.3030957031541073</v>
      </c>
      <c r="AD24" s="393">
        <v>0.21051946243779415</v>
      </c>
      <c r="AE24" s="251">
        <v>20.404031343941231</v>
      </c>
      <c r="AF24" s="393">
        <v>0.29196570318371479</v>
      </c>
      <c r="AG24" s="395">
        <v>23.24</v>
      </c>
      <c r="AH24" s="184">
        <v>33.822468705943209</v>
      </c>
      <c r="AI24" s="224">
        <v>1.0518305233356451E-2</v>
      </c>
      <c r="AJ24" s="184">
        <v>33.466713656348453</v>
      </c>
      <c r="AK24" s="247">
        <v>-13.062682312407222</v>
      </c>
      <c r="AL24" s="494">
        <v>22</v>
      </c>
    </row>
    <row r="25" spans="1:38" ht="19.5" customHeight="1">
      <c r="A25" s="180"/>
      <c r="B25" s="494">
        <v>23</v>
      </c>
      <c r="C25" s="396" t="s">
        <v>128</v>
      </c>
      <c r="D25" s="457">
        <v>43700</v>
      </c>
      <c r="E25" s="293">
        <v>1440</v>
      </c>
      <c r="F25" s="319">
        <v>20</v>
      </c>
      <c r="G25" s="184">
        <v>18.120833333333334</v>
      </c>
      <c r="H25" s="184">
        <v>0.80874999999999997</v>
      </c>
      <c r="I25" s="184">
        <v>301.1145573</v>
      </c>
      <c r="J25" s="184">
        <f t="shared" si="7"/>
        <v>27.954557299999976</v>
      </c>
      <c r="K25" s="253">
        <v>0.29489834403062443</v>
      </c>
      <c r="L25" s="251">
        <v>7.3193865012501344E-2</v>
      </c>
      <c r="M25" s="388">
        <v>0.54776196256549103</v>
      </c>
      <c r="N25" s="389">
        <v>1.5567091395236046</v>
      </c>
      <c r="O25" s="388">
        <v>0.16146954202897451</v>
      </c>
      <c r="P25" s="388">
        <v>0.20284424137528081</v>
      </c>
      <c r="Q25" s="388">
        <v>3.9814988581142512E-2</v>
      </c>
      <c r="R25" s="388">
        <v>0.78840065883312882</v>
      </c>
      <c r="S25" s="389">
        <v>0.14784931786327765</v>
      </c>
      <c r="T25" s="450">
        <f t="shared" si="8"/>
        <v>0.13362348979051317</v>
      </c>
      <c r="U25" s="388">
        <f t="shared" si="9"/>
        <v>1.8263403755595411</v>
      </c>
      <c r="V25" s="388">
        <f t="shared" si="10"/>
        <v>0.35187174576049646</v>
      </c>
      <c r="W25" s="388">
        <f t="shared" si="11"/>
        <v>3.8129420598140258</v>
      </c>
      <c r="X25" s="387">
        <f t="shared" si="12"/>
        <v>0.21041758895271698</v>
      </c>
      <c r="Y25" s="390">
        <f t="shared" si="13"/>
        <v>0.79118078525422197</v>
      </c>
      <c r="Z25" s="457" t="s">
        <v>129</v>
      </c>
      <c r="AA25" s="251">
        <v>44.061703358720159</v>
      </c>
      <c r="AB25" s="251">
        <v>0.25839016790330649</v>
      </c>
      <c r="AC25" s="251">
        <v>0.24606035366151943</v>
      </c>
      <c r="AD25" s="393">
        <v>9.2467956158851741E-2</v>
      </c>
      <c r="AE25" s="251">
        <v>20.819456311934619</v>
      </c>
      <c r="AF25" s="393">
        <v>2.8220636009581978E-2</v>
      </c>
      <c r="AG25" s="395">
        <v>18.18</v>
      </c>
      <c r="AH25" s="184">
        <v>33.735563977605267</v>
      </c>
      <c r="AI25" s="224">
        <v>1.1034431816526417E-2</v>
      </c>
      <c r="AJ25" s="184">
        <v>33.36331119710232</v>
      </c>
      <c r="AK25" s="247">
        <v>-12.543854885167701</v>
      </c>
      <c r="AL25" s="494">
        <v>23</v>
      </c>
    </row>
    <row r="26" spans="1:38" ht="19.5" customHeight="1">
      <c r="A26" s="180"/>
      <c r="B26" s="494">
        <v>24</v>
      </c>
      <c r="C26" s="396" t="s">
        <v>130</v>
      </c>
      <c r="D26" s="457">
        <v>43705</v>
      </c>
      <c r="E26" s="293">
        <v>1445</v>
      </c>
      <c r="F26" s="319">
        <v>20</v>
      </c>
      <c r="G26" s="184">
        <v>33.555999999999997</v>
      </c>
      <c r="H26" s="184">
        <v>0.86750000000000005</v>
      </c>
      <c r="I26" s="184">
        <v>301.14232829999997</v>
      </c>
      <c r="J26" s="184">
        <f t="shared" si="7"/>
        <v>27.982328299999949</v>
      </c>
      <c r="K26" s="253">
        <v>1.3323082461917615</v>
      </c>
      <c r="L26" s="251">
        <v>0.15320642918773236</v>
      </c>
      <c r="M26" s="388">
        <v>1.9826878530469796</v>
      </c>
      <c r="N26" s="389">
        <v>4.8348376735959047</v>
      </c>
      <c r="O26" s="388">
        <v>0.31177793669709863</v>
      </c>
      <c r="P26" s="388">
        <v>0.13002260253484291</v>
      </c>
      <c r="Q26" s="388">
        <v>7.6687295805806951E-2</v>
      </c>
      <c r="R26" s="388">
        <v>2.4407026245778902</v>
      </c>
      <c r="S26" s="389">
        <v>0.36548118840933541</v>
      </c>
      <c r="T26" s="450">
        <f t="shared" si="8"/>
        <v>7.7272087460608527E-2</v>
      </c>
      <c r="U26" s="388">
        <f t="shared" si="9"/>
        <v>4.2732601937966441</v>
      </c>
      <c r="V26" s="388">
        <f t="shared" si="10"/>
        <v>0.41008364435374267</v>
      </c>
      <c r="W26" s="388">
        <f t="shared" si="11"/>
        <v>11.627711850047351</v>
      </c>
      <c r="X26" s="387">
        <f t="shared" si="12"/>
        <v>0.34651662445009396</v>
      </c>
      <c r="Y26" s="390">
        <f t="shared" si="13"/>
        <v>1.097902863650837</v>
      </c>
      <c r="Z26" s="457" t="s">
        <v>99</v>
      </c>
      <c r="AA26" s="251">
        <v>51.066996179000512</v>
      </c>
      <c r="AB26" s="251">
        <v>4.3849400125477812E-2</v>
      </c>
      <c r="AC26" s="251">
        <v>0.6999870551101891</v>
      </c>
      <c r="AD26" s="393">
        <v>0.15134664654341876</v>
      </c>
      <c r="AE26" s="251">
        <v>34.350755891828108</v>
      </c>
      <c r="AF26" s="393">
        <v>5.2304650947588002E-2</v>
      </c>
      <c r="AG26" s="395">
        <v>12.87</v>
      </c>
      <c r="AH26" s="184">
        <v>33.731745609535096</v>
      </c>
      <c r="AI26" s="224">
        <v>1.0001721266968421E-2</v>
      </c>
      <c r="AJ26" s="184">
        <v>33.394370092100239</v>
      </c>
      <c r="AK26" s="247">
        <v>0.95638579972786175</v>
      </c>
      <c r="AL26" s="494">
        <v>24</v>
      </c>
    </row>
    <row r="27" spans="1:38" ht="19.5" customHeight="1">
      <c r="A27" s="180"/>
      <c r="B27" s="494">
        <v>25</v>
      </c>
      <c r="C27" s="396" t="s">
        <v>131</v>
      </c>
      <c r="D27" s="457">
        <v>43710</v>
      </c>
      <c r="E27" s="293">
        <v>1440</v>
      </c>
      <c r="F27" s="319">
        <v>20</v>
      </c>
      <c r="G27" s="184">
        <v>26.196000000000005</v>
      </c>
      <c r="H27" s="184">
        <v>0.87375000000000003</v>
      </c>
      <c r="I27" s="184">
        <v>301.44173619999998</v>
      </c>
      <c r="J27" s="184">
        <f t="shared" si="7"/>
        <v>28.281736199999955</v>
      </c>
      <c r="K27" s="253">
        <v>0.21710370750262956</v>
      </c>
      <c r="L27" s="251">
        <v>0</v>
      </c>
      <c r="M27" s="388">
        <v>0.36906341832083284</v>
      </c>
      <c r="N27" s="389">
        <v>2.5203797324645048</v>
      </c>
      <c r="O27" s="388">
        <v>0.23186050203963465</v>
      </c>
      <c r="P27" s="388">
        <v>0.4648311874738425</v>
      </c>
      <c r="Q27" s="388">
        <v>4.9416940089276662E-2</v>
      </c>
      <c r="R27" s="388">
        <v>1.3145873131335351</v>
      </c>
      <c r="S27" s="389">
        <v>0.15915919782320762</v>
      </c>
      <c r="T27" s="450">
        <f t="shared" si="8"/>
        <v>0</v>
      </c>
      <c r="U27" s="388">
        <f t="shared" si="9"/>
        <v>0.93635485817035558</v>
      </c>
      <c r="V27" s="388">
        <f t="shared" si="10"/>
        <v>0.14643167200838872</v>
      </c>
      <c r="W27" s="388">
        <f t="shared" si="11"/>
        <v>5.3264019988474631</v>
      </c>
      <c r="X27" s="387">
        <f t="shared" si="12"/>
        <v>0.20332882878483211</v>
      </c>
      <c r="Y27" s="390">
        <f t="shared" si="13"/>
        <v>0.58874232767029533</v>
      </c>
      <c r="Z27" s="457" t="s">
        <v>118</v>
      </c>
      <c r="AA27" s="251">
        <v>58.840445243292514</v>
      </c>
      <c r="AB27" s="251">
        <v>8.4363384635661912E-2</v>
      </c>
      <c r="AC27" s="251">
        <v>0.62399655313050928</v>
      </c>
      <c r="AD27" s="393">
        <v>0.10267446127805324</v>
      </c>
      <c r="AE27" s="251">
        <v>26.725057234409139</v>
      </c>
      <c r="AF27" s="393">
        <v>0.13755229162314328</v>
      </c>
      <c r="AG27" s="395">
        <v>43.45</v>
      </c>
      <c r="AH27" s="184">
        <v>33.69062326230781</v>
      </c>
      <c r="AI27" s="224">
        <v>1.0584833754443072E-2</v>
      </c>
      <c r="AJ27" s="184">
        <v>33.33401361599271</v>
      </c>
      <c r="AK27" s="247">
        <v>-6.608956381583571</v>
      </c>
      <c r="AL27" s="494">
        <v>25</v>
      </c>
    </row>
    <row r="28" spans="1:38" ht="19.5" customHeight="1">
      <c r="A28" s="180"/>
      <c r="B28" s="494">
        <v>26</v>
      </c>
      <c r="C28" s="396" t="s">
        <v>132</v>
      </c>
      <c r="D28" s="457">
        <v>43715</v>
      </c>
      <c r="E28" s="293">
        <v>1440</v>
      </c>
      <c r="F28" s="319">
        <v>20</v>
      </c>
      <c r="G28" s="184">
        <v>20.34</v>
      </c>
      <c r="H28" s="184">
        <v>0.85</v>
      </c>
      <c r="I28" s="184">
        <v>301.06957440000002</v>
      </c>
      <c r="J28" s="184">
        <f t="shared" si="7"/>
        <v>27.909574399999997</v>
      </c>
      <c r="K28" s="253">
        <v>1.564444988615294</v>
      </c>
      <c r="L28" s="251">
        <v>0.35330115611803525</v>
      </c>
      <c r="M28" s="388">
        <v>1.3340355572419866</v>
      </c>
      <c r="N28" s="389">
        <v>3.8546823717636007</v>
      </c>
      <c r="O28" s="388">
        <v>0.23737720124167569</v>
      </c>
      <c r="P28" s="388">
        <v>0.31891353073853479</v>
      </c>
      <c r="Q28" s="388">
        <v>5.9681095149695919E-2</v>
      </c>
      <c r="R28" s="388">
        <v>1.8698355799416762</v>
      </c>
      <c r="S28" s="389">
        <v>0.51715338203873196</v>
      </c>
      <c r="T28" s="450">
        <f t="shared" si="8"/>
        <v>0.26483638625679329</v>
      </c>
      <c r="U28" s="388">
        <f t="shared" si="9"/>
        <v>6.59054441804847</v>
      </c>
      <c r="V28" s="388">
        <f t="shared" si="10"/>
        <v>0.3460818372517776</v>
      </c>
      <c r="W28" s="388">
        <f t="shared" si="11"/>
        <v>10.109424862849231</v>
      </c>
      <c r="X28" s="387">
        <f t="shared" si="12"/>
        <v>0.49702187132985404</v>
      </c>
      <c r="Y28" s="390">
        <f t="shared" si="13"/>
        <v>1.1033012085826295</v>
      </c>
      <c r="Z28" s="457" t="s">
        <v>133</v>
      </c>
      <c r="AA28" s="251">
        <v>36.673753206721081</v>
      </c>
      <c r="AB28" s="251">
        <v>0.35697738006913315</v>
      </c>
      <c r="AC28" s="251">
        <v>-0.43770005125653605</v>
      </c>
      <c r="AD28" s="393">
        <v>0.17266692480839577</v>
      </c>
      <c r="AE28" s="251">
        <v>19.435747062029616</v>
      </c>
      <c r="AF28" s="393">
        <v>8.1143748473747862E-2</v>
      </c>
      <c r="AG28" s="395">
        <v>15.15</v>
      </c>
      <c r="AH28" s="184">
        <v>33.741750387004444</v>
      </c>
      <c r="AI28" s="224">
        <v>2.061641433994808E-2</v>
      </c>
      <c r="AJ28" s="184">
        <v>33.046116480470857</v>
      </c>
      <c r="AK28" s="247">
        <v>-13.610369418441241</v>
      </c>
      <c r="AL28" s="494">
        <v>26</v>
      </c>
    </row>
    <row r="29" spans="1:38" ht="19.5" customHeight="1">
      <c r="A29" s="180"/>
      <c r="B29" s="494">
        <v>27</v>
      </c>
      <c r="C29" s="396" t="s">
        <v>134</v>
      </c>
      <c r="D29" s="457">
        <v>43720</v>
      </c>
      <c r="E29" s="293">
        <v>1445</v>
      </c>
      <c r="F29" s="319">
        <v>20</v>
      </c>
      <c r="G29" s="184">
        <v>31.238461538461539</v>
      </c>
      <c r="H29" s="184">
        <v>0.84499999999999997</v>
      </c>
      <c r="I29" s="184">
        <v>300.4787235</v>
      </c>
      <c r="J29" s="184">
        <f t="shared" si="7"/>
        <v>27.318723499999976</v>
      </c>
      <c r="K29" s="253">
        <v>0.63139602357095503</v>
      </c>
      <c r="L29" s="251">
        <v>0.17035058708259562</v>
      </c>
      <c r="M29" s="388">
        <v>0.57465468860650537</v>
      </c>
      <c r="N29" s="389">
        <v>1.31596076424584</v>
      </c>
      <c r="O29" s="388">
        <v>0.10001421774006621</v>
      </c>
      <c r="P29" s="388">
        <v>9.9863431989340612E-2</v>
      </c>
      <c r="Q29" s="388">
        <v>1.9852358397917751E-2</v>
      </c>
      <c r="R29" s="388">
        <v>0.66167901189055589</v>
      </c>
      <c r="S29" s="389">
        <v>0.17324226438900606</v>
      </c>
      <c r="T29" s="450">
        <f t="shared" si="8"/>
        <v>0.29643991506565981</v>
      </c>
      <c r="U29" s="388">
        <f t="shared" si="9"/>
        <v>6.3130626608702114</v>
      </c>
      <c r="V29" s="388">
        <f t="shared" si="10"/>
        <v>0.43668071588428592</v>
      </c>
      <c r="W29" s="388">
        <f t="shared" si="11"/>
        <v>3.7470133479127825</v>
      </c>
      <c r="X29" s="387">
        <f t="shared" si="12"/>
        <v>0.11994871588984529</v>
      </c>
      <c r="Y29" s="390">
        <f t="shared" si="13"/>
        <v>1.1905338291567522</v>
      </c>
      <c r="Z29" s="457" t="s">
        <v>135</v>
      </c>
      <c r="AA29" s="251">
        <v>33.492085895742399</v>
      </c>
      <c r="AB29" s="251">
        <v>1.8111055630255214E-2</v>
      </c>
      <c r="AC29" s="251">
        <v>-0.84493054428909786</v>
      </c>
      <c r="AD29" s="393">
        <v>0.11321402208853033</v>
      </c>
      <c r="AE29" s="251">
        <v>18.105522094641362</v>
      </c>
      <c r="AF29" s="393">
        <v>8.646136236826571E-2</v>
      </c>
      <c r="AG29" s="395">
        <v>10.1</v>
      </c>
      <c r="AH29" s="184">
        <v>33.823180893133724</v>
      </c>
      <c r="AI29" s="224">
        <v>9.7906636353721887E-3</v>
      </c>
      <c r="AJ29" s="184">
        <v>33.492029505930702</v>
      </c>
      <c r="AK29" s="247">
        <v>-15.38650741128934</v>
      </c>
      <c r="AL29" s="494">
        <v>27</v>
      </c>
    </row>
    <row r="30" spans="1:38" ht="19.5" customHeight="1">
      <c r="A30" s="180"/>
      <c r="B30" s="494">
        <v>28</v>
      </c>
      <c r="C30" s="396" t="s">
        <v>136</v>
      </c>
      <c r="D30" s="457">
        <v>43725</v>
      </c>
      <c r="E30" s="293">
        <v>1440</v>
      </c>
      <c r="F30" s="319">
        <v>20</v>
      </c>
      <c r="G30" s="184">
        <v>60.755999999999993</v>
      </c>
      <c r="H30" s="184">
        <v>0.80500000000000005</v>
      </c>
      <c r="I30" s="184">
        <v>301.36446569999998</v>
      </c>
      <c r="J30" s="184">
        <f t="shared" si="7"/>
        <v>28.204465699999957</v>
      </c>
      <c r="K30" s="253">
        <v>6.5017769071741449E-2</v>
      </c>
      <c r="L30" s="251">
        <v>0</v>
      </c>
      <c r="M30" s="388">
        <v>0.29591738207561008</v>
      </c>
      <c r="N30" s="389">
        <v>1.230940206944602</v>
      </c>
      <c r="O30" s="388">
        <v>5.9675832714387755E-2</v>
      </c>
      <c r="P30" s="388">
        <v>0.37937205676127977</v>
      </c>
      <c r="Q30" s="388">
        <v>1.5230681702557635E-2</v>
      </c>
      <c r="R30" s="388">
        <v>0.48468262675532076</v>
      </c>
      <c r="S30" s="389">
        <v>0.1255943927808349</v>
      </c>
      <c r="T30" s="450">
        <f t="shared" si="8"/>
        <v>0</v>
      </c>
      <c r="U30" s="388">
        <f t="shared" si="9"/>
        <v>1.0895159081050538</v>
      </c>
      <c r="V30" s="388">
        <f t="shared" si="10"/>
        <v>0.2403994770876208</v>
      </c>
      <c r="W30" s="388">
        <f t="shared" si="11"/>
        <v>2.6564309488063347</v>
      </c>
      <c r="X30" s="387">
        <f t="shared" si="12"/>
        <v>4.3722940101493434E-2</v>
      </c>
      <c r="Y30" s="390">
        <f t="shared" si="13"/>
        <v>0.61600106855234049</v>
      </c>
      <c r="Z30" s="457" t="s">
        <v>135</v>
      </c>
      <c r="AA30" s="251">
        <v>55.449324231483416</v>
      </c>
      <c r="AB30" s="251">
        <v>0.31916721320824615</v>
      </c>
      <c r="AC30" s="251">
        <v>2.752436959348914</v>
      </c>
      <c r="AD30" s="393">
        <v>0.17694218412112114</v>
      </c>
      <c r="AE30" s="251">
        <v>17.864857942870614</v>
      </c>
      <c r="AF30" s="393">
        <v>0.15196333509630963</v>
      </c>
      <c r="AG30" s="395">
        <v>37.380000000000003</v>
      </c>
      <c r="AH30" s="184">
        <v>33.701228200073572</v>
      </c>
      <c r="AI30" s="224">
        <v>1.0047096551049465E-2</v>
      </c>
      <c r="AJ30" s="184">
        <v>33.36262870645848</v>
      </c>
      <c r="AK30" s="247">
        <v>-15.497770763587866</v>
      </c>
      <c r="AL30" s="494">
        <v>28</v>
      </c>
    </row>
    <row r="31" spans="1:38" ht="19.5" customHeight="1">
      <c r="A31" s="180"/>
      <c r="B31" s="494">
        <v>29</v>
      </c>
      <c r="C31" s="396" t="s">
        <v>137</v>
      </c>
      <c r="D31" s="457">
        <v>43730</v>
      </c>
      <c r="E31" s="293">
        <v>1440</v>
      </c>
      <c r="F31" s="319">
        <v>20</v>
      </c>
      <c r="G31" s="184">
        <v>43.031999999999996</v>
      </c>
      <c r="H31" s="184">
        <v>0.84</v>
      </c>
      <c r="I31" s="184">
        <v>301.73015789999999</v>
      </c>
      <c r="J31" s="184">
        <f t="shared" si="7"/>
        <v>28.57015789999997</v>
      </c>
      <c r="K31" s="253">
        <v>0.12210151561016422</v>
      </c>
      <c r="L31" s="251">
        <v>0.71051224092263587</v>
      </c>
      <c r="M31" s="388">
        <v>0.45591276262212266</v>
      </c>
      <c r="N31" s="389">
        <v>1.1808953353428888</v>
      </c>
      <c r="O31" s="388">
        <v>7.5111981443176046E-2</v>
      </c>
      <c r="P31" s="388">
        <v>0.24328843289565094</v>
      </c>
      <c r="Q31" s="388">
        <v>2.5191326801512894E-2</v>
      </c>
      <c r="R31" s="388">
        <v>0.7414887971905374</v>
      </c>
      <c r="S31" s="389">
        <v>0.1245910969779379</v>
      </c>
      <c r="T31" s="450">
        <f t="shared" si="8"/>
        <v>1.5584390242471335</v>
      </c>
      <c r="U31" s="388">
        <f t="shared" si="9"/>
        <v>1.6255930580467624</v>
      </c>
      <c r="V31" s="388">
        <f t="shared" si="10"/>
        <v>0.38607381109668137</v>
      </c>
      <c r="W31" s="388">
        <f t="shared" si="11"/>
        <v>3.6790934898066272</v>
      </c>
      <c r="X31" s="450">
        <f t="shared" si="12"/>
        <v>8.5496688273996729E-2</v>
      </c>
      <c r="Y31" s="390">
        <f t="shared" si="13"/>
        <v>0.86035240939762958</v>
      </c>
      <c r="Z31" s="457" t="s">
        <v>138</v>
      </c>
      <c r="AA31" s="251">
        <v>-2.0964003523151962</v>
      </c>
      <c r="AB31" s="251">
        <v>0.14311552114804027</v>
      </c>
      <c r="AC31" s="251">
        <v>-6.7986200608934348</v>
      </c>
      <c r="AD31" s="393">
        <v>0.1242314891515432</v>
      </c>
      <c r="AE31" s="251">
        <v>20.648410191405613</v>
      </c>
      <c r="AF31" s="393">
        <v>6.5461167374206292E-2</v>
      </c>
      <c r="AG31" s="395">
        <v>23.24</v>
      </c>
      <c r="AH31" s="184">
        <v>33.651086995690974</v>
      </c>
      <c r="AI31" s="224">
        <v>1.0360066631675394E-2</v>
      </c>
      <c r="AJ31" s="184">
        <v>33.30245949218731</v>
      </c>
      <c r="AK31" s="247">
        <v>-12.654049300781697</v>
      </c>
      <c r="AL31" s="494">
        <v>29</v>
      </c>
    </row>
    <row r="32" spans="1:38" ht="19.5" customHeight="1">
      <c r="A32" s="180"/>
      <c r="B32" s="494">
        <v>30</v>
      </c>
      <c r="C32" s="396" t="s">
        <v>139</v>
      </c>
      <c r="D32" s="457">
        <v>43735</v>
      </c>
      <c r="E32" s="293">
        <v>1445</v>
      </c>
      <c r="F32" s="319">
        <v>20</v>
      </c>
      <c r="G32" s="184">
        <v>32.324000000000005</v>
      </c>
      <c r="H32" s="184">
        <v>0.8</v>
      </c>
      <c r="I32" s="184">
        <v>300.21557039999999</v>
      </c>
      <c r="J32" s="184">
        <f t="shared" si="7"/>
        <v>27.055570399999965</v>
      </c>
      <c r="K32" s="253">
        <v>0.48332754642193604</v>
      </c>
      <c r="L32" s="251">
        <v>0.13808839904408024</v>
      </c>
      <c r="M32" s="388">
        <v>1.7448169816231562</v>
      </c>
      <c r="N32" s="389">
        <v>14.65671005258814</v>
      </c>
      <c r="O32" s="388">
        <v>0.35126557974774841</v>
      </c>
      <c r="P32" s="388">
        <v>2.4810576226791956</v>
      </c>
      <c r="Q32" s="388">
        <v>0.13709675757897222</v>
      </c>
      <c r="R32" s="388">
        <v>3.723970839335041</v>
      </c>
      <c r="S32" s="389">
        <v>0.70596677204061387</v>
      </c>
      <c r="T32" s="450">
        <f t="shared" si="8"/>
        <v>7.9142053578376073E-2</v>
      </c>
      <c r="U32" s="388">
        <f t="shared" si="9"/>
        <v>1.3759604535378167</v>
      </c>
      <c r="V32" s="388">
        <f t="shared" si="10"/>
        <v>0.1190456095100994</v>
      </c>
      <c r="W32" s="388">
        <f t="shared" si="11"/>
        <v>24.422300551058889</v>
      </c>
      <c r="X32" s="450">
        <f t="shared" si="12"/>
        <v>0.75554697905763168</v>
      </c>
      <c r="Y32" s="390">
        <f t="shared" si="13"/>
        <v>0.94975429983174853</v>
      </c>
      <c r="Z32" s="457" t="s">
        <v>122</v>
      </c>
      <c r="AA32" s="251">
        <v>52.279448152046371</v>
      </c>
      <c r="AB32" s="251">
        <v>0.23576774361209735</v>
      </c>
      <c r="AC32" s="251">
        <v>1.7269440435000998</v>
      </c>
      <c r="AD32" s="393">
        <v>0.16799014837451803</v>
      </c>
      <c r="AE32" s="251">
        <v>24.741886076924221</v>
      </c>
      <c r="AF32" s="393">
        <v>0.21517180058836366</v>
      </c>
      <c r="AG32" s="395">
        <v>154.6</v>
      </c>
      <c r="AH32" s="184">
        <v>33.85955156963513</v>
      </c>
      <c r="AI32" s="224">
        <v>7.9778118480283225E-3</v>
      </c>
      <c r="AJ32" s="184">
        <v>33.589426437953968</v>
      </c>
      <c r="AK32" s="247">
        <v>-8.8475403610297469</v>
      </c>
      <c r="AL32" s="494">
        <v>30</v>
      </c>
    </row>
    <row r="33" spans="1:38" ht="19.5" customHeight="1">
      <c r="A33" s="180"/>
      <c r="B33" s="493">
        <v>31</v>
      </c>
      <c r="C33" s="396" t="s">
        <v>140</v>
      </c>
      <c r="D33" s="457">
        <v>43744</v>
      </c>
      <c r="E33" s="293">
        <v>1440</v>
      </c>
      <c r="F33" s="319">
        <v>30</v>
      </c>
      <c r="G33" s="184">
        <v>72.760000000000005</v>
      </c>
      <c r="H33" s="184">
        <v>0.84</v>
      </c>
      <c r="I33" s="184">
        <v>300.54610630000002</v>
      </c>
      <c r="J33" s="184">
        <f t="shared" si="7"/>
        <v>27.386106299999994</v>
      </c>
      <c r="K33" s="253">
        <v>0.45131193111604995</v>
      </c>
      <c r="L33" s="251">
        <v>0.2977019701950776</v>
      </c>
      <c r="M33" s="388">
        <v>1.5002344623814485</v>
      </c>
      <c r="N33" s="389">
        <v>5.6406842949337479</v>
      </c>
      <c r="O33" s="388">
        <v>0.158976418351129</v>
      </c>
      <c r="P33" s="388">
        <v>1.897068045064209</v>
      </c>
      <c r="Q33" s="388">
        <v>4.3870985338888835E-2</v>
      </c>
      <c r="R33" s="388">
        <v>1.1955270307266583</v>
      </c>
      <c r="S33" s="389">
        <v>0.66244885604008974</v>
      </c>
      <c r="T33" s="450">
        <f t="shared" si="8"/>
        <v>0.19843696279480888</v>
      </c>
      <c r="U33" s="388">
        <f t="shared" si="9"/>
        <v>2.8388608562009718</v>
      </c>
      <c r="V33" s="388">
        <f t="shared" si="10"/>
        <v>0.26596674870261805</v>
      </c>
      <c r="W33" s="388">
        <f t="shared" si="11"/>
        <v>11.847823994147301</v>
      </c>
      <c r="X33" s="450">
        <f t="shared" si="12"/>
        <v>0.16283430448250824</v>
      </c>
      <c r="Y33" s="390">
        <f t="shared" si="13"/>
        <v>0.83580134778039239</v>
      </c>
      <c r="Z33" s="457" t="s">
        <v>99</v>
      </c>
      <c r="AA33" s="251">
        <v>46.98146723397047</v>
      </c>
      <c r="AB33" s="251">
        <v>7.5071769753275397E-2</v>
      </c>
      <c r="AC33" s="251">
        <v>-0.20425753740075958</v>
      </c>
      <c r="AD33" s="393">
        <v>0.13435282547072822</v>
      </c>
      <c r="AE33" s="251">
        <v>16.909777890702827</v>
      </c>
      <c r="AF33" s="393">
        <v>0.41372842384176317</v>
      </c>
      <c r="AG33" s="395">
        <v>66.69</v>
      </c>
      <c r="AH33" s="184">
        <v>33.813878085318507</v>
      </c>
      <c r="AI33" s="224">
        <v>2.7659267251630676E-2</v>
      </c>
      <c r="AJ33" s="184">
        <v>32.878610994542626</v>
      </c>
      <c r="AK33" s="247">
        <v>-15.968833103839799</v>
      </c>
      <c r="AL33" s="493">
        <v>31</v>
      </c>
    </row>
    <row r="34" spans="1:38" ht="19.5" customHeight="1">
      <c r="A34" s="180"/>
      <c r="B34" s="493">
        <v>32</v>
      </c>
      <c r="C34" s="396" t="s">
        <v>141</v>
      </c>
      <c r="D34" s="457">
        <v>43753</v>
      </c>
      <c r="E34" s="293">
        <v>1440</v>
      </c>
      <c r="F34" s="319">
        <v>30</v>
      </c>
      <c r="G34" s="184">
        <v>64.999999999999986</v>
      </c>
      <c r="H34" s="184">
        <v>0.71750000000000003</v>
      </c>
      <c r="I34" s="184">
        <v>300.61565589999998</v>
      </c>
      <c r="J34" s="184">
        <f t="shared" si="7"/>
        <v>27.455655899999954</v>
      </c>
      <c r="K34" s="253">
        <v>1.3156051909793893</v>
      </c>
      <c r="L34" s="251">
        <v>0</v>
      </c>
      <c r="M34" s="388">
        <v>1.292462683477297</v>
      </c>
      <c r="N34" s="389">
        <v>3.1076228920088633</v>
      </c>
      <c r="O34" s="388">
        <v>0.206080542307019</v>
      </c>
      <c r="P34" s="388">
        <v>0.18854334146268423</v>
      </c>
      <c r="Q34" s="388">
        <v>4.4905678389334319E-2</v>
      </c>
      <c r="R34" s="388">
        <v>1.3356031236913219</v>
      </c>
      <c r="S34" s="389">
        <v>0.50319844950752801</v>
      </c>
      <c r="T34" s="450">
        <f t="shared" si="8"/>
        <v>0</v>
      </c>
      <c r="U34" s="388">
        <f t="shared" si="9"/>
        <v>6.3839369610130365</v>
      </c>
      <c r="V34" s="388">
        <f t="shared" si="10"/>
        <v>0.41590074741720323</v>
      </c>
      <c r="W34" s="388">
        <f t="shared" si="11"/>
        <v>7.9940219018234364</v>
      </c>
      <c r="X34" s="450">
        <f t="shared" si="12"/>
        <v>0.1229849523357452</v>
      </c>
      <c r="Y34" s="390">
        <f t="shared" si="13"/>
        <v>1.1975273718807411</v>
      </c>
      <c r="Z34" s="457" t="s">
        <v>142</v>
      </c>
      <c r="AA34" s="251">
        <v>61.002776785051914</v>
      </c>
      <c r="AB34" s="251">
        <v>6.3879171348904293E-2</v>
      </c>
      <c r="AC34" s="251">
        <v>2.4433723257688249</v>
      </c>
      <c r="AD34" s="393">
        <v>0.25849466941922633</v>
      </c>
      <c r="AE34" s="251">
        <v>19.393675549600101</v>
      </c>
      <c r="AF34" s="393">
        <v>0.29511626830565574</v>
      </c>
      <c r="AG34" s="395">
        <v>13.13</v>
      </c>
      <c r="AH34" s="184">
        <v>33.804280504827673</v>
      </c>
      <c r="AI34" s="224">
        <v>1.415645364727835E-2</v>
      </c>
      <c r="AJ34" s="184">
        <v>33.325731774781488</v>
      </c>
      <c r="AK34" s="247">
        <v>-13.932056225181388</v>
      </c>
      <c r="AL34" s="493">
        <v>32</v>
      </c>
    </row>
    <row r="35" spans="1:38" ht="19.5" customHeight="1">
      <c r="A35" s="180"/>
      <c r="B35" s="493">
        <v>33</v>
      </c>
      <c r="C35" s="396" t="s">
        <v>143</v>
      </c>
      <c r="D35" s="457">
        <v>43757</v>
      </c>
      <c r="E35" s="293">
        <v>1440</v>
      </c>
      <c r="F35" s="319">
        <v>30</v>
      </c>
      <c r="G35" s="184">
        <v>74.096000000000018</v>
      </c>
      <c r="H35" s="184">
        <v>0.72624999999999995</v>
      </c>
      <c r="I35" s="184">
        <v>299.33086589999999</v>
      </c>
      <c r="J35" s="184">
        <f t="shared" si="7"/>
        <v>26.170865899999967</v>
      </c>
      <c r="K35" s="253">
        <v>0.39134308547460228</v>
      </c>
      <c r="L35" s="251">
        <v>0.44784323175918284</v>
      </c>
      <c r="M35" s="388">
        <v>1.1463557908254469</v>
      </c>
      <c r="N35" s="389">
        <v>1.931909314488496</v>
      </c>
      <c r="O35" s="388">
        <v>0.11505500547333961</v>
      </c>
      <c r="P35" s="388">
        <v>0.12091705204549004</v>
      </c>
      <c r="Q35" s="388">
        <v>3.9566662249035579E-2</v>
      </c>
      <c r="R35" s="388">
        <v>1.2138609073011295</v>
      </c>
      <c r="S35" s="389">
        <v>0.19222235496413184</v>
      </c>
      <c r="T35" s="450">
        <f t="shared" si="8"/>
        <v>0.39066687266150424</v>
      </c>
      <c r="U35" s="388">
        <f t="shared" si="9"/>
        <v>3.401356454372459</v>
      </c>
      <c r="V35" s="388">
        <f t="shared" si="10"/>
        <v>0.5933797110600727</v>
      </c>
      <c r="W35" s="388">
        <f t="shared" si="11"/>
        <v>5.5990734045808557</v>
      </c>
      <c r="X35" s="450">
        <f t="shared" si="12"/>
        <v>7.5565123685230703E-2</v>
      </c>
      <c r="Y35" s="390">
        <f t="shared" si="13"/>
        <v>0.98779279527774466</v>
      </c>
      <c r="Z35" s="457" t="s">
        <v>99</v>
      </c>
      <c r="AA35" s="251">
        <v>35.680220267470197</v>
      </c>
      <c r="AB35" s="251">
        <v>0.16891571171803582</v>
      </c>
      <c r="AC35" s="251">
        <v>-3.6793386014621703</v>
      </c>
      <c r="AD35" s="393">
        <v>0.24245346080267952</v>
      </c>
      <c r="AE35" s="251">
        <v>29.120973420389046</v>
      </c>
      <c r="AF35" s="393">
        <v>0.27084002666668183</v>
      </c>
      <c r="AG35" s="395">
        <v>12.12</v>
      </c>
      <c r="AH35" s="184">
        <v>33.982296439142317</v>
      </c>
      <c r="AI35" s="224">
        <v>9.8781040285935515E-3</v>
      </c>
      <c r="AJ35" s="184">
        <v>33.646615779785961</v>
      </c>
      <c r="AK35" s="247">
        <v>-4.5256423593969153</v>
      </c>
      <c r="AL35" s="493">
        <v>33</v>
      </c>
    </row>
    <row r="36" spans="1:38" ht="19.5" customHeight="1">
      <c r="A36" s="180"/>
      <c r="B36" s="493">
        <v>34</v>
      </c>
      <c r="C36" s="492" t="s">
        <v>144</v>
      </c>
      <c r="D36" s="455">
        <v>43783</v>
      </c>
      <c r="E36" s="347">
        <v>1440</v>
      </c>
      <c r="F36" s="348">
        <v>30</v>
      </c>
      <c r="G36" s="177">
        <v>79.215999999999994</v>
      </c>
      <c r="H36" s="177">
        <v>0.63500000000000001</v>
      </c>
      <c r="I36" s="177">
        <v>297.78350260000002</v>
      </c>
      <c r="J36" s="184">
        <f t="shared" si="7"/>
        <v>24.623502599999995</v>
      </c>
      <c r="K36" s="252">
        <v>8.4234589882961383E-2</v>
      </c>
      <c r="L36" s="413">
        <v>0</v>
      </c>
      <c r="M36" s="453">
        <v>0.71192388948040253</v>
      </c>
      <c r="N36" s="454">
        <v>4.7147178082540853</v>
      </c>
      <c r="O36" s="453">
        <v>0.11099704884876124</v>
      </c>
      <c r="P36" s="453">
        <v>1.5461592806229156</v>
      </c>
      <c r="Q36" s="453">
        <v>5.7115056384591113E-2</v>
      </c>
      <c r="R36" s="453">
        <v>1.1603761090928701</v>
      </c>
      <c r="S36" s="454">
        <v>0.42288918092109001</v>
      </c>
      <c r="T36" s="450">
        <f t="shared" si="8"/>
        <v>0</v>
      </c>
      <c r="U36" s="388">
        <f t="shared" si="9"/>
        <v>0.75889035570427654</v>
      </c>
      <c r="V36" s="388">
        <f t="shared" si="10"/>
        <v>0.15100031824471721</v>
      </c>
      <c r="W36" s="388">
        <f t="shared" si="11"/>
        <v>8.808412963487676</v>
      </c>
      <c r="X36" s="450">
        <f t="shared" si="12"/>
        <v>0.11119487178710963</v>
      </c>
      <c r="Y36" s="390">
        <f t="shared" si="13"/>
        <v>0.68217687909814539</v>
      </c>
      <c r="Z36" s="457" t="s">
        <v>145</v>
      </c>
      <c r="AA36" s="251">
        <v>64.537034243879873</v>
      </c>
      <c r="AB36" s="251">
        <v>6.5031566103981406E-2</v>
      </c>
      <c r="AC36" s="251">
        <v>3.11165766090582</v>
      </c>
      <c r="AD36" s="393">
        <v>0.27469586124655798</v>
      </c>
      <c r="AE36" s="251">
        <v>17.060858111665613</v>
      </c>
      <c r="AF36" s="393">
        <v>0.21162971929330013</v>
      </c>
      <c r="AG36" s="395">
        <v>84.88</v>
      </c>
      <c r="AH36" s="184">
        <v>34.19873268045896</v>
      </c>
      <c r="AI36" s="224">
        <v>1.7889945515252935E-2</v>
      </c>
      <c r="AJ36" s="184">
        <v>33.58691921611485</v>
      </c>
      <c r="AK36" s="247">
        <v>-16.526061104449237</v>
      </c>
      <c r="AL36" s="493">
        <v>34</v>
      </c>
    </row>
    <row r="37" spans="1:38" ht="19.5" customHeight="1">
      <c r="A37" s="485"/>
      <c r="B37" s="449" t="s">
        <v>146</v>
      </c>
      <c r="C37" s="448"/>
      <c r="D37" s="440"/>
      <c r="E37" s="447"/>
      <c r="F37" s="446"/>
      <c r="G37" s="445"/>
      <c r="H37" s="435"/>
      <c r="I37" s="445"/>
      <c r="J37" s="445"/>
      <c r="K37" s="444"/>
      <c r="L37" s="438"/>
      <c r="M37" s="443"/>
      <c r="N37" s="443"/>
      <c r="O37" s="443"/>
      <c r="P37" s="443"/>
      <c r="Q37" s="443"/>
      <c r="R37" s="443"/>
      <c r="S37" s="443"/>
      <c r="T37" s="442"/>
      <c r="U37" s="443"/>
      <c r="V37" s="443"/>
      <c r="W37" s="443"/>
      <c r="X37" s="442"/>
      <c r="Y37" s="441"/>
      <c r="Z37" s="440"/>
      <c r="AA37" s="438"/>
      <c r="AB37" s="438"/>
      <c r="AC37" s="438"/>
      <c r="AD37" s="439"/>
      <c r="AE37" s="438"/>
      <c r="AF37" s="438"/>
      <c r="AG37" s="437"/>
      <c r="AH37" s="435"/>
      <c r="AI37" s="436"/>
      <c r="AJ37" s="435"/>
      <c r="AK37" s="434"/>
      <c r="AL37" s="449" t="s">
        <v>146</v>
      </c>
    </row>
    <row r="38" spans="1:38" ht="19.5" customHeight="1">
      <c r="A38" s="409"/>
      <c r="B38" s="484">
        <v>35</v>
      </c>
      <c r="C38" s="480" t="s">
        <v>147</v>
      </c>
      <c r="D38" s="479">
        <v>43826</v>
      </c>
      <c r="E38" s="400">
        <v>1440</v>
      </c>
      <c r="F38" s="400">
        <v>50</v>
      </c>
      <c r="G38" s="190">
        <v>262.96800000000002</v>
      </c>
      <c r="H38" s="189">
        <v>0.6</v>
      </c>
      <c r="I38" s="190">
        <v>289</v>
      </c>
      <c r="J38" s="184">
        <f>I38-273.16</f>
        <v>15.839999999999975</v>
      </c>
      <c r="K38" s="284">
        <v>0.69245718914572219</v>
      </c>
      <c r="L38" s="283">
        <v>4.2346052399747966E-2</v>
      </c>
      <c r="M38" s="283">
        <v>5.0313697399455384</v>
      </c>
      <c r="N38" s="283">
        <v>7.8479531109867828</v>
      </c>
      <c r="O38" s="284">
        <v>0.15467726305728938</v>
      </c>
      <c r="P38" s="283">
        <v>2.8432851454460515</v>
      </c>
      <c r="Q38" s="283">
        <v>0.14761455775478391</v>
      </c>
      <c r="R38" s="283">
        <v>2.3113004973943898</v>
      </c>
      <c r="S38" s="283">
        <v>0.53529111966750131</v>
      </c>
      <c r="T38" s="405">
        <f>L38/M38</f>
        <v>8.4164063840409271E-3</v>
      </c>
      <c r="U38" s="404">
        <f>K38/O38</f>
        <v>4.4767871855170451</v>
      </c>
      <c r="V38" s="403">
        <f>M38/N38</f>
        <v>0.64110598888541348</v>
      </c>
      <c r="W38" s="402">
        <f>SUM(K38:S38)</f>
        <v>19.606294675797809</v>
      </c>
      <c r="X38" s="401">
        <f>W38/G38</f>
        <v>7.4557720619230508E-2</v>
      </c>
      <c r="Y38" s="255">
        <f>(M38/62+N38/96*2+K38/35+L38/44)/(P38/18+S38/39+O38/23+Q38/24*2+R38/40*2)</f>
        <v>0.86652611375217292</v>
      </c>
      <c r="Z38" s="400" t="s">
        <v>148</v>
      </c>
      <c r="AA38" s="399">
        <v>70.197833711567071</v>
      </c>
      <c r="AB38" s="399">
        <v>0.13258224813344899</v>
      </c>
      <c r="AC38" s="248">
        <v>-2.8694603612065457</v>
      </c>
      <c r="AD38" s="407">
        <v>0.32207428125613918</v>
      </c>
      <c r="AE38" s="255">
        <v>18.110541801850378</v>
      </c>
      <c r="AF38" s="248">
        <v>0.29386445480104656</v>
      </c>
      <c r="AG38" s="284">
        <v>101</v>
      </c>
      <c r="AH38" s="189">
        <v>35.471776470588239</v>
      </c>
      <c r="AI38" s="478">
        <v>2.7380539256473435E-2</v>
      </c>
      <c r="AJ38" s="189">
        <v>34.50054010243845</v>
      </c>
      <c r="AK38" s="285">
        <v>-16.389998300588051</v>
      </c>
      <c r="AL38" s="484">
        <v>35</v>
      </c>
    </row>
    <row r="39" spans="1:38" ht="19.5" customHeight="1">
      <c r="A39" s="395"/>
      <c r="B39" s="483">
        <v>36</v>
      </c>
      <c r="C39" s="458" t="s">
        <v>149</v>
      </c>
      <c r="D39" s="457">
        <v>43838</v>
      </c>
      <c r="E39" s="319">
        <v>1440</v>
      </c>
      <c r="F39" s="319">
        <v>50</v>
      </c>
      <c r="G39" s="183">
        <v>163.232</v>
      </c>
      <c r="H39" s="182">
        <v>0.35</v>
      </c>
      <c r="I39" s="183">
        <v>288</v>
      </c>
      <c r="J39" s="184">
        <f>I39-273.16</f>
        <v>14.839999999999975</v>
      </c>
      <c r="K39" s="225">
        <v>0.25486606648116078</v>
      </c>
      <c r="L39" s="199">
        <v>0</v>
      </c>
      <c r="M39" s="199">
        <v>0.99755756341620883</v>
      </c>
      <c r="N39" s="199">
        <v>2.9877128083196016</v>
      </c>
      <c r="O39" s="225">
        <v>0.13147271383476453</v>
      </c>
      <c r="P39" s="199">
        <v>0.33609132229977301</v>
      </c>
      <c r="Q39" s="199">
        <v>6.966668283609509E-2</v>
      </c>
      <c r="R39" s="199">
        <v>2.0785072778562963</v>
      </c>
      <c r="S39" s="199">
        <v>0.25805533502069494</v>
      </c>
      <c r="T39" s="391">
        <f>L39/M39</f>
        <v>0</v>
      </c>
      <c r="U39" s="390">
        <f>K39/O39</f>
        <v>1.9385472395547989</v>
      </c>
      <c r="V39" s="389">
        <f>M39/N39</f>
        <v>0.33388669775702823</v>
      </c>
      <c r="W39" s="388">
        <f>SUM(K39:S39)</f>
        <v>7.1139297700645958</v>
      </c>
      <c r="X39" s="387">
        <f>W39/G39</f>
        <v>4.3581710510589809E-2</v>
      </c>
      <c r="Y39" s="253">
        <f>(M39/62+N39/96*2+K39/35+L39/44)/(P39/18+S39/39+O39/23+Q39/24*2+R39/40*2)</f>
        <v>0.60834288121772351</v>
      </c>
      <c r="Z39" s="319" t="s">
        <v>148</v>
      </c>
      <c r="AA39" s="386">
        <v>64.357166271567579</v>
      </c>
      <c r="AB39" s="386">
        <v>0.32500066593085836</v>
      </c>
      <c r="AC39" s="251">
        <v>4.2305534355736611</v>
      </c>
      <c r="AD39" s="393">
        <v>7.7293523082722596E-2</v>
      </c>
      <c r="AE39" s="253">
        <v>25.097079080951161</v>
      </c>
      <c r="AF39" s="251">
        <v>0.38426209272848832</v>
      </c>
      <c r="AG39" s="225">
        <v>34.340000000000003</v>
      </c>
      <c r="AH39" s="182">
        <v>35.62157222222222</v>
      </c>
      <c r="AI39" s="318">
        <v>9.6923069897337805E-3</v>
      </c>
      <c r="AJ39" s="182">
        <v>35.276317008787466</v>
      </c>
      <c r="AK39" s="261">
        <v>-10.179237927836265</v>
      </c>
      <c r="AL39" s="483">
        <v>36</v>
      </c>
    </row>
    <row r="40" spans="1:38" ht="19.5" customHeight="1">
      <c r="A40" s="482"/>
      <c r="B40" s="449" t="s">
        <v>146</v>
      </c>
      <c r="C40" s="448"/>
      <c r="D40" s="440"/>
      <c r="E40" s="447"/>
      <c r="F40" s="446"/>
      <c r="G40" s="445"/>
      <c r="H40" s="435"/>
      <c r="I40" s="445"/>
      <c r="J40" s="445"/>
      <c r="K40" s="444"/>
      <c r="L40" s="438"/>
      <c r="M40" s="443"/>
      <c r="N40" s="443"/>
      <c r="O40" s="443"/>
      <c r="P40" s="443"/>
      <c r="Q40" s="443"/>
      <c r="R40" s="443"/>
      <c r="S40" s="443"/>
      <c r="T40" s="442"/>
      <c r="U40" s="443"/>
      <c r="V40" s="443"/>
      <c r="W40" s="443"/>
      <c r="X40" s="442"/>
      <c r="Y40" s="441"/>
      <c r="Z40" s="440"/>
      <c r="AA40" s="438"/>
      <c r="AB40" s="438"/>
      <c r="AC40" s="438"/>
      <c r="AD40" s="439"/>
      <c r="AE40" s="438"/>
      <c r="AF40" s="438"/>
      <c r="AG40" s="437"/>
      <c r="AH40" s="435"/>
      <c r="AI40" s="436"/>
      <c r="AJ40" s="435"/>
      <c r="AK40" s="434"/>
      <c r="AL40" s="449" t="s">
        <v>146</v>
      </c>
    </row>
    <row r="41" spans="1:38" ht="19.5" customHeight="1">
      <c r="A41" s="293"/>
      <c r="B41" s="481">
        <v>37</v>
      </c>
      <c r="C41" s="480" t="s">
        <v>150</v>
      </c>
      <c r="D41" s="479">
        <v>44063</v>
      </c>
      <c r="E41" s="400">
        <v>1440</v>
      </c>
      <c r="F41" s="400">
        <v>50</v>
      </c>
      <c r="G41" s="190">
        <v>11.166666666666668</v>
      </c>
      <c r="H41" s="189">
        <v>0.55500000000000005</v>
      </c>
      <c r="I41" s="190">
        <v>301</v>
      </c>
      <c r="J41" s="189">
        <f t="shared" ref="J41:J48" si="14">I41-273.16</f>
        <v>27.839999999999975</v>
      </c>
      <c r="K41" s="284">
        <v>8.1148583489899367E-2</v>
      </c>
      <c r="L41" s="283">
        <v>6.2606448159972211E-2</v>
      </c>
      <c r="M41" s="283">
        <v>0.27455191798021178</v>
      </c>
      <c r="N41" s="283">
        <v>0.89785239004307793</v>
      </c>
      <c r="O41" s="284">
        <v>6.3960498558515572E-2</v>
      </c>
      <c r="P41" s="283">
        <v>0.19932720901281203</v>
      </c>
      <c r="Q41" s="283">
        <v>8.4351175859876532E-3</v>
      </c>
      <c r="R41" s="283">
        <v>0.33655176092830758</v>
      </c>
      <c r="S41" s="283">
        <v>5.5877738451580117E-2</v>
      </c>
      <c r="T41" s="405">
        <f t="shared" ref="T41:T48" si="15">L41/M41</f>
        <v>0.22803136332300014</v>
      </c>
      <c r="U41" s="404">
        <f t="shared" ref="U41:U48" si="16">K41/O41</f>
        <v>1.2687296897108913</v>
      </c>
      <c r="V41" s="403">
        <f t="shared" ref="V41:V48" si="17">M41/N41</f>
        <v>0.30578736663722539</v>
      </c>
      <c r="W41" s="402">
        <f t="shared" ref="W41:W48" si="18">SUM(K41:S41)</f>
        <v>1.980311664210364</v>
      </c>
      <c r="X41" s="401">
        <f t="shared" ref="X41:X48" si="19">W41/G41</f>
        <v>0.17734134306361465</v>
      </c>
      <c r="Y41" s="255">
        <f t="shared" ref="Y41:Y48" si="20">(M41/62+N41/96*2+K41/35+L41/44)/(P41/18+S41/39+O41/23+Q41/24*2+R41/40*2)</f>
        <v>0.81891034821300168</v>
      </c>
      <c r="Z41" s="400" t="s">
        <v>148</v>
      </c>
      <c r="AA41" s="399">
        <v>38.875368114738862</v>
      </c>
      <c r="AB41" s="399">
        <v>0.34024159104325474</v>
      </c>
      <c r="AC41" s="248">
        <v>1.5122481440222162</v>
      </c>
      <c r="AD41" s="407">
        <v>0.75739493775505995</v>
      </c>
      <c r="AE41" s="255">
        <v>17.273229168500464</v>
      </c>
      <c r="AF41" s="248">
        <v>0.32604385179445433</v>
      </c>
      <c r="AG41" s="284">
        <v>20.2</v>
      </c>
      <c r="AH41" s="189">
        <v>33.751862458471763</v>
      </c>
      <c r="AI41" s="478">
        <v>9.7712638740725475E-3</v>
      </c>
      <c r="AJ41" s="189">
        <v>33.422064104148632</v>
      </c>
      <c r="AK41" s="285">
        <v>-16.148834935648168</v>
      </c>
      <c r="AL41" s="481">
        <v>37</v>
      </c>
    </row>
    <row r="42" spans="1:38" ht="19.5" customHeight="1">
      <c r="A42" s="293"/>
      <c r="B42" s="476">
        <v>38</v>
      </c>
      <c r="C42" s="458" t="s">
        <v>151</v>
      </c>
      <c r="D42" s="457">
        <v>44073</v>
      </c>
      <c r="E42" s="319">
        <v>1440</v>
      </c>
      <c r="F42" s="319">
        <v>50</v>
      </c>
      <c r="G42" s="183">
        <v>33.223076923076924</v>
      </c>
      <c r="H42" s="182">
        <v>0.55500000000000005</v>
      </c>
      <c r="I42" s="183">
        <v>302</v>
      </c>
      <c r="J42" s="182">
        <f t="shared" si="14"/>
        <v>28.839999999999975</v>
      </c>
      <c r="K42" s="225">
        <v>0.17042006780485311</v>
      </c>
      <c r="L42" s="199">
        <v>0.11766848468550656</v>
      </c>
      <c r="M42" s="199">
        <v>0.28562484952232992</v>
      </c>
      <c r="N42" s="199">
        <v>2.3053094064333903</v>
      </c>
      <c r="O42" s="225">
        <v>0.1645036793096851</v>
      </c>
      <c r="P42" s="199">
        <v>0.39164942685726756</v>
      </c>
      <c r="Q42" s="199">
        <v>2.384306047572057E-2</v>
      </c>
      <c r="R42" s="199">
        <v>0.50825255792312496</v>
      </c>
      <c r="S42" s="199">
        <v>0.10828146689434924</v>
      </c>
      <c r="T42" s="391">
        <f t="shared" si="15"/>
        <v>0.41196865357580637</v>
      </c>
      <c r="U42" s="390">
        <f t="shared" si="16"/>
        <v>1.0359650830911213</v>
      </c>
      <c r="V42" s="389">
        <f t="shared" si="17"/>
        <v>0.12389870475747905</v>
      </c>
      <c r="W42" s="388">
        <f t="shared" si="18"/>
        <v>4.0755529999062272</v>
      </c>
      <c r="X42" s="387">
        <f t="shared" si="19"/>
        <v>0.12267235239356553</v>
      </c>
      <c r="Y42" s="253">
        <f t="shared" si="20"/>
        <v>1.018463184487121</v>
      </c>
      <c r="Z42" s="319" t="s">
        <v>148</v>
      </c>
      <c r="AA42" s="386">
        <v>32.703835716967546</v>
      </c>
      <c r="AB42" s="386">
        <v>0.38235474402410752</v>
      </c>
      <c r="AC42" s="251">
        <v>-0.61118196327772478</v>
      </c>
      <c r="AD42" s="393">
        <v>0.41903955277661969</v>
      </c>
      <c r="AE42" s="253">
        <v>21.291824433176224</v>
      </c>
      <c r="AF42" s="251">
        <v>0.2481751275315158</v>
      </c>
      <c r="AG42" s="225">
        <v>22.21</v>
      </c>
      <c r="AH42" s="182">
        <v>33.614705960264899</v>
      </c>
      <c r="AI42" s="318">
        <v>1.732835597351914E-2</v>
      </c>
      <c r="AJ42" s="182">
        <v>33.032218369440251</v>
      </c>
      <c r="AK42" s="261">
        <v>-11.740393936264027</v>
      </c>
      <c r="AL42" s="476">
        <v>38</v>
      </c>
    </row>
    <row r="43" spans="1:38" ht="19.5" customHeight="1">
      <c r="A43" s="293"/>
      <c r="B43" s="476">
        <v>39</v>
      </c>
      <c r="C43" s="458" t="s">
        <v>152</v>
      </c>
      <c r="D43" s="457">
        <v>44079</v>
      </c>
      <c r="E43" s="319">
        <v>1445</v>
      </c>
      <c r="F43" s="319">
        <v>50</v>
      </c>
      <c r="G43" s="183">
        <v>27.455999999999996</v>
      </c>
      <c r="H43" s="182">
        <v>0.7</v>
      </c>
      <c r="I43" s="183">
        <v>303</v>
      </c>
      <c r="J43" s="182">
        <f t="shared" si="14"/>
        <v>29.839999999999975</v>
      </c>
      <c r="K43" s="225">
        <v>0.65716101581861475</v>
      </c>
      <c r="L43" s="199">
        <v>6.6997811098992721E-2</v>
      </c>
      <c r="M43" s="199">
        <v>0.52152711797734685</v>
      </c>
      <c r="N43" s="199">
        <v>1.6228705132542782</v>
      </c>
      <c r="O43" s="225">
        <v>0.1446740802808219</v>
      </c>
      <c r="P43" s="199">
        <v>0.22319940223630161</v>
      </c>
      <c r="Q43" s="199">
        <v>2.0922790086244421E-2</v>
      </c>
      <c r="R43" s="199">
        <v>0.85908498627678986</v>
      </c>
      <c r="S43" s="199">
        <v>0.18016972030685405</v>
      </c>
      <c r="T43" s="391">
        <f t="shared" si="15"/>
        <v>0.12846467381951718</v>
      </c>
      <c r="U43" s="390">
        <f t="shared" si="16"/>
        <v>4.5423548886090863</v>
      </c>
      <c r="V43" s="389">
        <f t="shared" si="17"/>
        <v>0.32136089337870161</v>
      </c>
      <c r="W43" s="388">
        <f t="shared" si="18"/>
        <v>4.2966074373362444</v>
      </c>
      <c r="X43" s="387">
        <f t="shared" si="19"/>
        <v>0.15649065549738655</v>
      </c>
      <c r="Y43" s="253">
        <f t="shared" si="20"/>
        <v>0.91931120312368875</v>
      </c>
      <c r="Z43" s="319" t="s">
        <v>148</v>
      </c>
      <c r="AA43" s="386">
        <v>48.873128199010445</v>
      </c>
      <c r="AB43" s="386">
        <v>0.15786211469431805</v>
      </c>
      <c r="AC43" s="251">
        <v>5.326020914057163</v>
      </c>
      <c r="AD43" s="393">
        <v>0.3524942892426926</v>
      </c>
      <c r="AE43" s="253">
        <v>9.8502641299528282</v>
      </c>
      <c r="AF43" s="251">
        <v>0.22334165204692322</v>
      </c>
      <c r="AG43" s="225">
        <v>21.21</v>
      </c>
      <c r="AH43" s="182">
        <v>33.478454785478547</v>
      </c>
      <c r="AI43" s="318">
        <v>1.0413723030683575E-2</v>
      </c>
      <c r="AJ43" s="182">
        <v>33.129819429847309</v>
      </c>
      <c r="AK43" s="261">
        <v>-23.279555299894483</v>
      </c>
      <c r="AL43" s="476">
        <v>39</v>
      </c>
    </row>
    <row r="44" spans="1:38" ht="19.5" customHeight="1">
      <c r="A44" s="293"/>
      <c r="B44" s="476">
        <v>40</v>
      </c>
      <c r="C44" s="458" t="s">
        <v>153</v>
      </c>
      <c r="D44" s="457">
        <v>44087</v>
      </c>
      <c r="E44" s="319">
        <v>1440</v>
      </c>
      <c r="F44" s="319">
        <v>50</v>
      </c>
      <c r="G44" s="183">
        <v>17.54</v>
      </c>
      <c r="H44" s="182">
        <v>0.45</v>
      </c>
      <c r="I44" s="183">
        <v>302</v>
      </c>
      <c r="J44" s="182">
        <f t="shared" si="14"/>
        <v>28.839999999999975</v>
      </c>
      <c r="K44" s="225">
        <v>9.0276793823005019E-2</v>
      </c>
      <c r="L44" s="199">
        <v>6.3458236570311966E-2</v>
      </c>
      <c r="M44" s="199">
        <v>0.25119938927920615</v>
      </c>
      <c r="N44" s="199">
        <v>0.30603489986430726</v>
      </c>
      <c r="O44" s="225">
        <v>4.2443014776914083E-2</v>
      </c>
      <c r="P44" s="199">
        <v>6.6714201603395626E-2</v>
      </c>
      <c r="Q44" s="199">
        <v>1.1482842553187572E-2</v>
      </c>
      <c r="R44" s="199">
        <v>0.48813275306402376</v>
      </c>
      <c r="S44" s="199">
        <v>5.2697306753372843E-2</v>
      </c>
      <c r="T44" s="391">
        <f t="shared" si="15"/>
        <v>0.25262098268789435</v>
      </c>
      <c r="U44" s="390">
        <f t="shared" si="16"/>
        <v>2.1270118133104212</v>
      </c>
      <c r="V44" s="389">
        <f t="shared" si="17"/>
        <v>0.82081942089149107</v>
      </c>
      <c r="W44" s="388">
        <f t="shared" si="18"/>
        <v>1.3724394382877243</v>
      </c>
      <c r="X44" s="387">
        <f t="shared" si="19"/>
        <v>7.8246262160075505E-2</v>
      </c>
      <c r="Y44" s="253">
        <f t="shared" si="20"/>
        <v>0.44779952567278208</v>
      </c>
      <c r="Z44" s="319" t="s">
        <v>148</v>
      </c>
      <c r="AA44" s="251">
        <v>56.117329086817811</v>
      </c>
      <c r="AB44" s="251">
        <v>0.13171320588257288</v>
      </c>
      <c r="AC44" s="251">
        <v>2.4592306512361772</v>
      </c>
      <c r="AD44" s="393">
        <v>9.8945082089246114E-2</v>
      </c>
      <c r="AE44" s="535"/>
      <c r="AF44" s="477" t="s">
        <v>115</v>
      </c>
      <c r="AG44" s="381"/>
      <c r="AH44" s="382"/>
      <c r="AI44" s="461"/>
      <c r="AJ44" s="382"/>
      <c r="AK44" s="460"/>
      <c r="AL44" s="476">
        <v>40</v>
      </c>
    </row>
    <row r="45" spans="1:38" ht="19.5" customHeight="1">
      <c r="A45" s="293"/>
      <c r="B45" s="476">
        <v>41</v>
      </c>
      <c r="C45" s="458" t="s">
        <v>154</v>
      </c>
      <c r="D45" s="457">
        <v>44099</v>
      </c>
      <c r="E45" s="319">
        <v>1440</v>
      </c>
      <c r="F45" s="319">
        <v>50</v>
      </c>
      <c r="G45" s="183">
        <v>22.124000000000002</v>
      </c>
      <c r="H45" s="182">
        <v>0.53500000000000003</v>
      </c>
      <c r="I45" s="183">
        <v>301</v>
      </c>
      <c r="J45" s="182">
        <f t="shared" si="14"/>
        <v>27.839999999999975</v>
      </c>
      <c r="K45" s="225">
        <v>9.1684227134276805E-2</v>
      </c>
      <c r="L45" s="199">
        <v>7.4896538080588729E-2</v>
      </c>
      <c r="M45" s="199">
        <v>0.18241944912335684</v>
      </c>
      <c r="N45" s="199">
        <v>0.8169478149421513</v>
      </c>
      <c r="O45" s="225">
        <v>0.13307098635774456</v>
      </c>
      <c r="P45" s="199">
        <v>0.18691095482551343</v>
      </c>
      <c r="Q45" s="199">
        <v>2.0071885642569159E-2</v>
      </c>
      <c r="R45" s="199">
        <v>0.36316753293412868</v>
      </c>
      <c r="S45" s="199">
        <v>0.10754752111783986</v>
      </c>
      <c r="T45" s="451">
        <f t="shared" si="15"/>
        <v>0.41057320609460735</v>
      </c>
      <c r="U45" s="390">
        <f t="shared" si="16"/>
        <v>0.68898735662629962</v>
      </c>
      <c r="V45" s="389">
        <f t="shared" si="17"/>
        <v>0.2232938821634208</v>
      </c>
      <c r="W45" s="388">
        <f t="shared" si="18"/>
        <v>1.9767169101581694</v>
      </c>
      <c r="X45" s="450">
        <f t="shared" si="19"/>
        <v>8.9347175472706986E-2</v>
      </c>
      <c r="Y45" s="253">
        <f t="shared" si="20"/>
        <v>0.62654293444921039</v>
      </c>
      <c r="Z45" s="319" t="s">
        <v>148</v>
      </c>
      <c r="AA45" s="386">
        <v>33.07164270585691</v>
      </c>
      <c r="AB45" s="386">
        <v>0.69173608415256105</v>
      </c>
      <c r="AC45" s="199">
        <v>-1.9551556766799105</v>
      </c>
      <c r="AD45" s="501">
        <v>0.15105013769880571</v>
      </c>
      <c r="AE45" s="253">
        <v>3.9584366900392491</v>
      </c>
      <c r="AF45" s="251">
        <v>0.23165226328104796</v>
      </c>
      <c r="AG45" s="225">
        <v>19.190000000000001</v>
      </c>
      <c r="AH45" s="182">
        <v>33.751862458471763</v>
      </c>
      <c r="AI45" s="318">
        <v>9.6460656325081679E-3</v>
      </c>
      <c r="AJ45" s="182">
        <v>33.426289777977956</v>
      </c>
      <c r="AK45" s="261">
        <v>-29.467853087938707</v>
      </c>
      <c r="AL45" s="476">
        <v>41</v>
      </c>
    </row>
    <row r="46" spans="1:38" ht="19.5" customHeight="1">
      <c r="A46" s="293"/>
      <c r="B46" s="476">
        <v>42</v>
      </c>
      <c r="C46" s="458" t="s">
        <v>155</v>
      </c>
      <c r="D46" s="457">
        <v>44103</v>
      </c>
      <c r="E46" s="319">
        <v>1440</v>
      </c>
      <c r="F46" s="319">
        <v>50</v>
      </c>
      <c r="G46" s="183">
        <v>59.147999999999996</v>
      </c>
      <c r="H46" s="182">
        <v>0.43</v>
      </c>
      <c r="I46" s="183">
        <v>302</v>
      </c>
      <c r="J46" s="182">
        <f t="shared" si="14"/>
        <v>28.839999999999975</v>
      </c>
      <c r="K46" s="225">
        <v>0.28381898031303759</v>
      </c>
      <c r="L46" s="199">
        <v>9.698219472011245E-2</v>
      </c>
      <c r="M46" s="199">
        <v>0.50779328366867504</v>
      </c>
      <c r="N46" s="199">
        <v>1.4076140110379851</v>
      </c>
      <c r="O46" s="225">
        <v>0.10063197366911288</v>
      </c>
      <c r="P46" s="199">
        <v>0.31355674753595947</v>
      </c>
      <c r="Q46" s="199">
        <v>2.619812067764778E-2</v>
      </c>
      <c r="R46" s="199">
        <v>0.74352283886346937</v>
      </c>
      <c r="S46" s="199">
        <v>0.16479529168557078</v>
      </c>
      <c r="T46" s="451">
        <f t="shared" si="15"/>
        <v>0.19098754914488272</v>
      </c>
      <c r="U46" s="390">
        <f t="shared" si="16"/>
        <v>2.8203658336888067</v>
      </c>
      <c r="V46" s="389">
        <f t="shared" si="17"/>
        <v>0.36074753425779305</v>
      </c>
      <c r="W46" s="388">
        <f t="shared" si="18"/>
        <v>3.6449134421715703</v>
      </c>
      <c r="X46" s="450">
        <f t="shared" si="19"/>
        <v>6.1623612669432115E-2</v>
      </c>
      <c r="Y46" s="253">
        <f t="shared" si="20"/>
        <v>0.73155076236715932</v>
      </c>
      <c r="Z46" s="319" t="s">
        <v>148</v>
      </c>
      <c r="AA46" s="386">
        <v>49.176149570704233</v>
      </c>
      <c r="AB46" s="386">
        <v>0.7779438623543421</v>
      </c>
      <c r="AC46" s="386">
        <v>3.4205263831420099</v>
      </c>
      <c r="AD46" s="501">
        <v>0.33700663858054747</v>
      </c>
      <c r="AE46" s="253">
        <v>6.0001297751240754</v>
      </c>
      <c r="AF46" s="251">
        <v>0.24736109607729712</v>
      </c>
      <c r="AG46" s="225">
        <v>31.31</v>
      </c>
      <c r="AH46" s="182">
        <v>33.614705960264899</v>
      </c>
      <c r="AI46" s="318">
        <v>9.9152903653189229E-3</v>
      </c>
      <c r="AJ46" s="182">
        <v>33.281406390124054</v>
      </c>
      <c r="AK46" s="261">
        <v>-27.281276614999978</v>
      </c>
      <c r="AL46" s="476">
        <v>42</v>
      </c>
    </row>
    <row r="47" spans="1:38" ht="19.5" customHeight="1">
      <c r="A47" s="293"/>
      <c r="B47" s="469">
        <v>43</v>
      </c>
      <c r="C47" s="458" t="s">
        <v>156</v>
      </c>
      <c r="D47" s="457">
        <v>44111</v>
      </c>
      <c r="E47" s="319">
        <v>1440</v>
      </c>
      <c r="F47" s="319">
        <v>50</v>
      </c>
      <c r="G47" s="183">
        <v>52.84</v>
      </c>
      <c r="H47" s="182">
        <v>0.78</v>
      </c>
      <c r="I47" s="183">
        <v>300</v>
      </c>
      <c r="J47" s="182">
        <f t="shared" si="14"/>
        <v>26.839999999999975</v>
      </c>
      <c r="K47" s="225">
        <v>1.2203269291161074</v>
      </c>
      <c r="L47" s="199">
        <v>0.10969422131178881</v>
      </c>
      <c r="M47" s="199">
        <v>0.61101578012925095</v>
      </c>
      <c r="N47" s="199">
        <v>4.4211813000370572</v>
      </c>
      <c r="O47" s="225">
        <v>0.24849493262927608</v>
      </c>
      <c r="P47" s="199">
        <v>0.29517760534839632</v>
      </c>
      <c r="Q47" s="199">
        <v>5.4883239905430051E-2</v>
      </c>
      <c r="R47" s="199">
        <v>1.14146558948601</v>
      </c>
      <c r="S47" s="199">
        <v>0.44576222485527339</v>
      </c>
      <c r="T47" s="451">
        <f t="shared" si="15"/>
        <v>0.17952764049495529</v>
      </c>
      <c r="U47" s="390">
        <f t="shared" si="16"/>
        <v>4.9108724922639988</v>
      </c>
      <c r="V47" s="389">
        <f t="shared" si="17"/>
        <v>0.13820192809648624</v>
      </c>
      <c r="W47" s="388">
        <f t="shared" si="18"/>
        <v>8.5480018228185912</v>
      </c>
      <c r="X47" s="450">
        <f t="shared" si="19"/>
        <v>0.16177141981110127</v>
      </c>
      <c r="Y47" s="253">
        <f t="shared" si="20"/>
        <v>1.3893415738058061</v>
      </c>
      <c r="Z47" s="319" t="s">
        <v>148</v>
      </c>
      <c r="AA47" s="386">
        <v>62.682950756604519</v>
      </c>
      <c r="AB47" s="386">
        <v>0.81260678036075262</v>
      </c>
      <c r="AC47" s="386">
        <v>4.6627107504179293</v>
      </c>
      <c r="AD47" s="501">
        <v>0.57078626618966199</v>
      </c>
      <c r="AE47" s="253">
        <v>19.057705639982089</v>
      </c>
      <c r="AF47" s="251">
        <v>0.24209530642096566</v>
      </c>
      <c r="AG47" s="225">
        <v>7.0529999999999999</v>
      </c>
      <c r="AH47" s="182">
        <v>33.889933333333332</v>
      </c>
      <c r="AI47" s="318">
        <v>4.0170178403628992E-2</v>
      </c>
      <c r="AJ47" s="182">
        <v>32.52856866524624</v>
      </c>
      <c r="AK47" s="261">
        <v>-13.470863025264151</v>
      </c>
      <c r="AL47" s="469">
        <v>43</v>
      </c>
    </row>
    <row r="48" spans="1:38" ht="19.5" customHeight="1">
      <c r="A48" s="293"/>
      <c r="B48" s="469">
        <v>44</v>
      </c>
      <c r="C48" s="502" t="s">
        <v>157</v>
      </c>
      <c r="D48" s="473">
        <v>44119</v>
      </c>
      <c r="E48" s="422">
        <v>1440</v>
      </c>
      <c r="F48" s="422">
        <v>50</v>
      </c>
      <c r="G48" s="472">
        <v>106.88400000000001</v>
      </c>
      <c r="H48" s="417">
        <v>0.4</v>
      </c>
      <c r="I48" s="472">
        <v>303</v>
      </c>
      <c r="J48" s="417">
        <f t="shared" si="14"/>
        <v>29.839999999999975</v>
      </c>
      <c r="K48" s="418">
        <v>0.40871863359332872</v>
      </c>
      <c r="L48" s="471">
        <v>0.10505390394190348</v>
      </c>
      <c r="M48" s="471">
        <v>0.3112724089062105</v>
      </c>
      <c r="N48" s="471">
        <v>0.96359825971866941</v>
      </c>
      <c r="O48" s="418">
        <v>0.11728557872337395</v>
      </c>
      <c r="P48" s="471">
        <v>0.18526780874898535</v>
      </c>
      <c r="Q48" s="471">
        <v>1.5166792934415755E-2</v>
      </c>
      <c r="R48" s="471">
        <v>0.57744176960777294</v>
      </c>
      <c r="S48" s="471">
        <v>0.14842014591633951</v>
      </c>
      <c r="T48" s="427">
        <f t="shared" si="15"/>
        <v>0.33749828425543899</v>
      </c>
      <c r="U48" s="426">
        <f t="shared" si="16"/>
        <v>3.484815763729312</v>
      </c>
      <c r="V48" s="425">
        <f t="shared" si="17"/>
        <v>0.32303131078411151</v>
      </c>
      <c r="W48" s="424">
        <f t="shared" si="18"/>
        <v>2.8322253020909995</v>
      </c>
      <c r="X48" s="423">
        <f t="shared" si="19"/>
        <v>2.6498122282951602E-2</v>
      </c>
      <c r="Y48" s="420">
        <f t="shared" si="20"/>
        <v>0.79379371203716864</v>
      </c>
      <c r="Z48" s="422" t="s">
        <v>148</v>
      </c>
      <c r="AA48" s="421">
        <v>56.885710306220211</v>
      </c>
      <c r="AB48" s="421">
        <v>0.66980040434756893</v>
      </c>
      <c r="AC48" s="421">
        <v>1.1847300711685369</v>
      </c>
      <c r="AD48" s="475">
        <v>0.39188061967703069</v>
      </c>
      <c r="AE48" s="420">
        <v>6.534853461650183</v>
      </c>
      <c r="AF48" s="419">
        <v>0.25358035884711377</v>
      </c>
      <c r="AG48" s="418">
        <v>18.18</v>
      </c>
      <c r="AH48" s="417">
        <v>33.478454785478547</v>
      </c>
      <c r="AI48" s="470">
        <v>1.0087944846670086E-2</v>
      </c>
      <c r="AJ48" s="417">
        <v>33.140725980050902</v>
      </c>
      <c r="AK48" s="416">
        <v>-26.605872518400719</v>
      </c>
      <c r="AL48" s="469">
        <v>44</v>
      </c>
    </row>
    <row r="49" spans="1:38" ht="19.5" customHeight="1">
      <c r="A49" s="293"/>
      <c r="B49" s="474" t="s">
        <v>126</v>
      </c>
      <c r="C49" s="383"/>
      <c r="D49" s="468"/>
      <c r="E49" s="463"/>
      <c r="F49" s="377"/>
      <c r="G49" s="382"/>
      <c r="H49" s="382"/>
      <c r="I49" s="382"/>
      <c r="J49" s="372"/>
      <c r="K49" s="375"/>
      <c r="L49" s="374"/>
      <c r="M49" s="465"/>
      <c r="N49" s="465"/>
      <c r="O49" s="378"/>
      <c r="P49" s="465"/>
      <c r="Q49" s="465"/>
      <c r="R49" s="465"/>
      <c r="S49" s="465"/>
      <c r="T49" s="467"/>
      <c r="U49" s="378"/>
      <c r="V49" s="466"/>
      <c r="W49" s="465"/>
      <c r="X49" s="465"/>
      <c r="Y49" s="378"/>
      <c r="Z49" s="464"/>
      <c r="AA49" s="463"/>
      <c r="AB49" s="463"/>
      <c r="AC49" s="374"/>
      <c r="AD49" s="379"/>
      <c r="AE49" s="463"/>
      <c r="AF49" s="462"/>
      <c r="AG49" s="381"/>
      <c r="AH49" s="382"/>
      <c r="AI49" s="461"/>
      <c r="AJ49" s="382"/>
      <c r="AK49" s="460"/>
      <c r="AL49" s="474" t="s">
        <v>126</v>
      </c>
    </row>
    <row r="50" spans="1:38" ht="19.5" customHeight="1">
      <c r="A50" s="293"/>
      <c r="B50" s="469">
        <v>46</v>
      </c>
      <c r="C50" s="502" t="s">
        <v>158</v>
      </c>
      <c r="D50" s="473">
        <v>44135</v>
      </c>
      <c r="E50" s="422">
        <v>1440</v>
      </c>
      <c r="F50" s="422">
        <v>50</v>
      </c>
      <c r="G50" s="472">
        <v>40.816000000000003</v>
      </c>
      <c r="H50" s="417">
        <v>0.35</v>
      </c>
      <c r="I50" s="472">
        <v>301</v>
      </c>
      <c r="J50" s="417">
        <f>I50-273.16</f>
        <v>27.839999999999975</v>
      </c>
      <c r="K50" s="418">
        <v>0.40625984541302756</v>
      </c>
      <c r="L50" s="471">
        <v>0.2406260440252953</v>
      </c>
      <c r="M50" s="471">
        <v>1.656788249060656</v>
      </c>
      <c r="N50" s="471">
        <v>4.2775254828443021</v>
      </c>
      <c r="O50" s="418">
        <v>0.24356663157643976</v>
      </c>
      <c r="P50" s="471">
        <v>1.6383772700236248</v>
      </c>
      <c r="Q50" s="471">
        <v>5.9291351332757182E-2</v>
      </c>
      <c r="R50" s="471">
        <v>1.4370203668563899</v>
      </c>
      <c r="S50" s="471">
        <v>0.6590347049096944</v>
      </c>
      <c r="T50" s="427">
        <f>L50/M50</f>
        <v>0.14523645019918646</v>
      </c>
      <c r="U50" s="426">
        <f>K50/O50</f>
        <v>1.6679618336205835</v>
      </c>
      <c r="V50" s="425">
        <f>M50/N50</f>
        <v>0.38732399273960366</v>
      </c>
      <c r="W50" s="424">
        <f>SUM(K50:S50)</f>
        <v>10.618489946042185</v>
      </c>
      <c r="X50" s="423">
        <f>W50/G50</f>
        <v>0.26015508491871286</v>
      </c>
      <c r="Y50" s="420">
        <f>(M50/62+N50/96*2+K50/35+L50/44)/(P50/18+S50/39+O50/23+Q50/24*2+R50/40*2)</f>
        <v>0.68055787268408263</v>
      </c>
      <c r="Z50" s="422" t="s">
        <v>148</v>
      </c>
      <c r="AA50" s="421">
        <v>44.586360197820262</v>
      </c>
      <c r="AB50" s="421">
        <v>0.47330602194281407</v>
      </c>
      <c r="AC50" s="419">
        <v>1.5841758207054246</v>
      </c>
      <c r="AD50" s="429">
        <v>0.6090784905364599</v>
      </c>
      <c r="AE50" s="420">
        <v>16.468071472383375</v>
      </c>
      <c r="AF50" s="419">
        <v>0.19519417958623986</v>
      </c>
      <c r="AG50" s="418">
        <v>161.6</v>
      </c>
      <c r="AH50" s="417">
        <v>33.751862458471763</v>
      </c>
      <c r="AI50" s="470">
        <v>1.0036716227051648E-2</v>
      </c>
      <c r="AJ50" s="417">
        <v>33.413104592841606</v>
      </c>
      <c r="AK50" s="416">
        <v>-16.107839419954132</v>
      </c>
      <c r="AL50" s="469">
        <v>46</v>
      </c>
    </row>
    <row r="51" spans="1:38" ht="19.5" customHeight="1">
      <c r="A51" s="293"/>
      <c r="B51" s="462" t="s">
        <v>159</v>
      </c>
      <c r="C51" s="383"/>
      <c r="D51" s="468"/>
      <c r="E51" s="463"/>
      <c r="F51" s="377"/>
      <c r="G51" s="382"/>
      <c r="H51" s="382"/>
      <c r="I51" s="382"/>
      <c r="J51" s="372"/>
      <c r="K51" s="375"/>
      <c r="L51" s="374"/>
      <c r="M51" s="465"/>
      <c r="N51" s="465"/>
      <c r="O51" s="378"/>
      <c r="P51" s="465"/>
      <c r="Q51" s="465"/>
      <c r="R51" s="465"/>
      <c r="S51" s="465"/>
      <c r="T51" s="467"/>
      <c r="U51" s="378"/>
      <c r="V51" s="466"/>
      <c r="W51" s="465"/>
      <c r="X51" s="465"/>
      <c r="Y51" s="378"/>
      <c r="Z51" s="464"/>
      <c r="AA51" s="463"/>
      <c r="AB51" s="463"/>
      <c r="AC51" s="374"/>
      <c r="AD51" s="379"/>
      <c r="AE51" s="463"/>
      <c r="AF51" s="462"/>
      <c r="AG51" s="381"/>
      <c r="AH51" s="382"/>
      <c r="AI51" s="461"/>
      <c r="AJ51" s="382"/>
      <c r="AK51" s="460"/>
      <c r="AL51" s="462" t="s">
        <v>159</v>
      </c>
    </row>
    <row r="52" spans="1:38" ht="19.5" customHeight="1">
      <c r="A52" s="293"/>
      <c r="B52" s="462" t="s">
        <v>159</v>
      </c>
      <c r="C52" s="383"/>
      <c r="D52" s="468"/>
      <c r="E52" s="463"/>
      <c r="F52" s="377"/>
      <c r="G52" s="382"/>
      <c r="H52" s="382"/>
      <c r="I52" s="382"/>
      <c r="J52" s="372"/>
      <c r="K52" s="375"/>
      <c r="L52" s="374"/>
      <c r="M52" s="465"/>
      <c r="N52" s="465"/>
      <c r="O52" s="378"/>
      <c r="P52" s="465"/>
      <c r="Q52" s="465"/>
      <c r="R52" s="465"/>
      <c r="S52" s="465"/>
      <c r="T52" s="467"/>
      <c r="U52" s="378"/>
      <c r="V52" s="466"/>
      <c r="W52" s="465"/>
      <c r="X52" s="465"/>
      <c r="Y52" s="378"/>
      <c r="Z52" s="464"/>
      <c r="AA52" s="463"/>
      <c r="AB52" s="463"/>
      <c r="AC52" s="374"/>
      <c r="AD52" s="379"/>
      <c r="AE52" s="463"/>
      <c r="AF52" s="462"/>
      <c r="AG52" s="381"/>
      <c r="AH52" s="382"/>
      <c r="AI52" s="461"/>
      <c r="AJ52" s="382"/>
      <c r="AK52" s="460"/>
      <c r="AL52" s="462" t="s">
        <v>159</v>
      </c>
    </row>
    <row r="53" spans="1:38" ht="19.5" customHeight="1">
      <c r="A53" s="293"/>
      <c r="B53" s="469">
        <v>49</v>
      </c>
      <c r="C53" s="502" t="s">
        <v>160</v>
      </c>
      <c r="D53" s="473">
        <v>44159</v>
      </c>
      <c r="E53" s="422">
        <v>1445</v>
      </c>
      <c r="F53" s="422">
        <v>50</v>
      </c>
      <c r="G53" s="472">
        <v>127.52916666666668</v>
      </c>
      <c r="H53" s="417">
        <v>0.57999999999999996</v>
      </c>
      <c r="I53" s="472">
        <v>291</v>
      </c>
      <c r="J53" s="417">
        <f t="shared" ref="J53:J58" si="21">I53-273.16</f>
        <v>17.839999999999975</v>
      </c>
      <c r="K53" s="418">
        <v>0.55050909936107784</v>
      </c>
      <c r="L53" s="471">
        <v>0</v>
      </c>
      <c r="M53" s="471">
        <v>8.1835318076528054</v>
      </c>
      <c r="N53" s="471">
        <v>8.3159335374074335</v>
      </c>
      <c r="O53" s="418">
        <v>0.1894197813814901</v>
      </c>
      <c r="P53" s="471">
        <v>4.5064272391255971</v>
      </c>
      <c r="Q53" s="471">
        <v>0.10683980727422988</v>
      </c>
      <c r="R53" s="471">
        <v>2.0358770667378421</v>
      </c>
      <c r="S53" s="471">
        <v>1.1012965026558268</v>
      </c>
      <c r="T53" s="427">
        <f t="shared" ref="T53:T58" si="22">L53/M53</f>
        <v>0</v>
      </c>
      <c r="U53" s="426">
        <f t="shared" ref="U53:U58" si="23">K53/O53</f>
        <v>2.9062914936658935</v>
      </c>
      <c r="V53" s="425">
        <f t="shared" ref="V53:V58" si="24">M53/N53</f>
        <v>0.9840785488292989</v>
      </c>
      <c r="W53" s="424">
        <f t="shared" ref="W53:W58" si="25">SUM(K53:S53)</f>
        <v>24.989834841596302</v>
      </c>
      <c r="X53" s="423">
        <f t="shared" ref="X53:X58" si="26">W53/G53</f>
        <v>0.19595387858931329</v>
      </c>
      <c r="Y53" s="420">
        <f t="shared" ref="Y53:Y58" si="27">(M53/62+N53/96*2+K53/35+L53/44)/(P53/18+S53/39+O53/23+Q53/24*2+R53/40*2)</f>
        <v>0.80741404433156805</v>
      </c>
      <c r="Z53" s="422" t="s">
        <v>148</v>
      </c>
      <c r="AA53" s="421">
        <v>74.153378951854492</v>
      </c>
      <c r="AB53" s="421">
        <v>0.1993381526881125</v>
      </c>
      <c r="AC53" s="419">
        <v>-1.4515048630292504</v>
      </c>
      <c r="AD53" s="429">
        <v>0.48081796465249821</v>
      </c>
      <c r="AE53" s="420">
        <v>12.946301053795651</v>
      </c>
      <c r="AF53" s="419">
        <v>6.8439902646565923E-2</v>
      </c>
      <c r="AG53" s="418">
        <v>171.7</v>
      </c>
      <c r="AH53" s="417">
        <v>35.175273539518898</v>
      </c>
      <c r="AI53" s="470">
        <v>2.5574704111161795E-2</v>
      </c>
      <c r="AJ53" s="417">
        <v>34.275676326716521</v>
      </c>
      <c r="AK53" s="416">
        <v>-21.329375272920871</v>
      </c>
      <c r="AL53" s="469">
        <v>49</v>
      </c>
    </row>
    <row r="54" spans="1:38" ht="19.5" customHeight="1">
      <c r="A54" s="293"/>
      <c r="B54" s="459">
        <v>50</v>
      </c>
      <c r="C54" s="502" t="s">
        <v>161</v>
      </c>
      <c r="D54" s="473">
        <v>44167</v>
      </c>
      <c r="E54" s="422">
        <v>1440</v>
      </c>
      <c r="F54" s="422">
        <v>50</v>
      </c>
      <c r="G54" s="472">
        <v>149.38400000000004</v>
      </c>
      <c r="H54" s="417">
        <v>0.34</v>
      </c>
      <c r="I54" s="472">
        <v>294</v>
      </c>
      <c r="J54" s="417">
        <f t="shared" si="21"/>
        <v>20.839999999999975</v>
      </c>
      <c r="K54" s="418">
        <v>0.45858900062803043</v>
      </c>
      <c r="L54" s="471">
        <v>0</v>
      </c>
      <c r="M54" s="471">
        <v>6.4139211845035691</v>
      </c>
      <c r="N54" s="471">
        <v>8.6578062202745123</v>
      </c>
      <c r="O54" s="418">
        <v>0.19417104578894889</v>
      </c>
      <c r="P54" s="471">
        <v>3.8679233139762457</v>
      </c>
      <c r="Q54" s="471">
        <v>8.460997421791526E-2</v>
      </c>
      <c r="R54" s="471">
        <v>1.9124530457782365</v>
      </c>
      <c r="S54" s="471">
        <v>0.83095680184265797</v>
      </c>
      <c r="T54" s="427">
        <f t="shared" si="22"/>
        <v>0</v>
      </c>
      <c r="U54" s="426">
        <f t="shared" si="23"/>
        <v>2.3617784967099906</v>
      </c>
      <c r="V54" s="425">
        <f t="shared" si="24"/>
        <v>0.74082521845819316</v>
      </c>
      <c r="W54" s="424">
        <f t="shared" si="25"/>
        <v>22.420430587010113</v>
      </c>
      <c r="X54" s="423">
        <f t="shared" si="26"/>
        <v>0.15008588996820346</v>
      </c>
      <c r="Y54" s="420">
        <f t="shared" si="27"/>
        <v>0.85493214716412591</v>
      </c>
      <c r="Z54" s="422" t="s">
        <v>148</v>
      </c>
      <c r="AA54" s="421">
        <v>72.811529859934055</v>
      </c>
      <c r="AB54" s="421">
        <v>0.2554476660992353</v>
      </c>
      <c r="AC54" s="419">
        <v>-2.0968695142121443</v>
      </c>
      <c r="AD54" s="429">
        <v>0.18801680631219633</v>
      </c>
      <c r="AE54" s="420">
        <v>15.910138181697889</v>
      </c>
      <c r="AF54" s="419">
        <v>3.795626837325515E-2</v>
      </c>
      <c r="AG54" s="418">
        <v>211.1</v>
      </c>
      <c r="AH54" s="417">
        <v>33.751862458471763</v>
      </c>
      <c r="AI54" s="470">
        <v>1.7993025444670008E-2</v>
      </c>
      <c r="AJ54" s="417">
        <v>33.144564338451481</v>
      </c>
      <c r="AK54" s="416">
        <v>-17.234426156753592</v>
      </c>
      <c r="AL54" s="459">
        <v>50</v>
      </c>
    </row>
    <row r="55" spans="1:38" ht="19.5" customHeight="1">
      <c r="A55" s="293"/>
      <c r="B55" s="459">
        <v>51</v>
      </c>
      <c r="C55" s="502" t="s">
        <v>162</v>
      </c>
      <c r="D55" s="473">
        <v>44175</v>
      </c>
      <c r="E55" s="422">
        <v>1440</v>
      </c>
      <c r="F55" s="422">
        <v>50</v>
      </c>
      <c r="G55" s="472">
        <v>168.10800000000003</v>
      </c>
      <c r="H55" s="417">
        <v>0.73</v>
      </c>
      <c r="I55" s="472">
        <v>293</v>
      </c>
      <c r="J55" s="417">
        <f t="shared" si="21"/>
        <v>19.839999999999975</v>
      </c>
      <c r="K55" s="418">
        <v>0.70915027584469448</v>
      </c>
      <c r="L55" s="471">
        <v>0.20246851600833909</v>
      </c>
      <c r="M55" s="471">
        <v>2.2946494321338289</v>
      </c>
      <c r="N55" s="471">
        <v>4.2501466156684504</v>
      </c>
      <c r="O55" s="418">
        <v>0.17656875140611375</v>
      </c>
      <c r="P55" s="471">
        <v>2.0291018401655352</v>
      </c>
      <c r="Q55" s="471">
        <v>6.0721782004235045E-2</v>
      </c>
      <c r="R55" s="471">
        <v>1.3850056591816384</v>
      </c>
      <c r="S55" s="471">
        <v>0.58935415804671276</v>
      </c>
      <c r="T55" s="427">
        <f t="shared" si="22"/>
        <v>8.823505376159381E-2</v>
      </c>
      <c r="U55" s="426">
        <f t="shared" si="23"/>
        <v>4.0162841397322131</v>
      </c>
      <c r="V55" s="425">
        <f t="shared" si="24"/>
        <v>0.53989888811704756</v>
      </c>
      <c r="W55" s="424">
        <f t="shared" si="25"/>
        <v>11.69716703045955</v>
      </c>
      <c r="X55" s="423">
        <f t="shared" si="26"/>
        <v>6.9581263416729405E-2</v>
      </c>
      <c r="Y55" s="420">
        <f t="shared" si="27"/>
        <v>0.71686813775699165</v>
      </c>
      <c r="Z55" s="422" t="s">
        <v>148</v>
      </c>
      <c r="AA55" s="421">
        <v>63.613480863476319</v>
      </c>
      <c r="AB55" s="421">
        <v>0.67675160060148265</v>
      </c>
      <c r="AC55" s="419">
        <v>1.5719615715015209</v>
      </c>
      <c r="AD55" s="429">
        <v>0.45112372441009235</v>
      </c>
      <c r="AE55" s="420">
        <v>13.529493185227308</v>
      </c>
      <c r="AF55" s="419">
        <v>9.6785619606446924E-2</v>
      </c>
      <c r="AG55" s="418">
        <v>111.1</v>
      </c>
      <c r="AH55" s="417">
        <v>34.882818430034128</v>
      </c>
      <c r="AI55" s="470">
        <v>1.7936161493020179E-2</v>
      </c>
      <c r="AJ55" s="417">
        <v>34.257154565341338</v>
      </c>
      <c r="AK55" s="416">
        <v>-20.727661380114029</v>
      </c>
      <c r="AL55" s="459">
        <v>51</v>
      </c>
    </row>
    <row r="56" spans="1:38" ht="19.5" customHeight="1">
      <c r="A56" s="293"/>
      <c r="B56" s="459">
        <v>52</v>
      </c>
      <c r="C56" s="502" t="s">
        <v>163</v>
      </c>
      <c r="D56" s="473">
        <v>44179</v>
      </c>
      <c r="E56" s="422">
        <v>1440</v>
      </c>
      <c r="F56" s="422">
        <v>50</v>
      </c>
      <c r="G56" s="472">
        <v>241.38800000000006</v>
      </c>
      <c r="H56" s="417">
        <v>0.66</v>
      </c>
      <c r="I56" s="472">
        <v>293</v>
      </c>
      <c r="J56" s="417">
        <f t="shared" si="21"/>
        <v>19.839999999999975</v>
      </c>
      <c r="K56" s="418">
        <v>1.0365297198006242</v>
      </c>
      <c r="L56" s="471">
        <v>0</v>
      </c>
      <c r="M56" s="471">
        <v>3.8913659234787517</v>
      </c>
      <c r="N56" s="471">
        <v>9.9348106670691205</v>
      </c>
      <c r="O56" s="418">
        <v>0.36869301877845384</v>
      </c>
      <c r="P56" s="471">
        <v>2.9523448436437105</v>
      </c>
      <c r="Q56" s="471">
        <v>0.16271148888060624</v>
      </c>
      <c r="R56" s="471">
        <v>3.6378356516735963</v>
      </c>
      <c r="S56" s="471">
        <v>1.3703840883053027</v>
      </c>
      <c r="T56" s="427">
        <f t="shared" si="22"/>
        <v>0</v>
      </c>
      <c r="U56" s="426">
        <f t="shared" si="23"/>
        <v>2.8113624804582233</v>
      </c>
      <c r="V56" s="425">
        <f t="shared" si="24"/>
        <v>0.39168999328567455</v>
      </c>
      <c r="W56" s="424">
        <f t="shared" si="25"/>
        <v>23.354675401630171</v>
      </c>
      <c r="X56" s="423">
        <f t="shared" si="26"/>
        <v>9.6751600749126573E-2</v>
      </c>
      <c r="Y56" s="420">
        <f t="shared" si="27"/>
        <v>0.72899736569168994</v>
      </c>
      <c r="Z56" s="422" t="s">
        <v>148</v>
      </c>
      <c r="AA56" s="421">
        <v>73.406608879895543</v>
      </c>
      <c r="AB56" s="421">
        <v>0.13266410410635429</v>
      </c>
      <c r="AC56" s="419">
        <v>2.61667896695963</v>
      </c>
      <c r="AD56" s="429">
        <v>0.26505032782479837</v>
      </c>
      <c r="AE56" s="420">
        <v>16.13</v>
      </c>
      <c r="AF56" s="419">
        <v>0.2</v>
      </c>
      <c r="AG56" s="418">
        <v>151.5</v>
      </c>
      <c r="AH56" s="417">
        <v>34.882818430034128</v>
      </c>
      <c r="AI56" s="470">
        <v>1.9114924066918174E-2</v>
      </c>
      <c r="AJ56" s="417">
        <v>34.216036004503934</v>
      </c>
      <c r="AK56" s="416">
        <v>-18.086036004503935</v>
      </c>
      <c r="AL56" s="459">
        <v>52</v>
      </c>
    </row>
    <row r="57" spans="1:38" ht="19.5" customHeight="1">
      <c r="A57" s="293"/>
      <c r="B57" s="459">
        <v>53</v>
      </c>
      <c r="C57" s="502" t="s">
        <v>164</v>
      </c>
      <c r="D57" s="473">
        <v>44191</v>
      </c>
      <c r="E57" s="422">
        <v>1445</v>
      </c>
      <c r="F57" s="422">
        <v>50</v>
      </c>
      <c r="G57" s="472">
        <v>144.36000000000001</v>
      </c>
      <c r="H57" s="417">
        <v>0.6</v>
      </c>
      <c r="I57" s="472">
        <v>290</v>
      </c>
      <c r="J57" s="417">
        <f t="shared" si="21"/>
        <v>16.839999999999975</v>
      </c>
      <c r="K57" s="418">
        <v>0.94791347486811839</v>
      </c>
      <c r="L57" s="471">
        <v>0</v>
      </c>
      <c r="M57" s="471">
        <v>2.6490916846640222</v>
      </c>
      <c r="N57" s="471">
        <v>10.100517784052954</v>
      </c>
      <c r="O57" s="418">
        <v>0.18234883476854147</v>
      </c>
      <c r="P57" s="471">
        <v>3.2941418569275136</v>
      </c>
      <c r="Q57" s="471">
        <v>5.7518161754705484E-2</v>
      </c>
      <c r="R57" s="471">
        <v>1.4364812111873879</v>
      </c>
      <c r="S57" s="471">
        <v>0.75258505848352408</v>
      </c>
      <c r="T57" s="427">
        <f t="shared" si="22"/>
        <v>0</v>
      </c>
      <c r="U57" s="426">
        <f t="shared" si="23"/>
        <v>5.1983522465132355</v>
      </c>
      <c r="V57" s="425">
        <f t="shared" si="24"/>
        <v>0.2622728597979897</v>
      </c>
      <c r="W57" s="424">
        <f t="shared" si="25"/>
        <v>19.420598066706766</v>
      </c>
      <c r="X57" s="423">
        <f t="shared" si="26"/>
        <v>0.13452894199713747</v>
      </c>
      <c r="Y57" s="420">
        <f t="shared" si="27"/>
        <v>0.97694824975277106</v>
      </c>
      <c r="Z57" s="422" t="s">
        <v>148</v>
      </c>
      <c r="AA57" s="421">
        <v>70.986606439227444</v>
      </c>
      <c r="AB57" s="421">
        <v>0.13855331621218966</v>
      </c>
      <c r="AC57" s="419">
        <v>0.48669792062618161</v>
      </c>
      <c r="AD57" s="429">
        <v>6.9990745170089325E-2</v>
      </c>
      <c r="AE57" s="420">
        <v>17.97</v>
      </c>
      <c r="AF57" s="419">
        <v>0.28000000000000003</v>
      </c>
      <c r="AG57" s="418">
        <v>48.48</v>
      </c>
      <c r="AH57" s="417">
        <v>35.323013793103449</v>
      </c>
      <c r="AI57" s="470">
        <v>6.3625233345837653E-2</v>
      </c>
      <c r="AJ57" s="417">
        <v>33.075578798038997</v>
      </c>
      <c r="AK57" s="416">
        <v>-15.105578798038998</v>
      </c>
      <c r="AL57" s="459">
        <v>53</v>
      </c>
    </row>
    <row r="58" spans="1:38" ht="19.5" customHeight="1">
      <c r="A58" s="293"/>
      <c r="B58" s="459">
        <v>54</v>
      </c>
      <c r="C58" s="502" t="s">
        <v>165</v>
      </c>
      <c r="D58" s="473">
        <v>44199</v>
      </c>
      <c r="E58" s="422">
        <v>1450</v>
      </c>
      <c r="F58" s="422">
        <v>50</v>
      </c>
      <c r="G58" s="472">
        <v>139.37199999999999</v>
      </c>
      <c r="H58" s="417">
        <v>0.36</v>
      </c>
      <c r="I58" s="472">
        <v>290</v>
      </c>
      <c r="J58" s="417">
        <f t="shared" si="21"/>
        <v>16.839999999999975</v>
      </c>
      <c r="K58" s="418">
        <v>0.29107348140112105</v>
      </c>
      <c r="L58" s="471">
        <v>0.19372531324808509</v>
      </c>
      <c r="M58" s="471">
        <v>5.5158112472349163</v>
      </c>
      <c r="N58" s="471">
        <v>11.470507528165378</v>
      </c>
      <c r="O58" s="418">
        <v>0.17386041656335513</v>
      </c>
      <c r="P58" s="471">
        <v>4.5054492987240504</v>
      </c>
      <c r="Q58" s="471">
        <v>9.4822755960311492E-2</v>
      </c>
      <c r="R58" s="471">
        <v>2.1582233262127555</v>
      </c>
      <c r="S58" s="471">
        <v>0.77607466954065152</v>
      </c>
      <c r="T58" s="427">
        <f t="shared" si="22"/>
        <v>3.5121817002929503E-2</v>
      </c>
      <c r="U58" s="426">
        <f t="shared" si="23"/>
        <v>1.6741791326322586</v>
      </c>
      <c r="V58" s="425">
        <f t="shared" si="24"/>
        <v>0.48086897930985706</v>
      </c>
      <c r="W58" s="424">
        <f t="shared" si="25"/>
        <v>25.179548037050623</v>
      </c>
      <c r="X58" s="423">
        <f t="shared" si="26"/>
        <v>0.18066432308534444</v>
      </c>
      <c r="Y58" s="420">
        <f t="shared" si="27"/>
        <v>0.86553628411755934</v>
      </c>
      <c r="Z58" s="422" t="s">
        <v>148</v>
      </c>
      <c r="AA58" s="421">
        <v>68.188252476760638</v>
      </c>
      <c r="AB58" s="421">
        <v>0.43072657097981493</v>
      </c>
      <c r="AC58" s="419">
        <v>-0.52053593430172729</v>
      </c>
      <c r="AD58" s="429">
        <v>0.1641959676838726</v>
      </c>
      <c r="AE58" s="420">
        <v>17.63</v>
      </c>
      <c r="AF58" s="419">
        <v>0.2</v>
      </c>
      <c r="AG58" s="418">
        <v>141.4</v>
      </c>
      <c r="AH58" s="417">
        <v>35.323013793103449</v>
      </c>
      <c r="AI58" s="470">
        <v>3.0879239400439931E-2</v>
      </c>
      <c r="AJ58" s="417">
        <v>34.232265993841168</v>
      </c>
      <c r="AK58" s="416">
        <v>-16.602265993841169</v>
      </c>
      <c r="AL58" s="459">
        <v>54</v>
      </c>
    </row>
    <row r="59" spans="1:38" ht="19.5" customHeight="1">
      <c r="A59" s="293"/>
      <c r="B59" s="462" t="s">
        <v>159</v>
      </c>
      <c r="C59" s="383"/>
      <c r="D59" s="468"/>
      <c r="E59" s="422">
        <v>1455</v>
      </c>
      <c r="F59" s="377"/>
      <c r="G59" s="382"/>
      <c r="H59" s="382"/>
      <c r="I59" s="382"/>
      <c r="J59" s="372"/>
      <c r="K59" s="375"/>
      <c r="L59" s="374"/>
      <c r="M59" s="465"/>
      <c r="N59" s="465"/>
      <c r="O59" s="378"/>
      <c r="P59" s="465"/>
      <c r="Q59" s="465"/>
      <c r="R59" s="465"/>
      <c r="S59" s="465"/>
      <c r="T59" s="467"/>
      <c r="U59" s="378"/>
      <c r="V59" s="466"/>
      <c r="W59" s="465"/>
      <c r="X59" s="465"/>
      <c r="Y59" s="378"/>
      <c r="Z59" s="464"/>
      <c r="AA59" s="463"/>
      <c r="AB59" s="463"/>
      <c r="AC59" s="374"/>
      <c r="AD59" s="379"/>
      <c r="AE59" s="463"/>
      <c r="AF59" s="462"/>
      <c r="AG59" s="381"/>
      <c r="AH59" s="382"/>
      <c r="AI59" s="461"/>
      <c r="AJ59" s="382"/>
      <c r="AK59" s="460"/>
      <c r="AL59" s="462" t="s">
        <v>159</v>
      </c>
    </row>
    <row r="60" spans="1:38" ht="19.5" customHeight="1">
      <c r="A60" s="293"/>
      <c r="B60" s="459">
        <v>56</v>
      </c>
      <c r="C60" s="502" t="s">
        <v>166</v>
      </c>
      <c r="D60" s="473">
        <v>44215</v>
      </c>
      <c r="E60" s="422">
        <v>1460</v>
      </c>
      <c r="F60" s="422">
        <v>50</v>
      </c>
      <c r="G60" s="472">
        <v>326.25599999999997</v>
      </c>
      <c r="H60" s="417">
        <v>0.41</v>
      </c>
      <c r="I60" s="472">
        <v>291</v>
      </c>
      <c r="J60" s="417">
        <f>I60-273.16</f>
        <v>17.839999999999975</v>
      </c>
      <c r="K60" s="418">
        <v>0.74805529507207591</v>
      </c>
      <c r="L60" s="471">
        <v>0</v>
      </c>
      <c r="M60" s="471">
        <v>12.540343972839416</v>
      </c>
      <c r="N60" s="471">
        <v>21.761283629725771</v>
      </c>
      <c r="O60" s="418">
        <v>0.36428973030941275</v>
      </c>
      <c r="P60" s="471">
        <v>7.115472604209625</v>
      </c>
      <c r="Q60" s="471">
        <v>0.21774223563894082</v>
      </c>
      <c r="R60" s="471">
        <v>4.3199015168753903</v>
      </c>
      <c r="S60" s="471">
        <v>1.897794975014647</v>
      </c>
      <c r="T60" s="427">
        <f>L60/M60</f>
        <v>0</v>
      </c>
      <c r="U60" s="426">
        <f>K60/O60</f>
        <v>2.0534624855790153</v>
      </c>
      <c r="V60" s="425">
        <f>M60/N60</f>
        <v>0.57626857800379883</v>
      </c>
      <c r="W60" s="424">
        <f>SUM(K60:S60)</f>
        <v>48.964883959685288</v>
      </c>
      <c r="X60" s="423">
        <f>W60/G60</f>
        <v>0.15008117539504343</v>
      </c>
      <c r="Y60" s="420">
        <f>(M60/62+N60/96*2+K60/35+L60/44)/(P60/18+S60/39+O60/23+Q60/24*2+R60/40*2)</f>
        <v>0.9755777364817928</v>
      </c>
      <c r="Z60" s="422" t="s">
        <v>148</v>
      </c>
      <c r="AA60" s="421">
        <v>72.714015264183587</v>
      </c>
      <c r="AB60" s="421">
        <v>0.46680211806605676</v>
      </c>
      <c r="AC60" s="419">
        <v>1.6368116751354533</v>
      </c>
      <c r="AD60" s="429">
        <v>0.13889948830917828</v>
      </c>
      <c r="AE60" s="420">
        <v>19.136972229298021</v>
      </c>
      <c r="AF60" s="419">
        <v>0.46094659964039836</v>
      </c>
      <c r="AG60" s="418">
        <v>101</v>
      </c>
      <c r="AH60" s="417">
        <v>35.175273539518898</v>
      </c>
      <c r="AI60" s="470">
        <v>6.5813638259326943E-2</v>
      </c>
      <c r="AJ60" s="417">
        <v>32.860260811116127</v>
      </c>
      <c r="AK60" s="416">
        <v>-13.723288581818107</v>
      </c>
      <c r="AL60" s="459">
        <v>56</v>
      </c>
    </row>
    <row r="61" spans="1:38" ht="19.5" customHeight="1">
      <c r="A61" s="293"/>
      <c r="B61" s="459">
        <v>57</v>
      </c>
      <c r="C61" s="502" t="s">
        <v>167</v>
      </c>
      <c r="D61" s="473">
        <v>44223</v>
      </c>
      <c r="E61" s="422">
        <v>1465</v>
      </c>
      <c r="F61" s="422">
        <v>50</v>
      </c>
      <c r="G61" s="472">
        <v>199.91999999999993</v>
      </c>
      <c r="H61" s="417">
        <v>0.57999999999999996</v>
      </c>
      <c r="I61" s="472">
        <v>290</v>
      </c>
      <c r="J61" s="417">
        <f>I61-273.16</f>
        <v>16.839999999999975</v>
      </c>
      <c r="K61" s="418">
        <v>1.8007787151288643</v>
      </c>
      <c r="L61" s="471">
        <v>0.12610495806747762</v>
      </c>
      <c r="M61" s="471">
        <v>12.844233220778278</v>
      </c>
      <c r="N61" s="471">
        <v>32.260284457150114</v>
      </c>
      <c r="O61" s="418">
        <v>1.0269190157882362</v>
      </c>
      <c r="P61" s="471">
        <v>7.7577298098447685</v>
      </c>
      <c r="Q61" s="471">
        <v>0.54332211531117702</v>
      </c>
      <c r="R61" s="471">
        <v>11.562099383929253</v>
      </c>
      <c r="S61" s="471">
        <v>4.2053042647081664</v>
      </c>
      <c r="T61" s="427">
        <f>L61/M61</f>
        <v>9.8180215120569469E-3</v>
      </c>
      <c r="U61" s="426">
        <f>K61/O61</f>
        <v>1.7535742229358113</v>
      </c>
      <c r="V61" s="425">
        <f>M61/N61</f>
        <v>0.39814383031366929</v>
      </c>
      <c r="W61" s="424">
        <f>SUM(K61:S61)</f>
        <v>72.126775940706338</v>
      </c>
      <c r="X61" s="423">
        <f>W61/G61</f>
        <v>0.36077819097992381</v>
      </c>
      <c r="Y61" s="420">
        <f>(M61/62+N61/96*2+K61/35+L61/44)/(P61/18+S61/39+O61/23+Q61/24*2+R61/40*2)</f>
        <v>0.77356421578733292</v>
      </c>
      <c r="Z61" s="422" t="s">
        <v>148</v>
      </c>
      <c r="AA61" s="421">
        <v>75.971780136905622</v>
      </c>
      <c r="AB61" s="421">
        <v>0.65041980390273268</v>
      </c>
      <c r="AC61" s="419">
        <v>1.2835243063380088</v>
      </c>
      <c r="AD61" s="429">
        <v>0.35616073819208277</v>
      </c>
      <c r="AE61" s="420">
        <v>15.150763640517042</v>
      </c>
      <c r="AF61" s="419">
        <v>0.35804687507905875</v>
      </c>
      <c r="AG61" s="418">
        <v>352.5</v>
      </c>
      <c r="AH61" s="417">
        <v>35.323013793103449</v>
      </c>
      <c r="AI61" s="470">
        <v>2.1533833053185396E-2</v>
      </c>
      <c r="AJ61" s="417">
        <v>34.562373911147397</v>
      </c>
      <c r="AK61" s="416">
        <v>-19.411610270630355</v>
      </c>
      <c r="AL61" s="459">
        <v>57</v>
      </c>
    </row>
    <row r="62" spans="1:38" ht="19.5" customHeight="1">
      <c r="A62" s="293"/>
      <c r="B62" s="459">
        <v>58</v>
      </c>
      <c r="C62" s="502" t="s">
        <v>168</v>
      </c>
      <c r="D62" s="473">
        <v>44231</v>
      </c>
      <c r="E62" s="422">
        <v>1470</v>
      </c>
      <c r="F62" s="422">
        <v>50</v>
      </c>
      <c r="G62" s="472">
        <v>179.33199999999999</v>
      </c>
      <c r="H62" s="417">
        <v>0.39</v>
      </c>
      <c r="I62" s="472">
        <v>290</v>
      </c>
      <c r="J62" s="417">
        <f>I62-273.16</f>
        <v>16.839999999999975</v>
      </c>
      <c r="K62" s="418">
        <v>2.2725804550515551</v>
      </c>
      <c r="L62" s="471">
        <v>0.22037919242446138</v>
      </c>
      <c r="M62" s="471">
        <v>5.0396077656176619</v>
      </c>
      <c r="N62" s="471">
        <v>12.830548384297661</v>
      </c>
      <c r="O62" s="418">
        <v>0.52206494812966853</v>
      </c>
      <c r="P62" s="471">
        <v>3.6494841193254808</v>
      </c>
      <c r="Q62" s="471">
        <v>0.20498071522277694</v>
      </c>
      <c r="R62" s="471">
        <v>4.3560036330776164</v>
      </c>
      <c r="S62" s="471">
        <v>1.8507674222859201</v>
      </c>
      <c r="T62" s="427">
        <f>L62/M62</f>
        <v>4.3729433454718747E-2</v>
      </c>
      <c r="U62" s="426">
        <f>K62/O62</f>
        <v>4.3530607890708266</v>
      </c>
      <c r="V62" s="425">
        <f>M62/N62</f>
        <v>0.39278194623273133</v>
      </c>
      <c r="W62" s="424">
        <f>SUM(K62:S62)</f>
        <v>30.946416635432801</v>
      </c>
      <c r="X62" s="423">
        <f>W62/G62</f>
        <v>0.17256494454661075</v>
      </c>
      <c r="Y62" s="420">
        <f>(M62/62+N62/96*2+K62/35+L62/44)/(P62/18+S62/39+O62/23+Q62/24*2+R62/40*2)</f>
        <v>0.82421992098801211</v>
      </c>
      <c r="Z62" s="422" t="s">
        <v>148</v>
      </c>
      <c r="AA62" s="421">
        <v>70.734148269589426</v>
      </c>
      <c r="AB62" s="421">
        <v>0.61840463874483631</v>
      </c>
      <c r="AC62" s="419">
        <v>1.5696825159929606</v>
      </c>
      <c r="AD62" s="429">
        <v>0.29255021799577785</v>
      </c>
      <c r="AE62" s="420">
        <v>15.044362801672998</v>
      </c>
      <c r="AF62" s="419">
        <v>0.57021485241469705</v>
      </c>
      <c r="AG62" s="418">
        <v>163.6</v>
      </c>
      <c r="AH62" s="417">
        <v>35.323013793103449</v>
      </c>
      <c r="AI62" s="470">
        <v>2.1820600156361183E-2</v>
      </c>
      <c r="AJ62" s="417">
        <v>34.552244432806503</v>
      </c>
      <c r="AK62" s="416">
        <v>-19.507881631133507</v>
      </c>
      <c r="AL62" s="459">
        <v>58</v>
      </c>
    </row>
    <row r="63" spans="1:38" ht="19.5" customHeight="1">
      <c r="A63" s="293"/>
      <c r="B63" s="456">
        <v>59</v>
      </c>
      <c r="C63" s="503" t="s">
        <v>169</v>
      </c>
      <c r="D63" s="491">
        <v>44239</v>
      </c>
      <c r="E63" s="422">
        <v>1475</v>
      </c>
      <c r="F63" s="490">
        <v>50</v>
      </c>
      <c r="G63" s="504">
        <v>245.28</v>
      </c>
      <c r="H63" s="505">
        <v>0.67</v>
      </c>
      <c r="I63" s="504">
        <v>294</v>
      </c>
      <c r="J63" s="505">
        <f>I63-273.16</f>
        <v>20.839999999999975</v>
      </c>
      <c r="K63" s="506">
        <v>1.2175939320633251</v>
      </c>
      <c r="L63" s="507">
        <v>0.13010949182031464</v>
      </c>
      <c r="M63" s="507">
        <v>5.2499747567171893</v>
      </c>
      <c r="N63" s="507">
        <v>46.148283683906705</v>
      </c>
      <c r="O63" s="506">
        <v>1.2393293233990701</v>
      </c>
      <c r="P63" s="507">
        <v>8.5055069475988798</v>
      </c>
      <c r="Q63" s="507">
        <v>0.43119859104195518</v>
      </c>
      <c r="R63" s="507">
        <v>9.0179939030572225</v>
      </c>
      <c r="S63" s="507">
        <v>2.7422581923206599</v>
      </c>
      <c r="T63" s="508">
        <f>L63/M63</f>
        <v>2.4782879508866849E-2</v>
      </c>
      <c r="U63" s="509">
        <f>K63/O63</f>
        <v>0.98246197283855752</v>
      </c>
      <c r="V63" s="486">
        <f>M63/N63</f>
        <v>0.11376316381941662</v>
      </c>
      <c r="W63" s="487">
        <f>SUM(K63:S63)</f>
        <v>74.682248821925327</v>
      </c>
      <c r="X63" s="510">
        <f>W63/G63</f>
        <v>0.30447753107438569</v>
      </c>
      <c r="Y63" s="489">
        <f>(M63/62+N63/96*2+K63/35+L63/44)/(P63/18+S63/39+O63/23+Q63/24*2+R63/40*2)</f>
        <v>1.0002637140824575</v>
      </c>
      <c r="Z63" s="490" t="s">
        <v>148</v>
      </c>
      <c r="AA63" s="511">
        <v>70.844005840341694</v>
      </c>
      <c r="AB63" s="511">
        <v>0.78784214177132872</v>
      </c>
      <c r="AC63" s="488">
        <v>1.914458033328108</v>
      </c>
      <c r="AD63" s="512">
        <v>0.33927080658616388</v>
      </c>
      <c r="AE63" s="489">
        <v>20.661420725419728</v>
      </c>
      <c r="AF63" s="488">
        <v>0.63495228174525553</v>
      </c>
      <c r="AG63" s="506">
        <v>90.9</v>
      </c>
      <c r="AH63" s="505">
        <v>34.738082993197281</v>
      </c>
      <c r="AI63" s="368">
        <v>8.5563739965458005E-2</v>
      </c>
      <c r="AJ63" s="505">
        <v>31.765762693068851</v>
      </c>
      <c r="AK63" s="513">
        <v>-11.104341967649123</v>
      </c>
      <c r="AL63" s="456">
        <v>59</v>
      </c>
    </row>
    <row r="64" spans="1:38" ht="19.5" customHeight="1">
      <c r="A64" s="293"/>
      <c r="B64" s="449" t="s">
        <v>146</v>
      </c>
      <c r="C64" s="448"/>
      <c r="D64" s="440"/>
      <c r="E64" s="422">
        <v>1480</v>
      </c>
      <c r="F64" s="446"/>
      <c r="G64" s="445"/>
      <c r="H64" s="435"/>
      <c r="I64" s="445"/>
      <c r="J64" s="445"/>
      <c r="K64" s="444"/>
      <c r="L64" s="438"/>
      <c r="M64" s="443"/>
      <c r="N64" s="443"/>
      <c r="O64" s="443"/>
      <c r="P64" s="443"/>
      <c r="Q64" s="443"/>
      <c r="R64" s="443"/>
      <c r="S64" s="443"/>
      <c r="T64" s="442"/>
      <c r="U64" s="443"/>
      <c r="V64" s="443"/>
      <c r="W64" s="443"/>
      <c r="X64" s="442"/>
      <c r="Y64" s="441"/>
      <c r="Z64" s="440"/>
      <c r="AA64" s="438"/>
      <c r="AB64" s="438"/>
      <c r="AC64" s="438"/>
      <c r="AD64" s="439"/>
      <c r="AE64" s="438"/>
      <c r="AF64" s="438"/>
      <c r="AG64" s="437"/>
      <c r="AH64" s="435"/>
      <c r="AI64" s="436"/>
      <c r="AJ64" s="435"/>
      <c r="AK64" s="434"/>
      <c r="AL64" s="449" t="s">
        <v>146</v>
      </c>
    </row>
    <row r="65" spans="1:38" ht="19.5" customHeight="1">
      <c r="A65" s="293"/>
      <c r="B65" s="384" t="s">
        <v>170</v>
      </c>
      <c r="C65" s="377"/>
      <c r="D65" s="383"/>
      <c r="E65" s="422">
        <v>1485</v>
      </c>
      <c r="F65" s="377"/>
      <c r="G65" s="382"/>
      <c r="H65" s="381"/>
      <c r="I65" s="377"/>
      <c r="J65" s="377"/>
      <c r="K65" s="374"/>
      <c r="L65" s="374"/>
      <c r="M65" s="380"/>
      <c r="N65" s="379"/>
      <c r="O65" s="375"/>
      <c r="P65" s="380"/>
      <c r="Q65" s="374"/>
      <c r="R65" s="374"/>
      <c r="S65" s="379"/>
      <c r="T65" s="452"/>
      <c r="U65" s="374"/>
      <c r="V65" s="374"/>
      <c r="W65" s="375"/>
      <c r="X65" s="374"/>
      <c r="Y65" s="378"/>
      <c r="Z65" s="377"/>
      <c r="AA65" s="376"/>
      <c r="AB65" s="376"/>
      <c r="AC65" s="374"/>
      <c r="AD65" s="374"/>
      <c r="AE65" s="375"/>
      <c r="AF65" s="374"/>
      <c r="AG65" s="373"/>
      <c r="AH65" s="372"/>
      <c r="AI65" s="371"/>
      <c r="AJ65" s="370"/>
      <c r="AK65" s="369"/>
      <c r="AL65" s="384" t="s">
        <v>170</v>
      </c>
    </row>
    <row r="66" spans="1:38" ht="19.5" customHeight="1">
      <c r="A66" s="293"/>
      <c r="B66" s="384" t="s">
        <v>170</v>
      </c>
      <c r="C66" s="377"/>
      <c r="D66" s="383"/>
      <c r="E66" s="422">
        <v>1490</v>
      </c>
      <c r="F66" s="377"/>
      <c r="G66" s="382"/>
      <c r="H66" s="381"/>
      <c r="I66" s="377"/>
      <c r="J66" s="377"/>
      <c r="K66" s="374"/>
      <c r="L66" s="374"/>
      <c r="M66" s="380"/>
      <c r="N66" s="379"/>
      <c r="O66" s="375"/>
      <c r="P66" s="380"/>
      <c r="Q66" s="374"/>
      <c r="R66" s="374"/>
      <c r="S66" s="379"/>
      <c r="T66" s="452"/>
      <c r="U66" s="374"/>
      <c r="V66" s="374"/>
      <c r="W66" s="375"/>
      <c r="X66" s="374"/>
      <c r="Y66" s="378"/>
      <c r="Z66" s="377"/>
      <c r="AA66" s="376"/>
      <c r="AB66" s="376"/>
      <c r="AC66" s="374"/>
      <c r="AD66" s="374"/>
      <c r="AE66" s="375"/>
      <c r="AF66" s="374"/>
      <c r="AG66" s="373"/>
      <c r="AH66" s="372"/>
      <c r="AI66" s="371"/>
      <c r="AJ66" s="370"/>
      <c r="AK66" s="369"/>
      <c r="AL66" s="384" t="s">
        <v>170</v>
      </c>
    </row>
    <row r="67" spans="1:38" ht="19.5" customHeight="1">
      <c r="A67" s="293"/>
      <c r="B67" s="415">
        <v>62</v>
      </c>
      <c r="C67" s="319" t="s">
        <v>171</v>
      </c>
      <c r="D67" s="396">
        <v>44479</v>
      </c>
      <c r="E67" s="422">
        <v>1495</v>
      </c>
      <c r="F67" s="319">
        <v>30</v>
      </c>
      <c r="G67" s="184">
        <v>91.12</v>
      </c>
      <c r="H67" s="395">
        <v>0.69400000000000006</v>
      </c>
      <c r="I67" s="319">
        <v>303.95</v>
      </c>
      <c r="J67" s="182">
        <f t="shared" ref="J67:J93" si="28">I67-273.16</f>
        <v>30.789999999999964</v>
      </c>
      <c r="K67" s="251">
        <v>0.18726804426880708</v>
      </c>
      <c r="L67" s="251">
        <v>7.0654935210708605E-2</v>
      </c>
      <c r="M67" s="392">
        <v>0.3651842988940876</v>
      </c>
      <c r="N67" s="393">
        <v>1.1184323186105243</v>
      </c>
      <c r="O67" s="253">
        <v>0.16605071931526791</v>
      </c>
      <c r="P67" s="392">
        <v>0.19777836121049583</v>
      </c>
      <c r="Q67" s="251">
        <v>3.4123697121405033E-2</v>
      </c>
      <c r="R67" s="251">
        <v>1.0073898590271284</v>
      </c>
      <c r="S67" s="251">
        <v>0.1367797012182175</v>
      </c>
      <c r="T67" s="451">
        <f t="shared" ref="T67:T93" si="29">L67/M67</f>
        <v>0.19347747267524298</v>
      </c>
      <c r="U67" s="390">
        <f t="shared" ref="U67:U93" si="30">K67/O67</f>
        <v>1.12777617008244</v>
      </c>
      <c r="V67" s="389">
        <f t="shared" ref="V67:V93" si="31">M67/N67</f>
        <v>0.3265144370539752</v>
      </c>
      <c r="W67" s="388">
        <f t="shared" ref="W67:W93" si="32">SUM(K67:S67)</f>
        <v>3.2836619348766423</v>
      </c>
      <c r="X67" s="450">
        <f t="shared" ref="X67:X93" si="33">W67/G67</f>
        <v>3.6036676194870963E-2</v>
      </c>
      <c r="Y67" s="390">
        <f t="shared" ref="Y67:Y76" si="34">(M67/62+L67/46+N67/96*2+K67/35)/(P67/18+S67/39+O67/23+Q67/24*2+R67/40*2)</f>
        <v>0.48149467130491391</v>
      </c>
      <c r="Z67" s="319" t="s">
        <v>148</v>
      </c>
      <c r="AA67" s="386">
        <v>56.964737417856945</v>
      </c>
      <c r="AB67" s="386">
        <v>0.2739968436851089</v>
      </c>
      <c r="AC67" s="251">
        <v>1.768248071020049</v>
      </c>
      <c r="AD67" s="251">
        <v>0.21387981473980353</v>
      </c>
      <c r="AE67" s="253">
        <v>18.622591135931003</v>
      </c>
      <c r="AF67" s="251">
        <v>7.4247254058596848E-2</v>
      </c>
      <c r="AG67" s="225">
        <v>20.2</v>
      </c>
      <c r="AH67" s="182">
        <v>33.349846586609644</v>
      </c>
      <c r="AI67" s="385">
        <v>9.6960736462654053E-3</v>
      </c>
      <c r="AJ67" s="181">
        <v>33.026484018014223</v>
      </c>
      <c r="AK67" s="261">
        <v>-14.40389288208322</v>
      </c>
      <c r="AL67" s="415">
        <v>62</v>
      </c>
    </row>
    <row r="68" spans="1:38" ht="19.5" customHeight="1">
      <c r="A68" s="293"/>
      <c r="B68" s="415">
        <v>63</v>
      </c>
      <c r="C68" s="422" t="s">
        <v>172</v>
      </c>
      <c r="D68" s="432">
        <v>44484</v>
      </c>
      <c r="E68" s="422">
        <v>1500</v>
      </c>
      <c r="F68" s="422">
        <v>20</v>
      </c>
      <c r="G68" s="430">
        <v>54.695999999999977</v>
      </c>
      <c r="H68" s="431">
        <v>0.67500000000000004</v>
      </c>
      <c r="I68" s="422">
        <v>303.95</v>
      </c>
      <c r="J68" s="417">
        <f t="shared" si="28"/>
        <v>30.789999999999964</v>
      </c>
      <c r="K68" s="419">
        <v>8.5344270564782027E-2</v>
      </c>
      <c r="L68" s="419">
        <v>6.0429323164678E-2</v>
      </c>
      <c r="M68" s="428">
        <v>0.20631541020532757</v>
      </c>
      <c r="N68" s="429">
        <v>4.62254613123691</v>
      </c>
      <c r="O68" s="420">
        <v>0.23406486567037388</v>
      </c>
      <c r="P68" s="428">
        <v>0.97164120773202145</v>
      </c>
      <c r="Q68" s="419">
        <v>4.5819537454987201E-2</v>
      </c>
      <c r="R68" s="419">
        <v>0.68219356981190182</v>
      </c>
      <c r="S68" s="429">
        <v>0.12928666280422044</v>
      </c>
      <c r="T68" s="427">
        <f t="shared" si="29"/>
        <v>0.29289776805590051</v>
      </c>
      <c r="U68" s="426">
        <f t="shared" si="30"/>
        <v>0.36461803150315458</v>
      </c>
      <c r="V68" s="425">
        <f t="shared" si="31"/>
        <v>4.4632417794848764E-2</v>
      </c>
      <c r="W68" s="426">
        <f t="shared" si="32"/>
        <v>7.0376409786452028</v>
      </c>
      <c r="X68" s="423">
        <f t="shared" si="33"/>
        <v>0.12866829345190153</v>
      </c>
      <c r="Y68" s="426">
        <f t="shared" si="34"/>
        <v>0.98086319886071638</v>
      </c>
      <c r="Z68" s="422" t="s">
        <v>148</v>
      </c>
      <c r="AA68" s="421">
        <v>55.113313522916684</v>
      </c>
      <c r="AB68" s="421">
        <v>0.50321888945250859</v>
      </c>
      <c r="AC68" s="419">
        <v>0.97641800711478977</v>
      </c>
      <c r="AD68" s="419">
        <v>0.24427317892457426</v>
      </c>
      <c r="AE68" s="420">
        <v>21.074383215477535</v>
      </c>
      <c r="AF68" s="419">
        <v>0.10329972526273687</v>
      </c>
      <c r="AG68" s="418">
        <v>23.23</v>
      </c>
      <c r="AH68" s="417">
        <v>33.349846586609644</v>
      </c>
      <c r="AI68" s="272">
        <v>4.014774036983898E-2</v>
      </c>
      <c r="AJ68" s="271">
        <v>32.010925604476483</v>
      </c>
      <c r="AK68" s="416">
        <v>-10.936542388998948</v>
      </c>
      <c r="AL68" s="415">
        <v>63</v>
      </c>
    </row>
    <row r="69" spans="1:38" ht="19.5" customHeight="1">
      <c r="A69" s="293"/>
      <c r="B69" s="415">
        <v>64</v>
      </c>
      <c r="C69" s="422" t="s">
        <v>173</v>
      </c>
      <c r="D69" s="432">
        <v>44492</v>
      </c>
      <c r="E69" s="422">
        <v>1505</v>
      </c>
      <c r="F69" s="422">
        <v>20</v>
      </c>
      <c r="G69" s="430">
        <v>74.371999999999986</v>
      </c>
      <c r="H69" s="431">
        <v>0.69400000000000006</v>
      </c>
      <c r="I69" s="422">
        <v>301.84999999999997</v>
      </c>
      <c r="J69" s="417">
        <f t="shared" si="28"/>
        <v>28.689999999999941</v>
      </c>
      <c r="K69" s="419">
        <v>0.46172209086965121</v>
      </c>
      <c r="L69" s="419">
        <v>0</v>
      </c>
      <c r="M69" s="428">
        <v>0.31881683892562013</v>
      </c>
      <c r="N69" s="429">
        <v>1.7493795244658519</v>
      </c>
      <c r="O69" s="420">
        <v>0.1463632174091366</v>
      </c>
      <c r="P69" s="428">
        <v>0.10677073946695008</v>
      </c>
      <c r="Q69" s="419">
        <v>2.7462066930124214E-2</v>
      </c>
      <c r="R69" s="419">
        <v>0.99899365591896749</v>
      </c>
      <c r="S69" s="429">
        <v>0.14092589894480609</v>
      </c>
      <c r="T69" s="427">
        <f t="shared" si="29"/>
        <v>0</v>
      </c>
      <c r="U69" s="426">
        <f t="shared" si="30"/>
        <v>3.1546320109852175</v>
      </c>
      <c r="V69" s="425">
        <f t="shared" si="31"/>
        <v>0.18224566737338846</v>
      </c>
      <c r="W69" s="426">
        <f t="shared" si="32"/>
        <v>3.9504340329311076</v>
      </c>
      <c r="X69" s="423">
        <f t="shared" si="33"/>
        <v>5.3117221977775353E-2</v>
      </c>
      <c r="Y69" s="426">
        <f t="shared" si="34"/>
        <v>0.80384572315927816</v>
      </c>
      <c r="Z69" s="422" t="s">
        <v>148</v>
      </c>
      <c r="AA69" s="421">
        <v>38.470400781742875</v>
      </c>
      <c r="AB69" s="421">
        <v>0.26393450520838307</v>
      </c>
      <c r="AC69" s="419">
        <v>-0.43615647768336735</v>
      </c>
      <c r="AD69" s="419">
        <v>0.41084045218202153</v>
      </c>
      <c r="AE69" s="420">
        <v>9.3619049624163075</v>
      </c>
      <c r="AF69" s="419">
        <v>0.1413473414582834</v>
      </c>
      <c r="AG69" s="418">
        <v>10.1</v>
      </c>
      <c r="AH69" s="417">
        <v>33.635221500745409</v>
      </c>
      <c r="AI69" s="272">
        <v>1.0460775713722574E-2</v>
      </c>
      <c r="AJ69" s="271">
        <v>33.283370992544732</v>
      </c>
      <c r="AK69" s="416">
        <v>-23.921466030128425</v>
      </c>
      <c r="AL69" s="415">
        <v>64</v>
      </c>
    </row>
    <row r="70" spans="1:38" ht="19.5" customHeight="1">
      <c r="A70" s="293"/>
      <c r="B70" s="415">
        <v>65</v>
      </c>
      <c r="C70" s="422" t="s">
        <v>174</v>
      </c>
      <c r="D70" s="432">
        <v>44501</v>
      </c>
      <c r="E70" s="422">
        <v>1510</v>
      </c>
      <c r="F70" s="422">
        <v>20</v>
      </c>
      <c r="G70" s="430">
        <v>116.95199999999998</v>
      </c>
      <c r="H70" s="431">
        <v>0.56499999999999995</v>
      </c>
      <c r="I70" s="422">
        <v>300.64999999999998</v>
      </c>
      <c r="J70" s="417">
        <f t="shared" si="28"/>
        <v>27.489999999999952</v>
      </c>
      <c r="K70" s="419">
        <v>0.17389407404194826</v>
      </c>
      <c r="L70" s="419">
        <v>0</v>
      </c>
      <c r="M70" s="428">
        <v>0.35161434093017363</v>
      </c>
      <c r="N70" s="429">
        <v>8.3250603799944951</v>
      </c>
      <c r="O70" s="420">
        <v>0.16622509714196998</v>
      </c>
      <c r="P70" s="428">
        <v>1.2234904433671201</v>
      </c>
      <c r="Q70" s="419">
        <v>3.6387058815588992E-2</v>
      </c>
      <c r="R70" s="419">
        <v>0.98787720921903288</v>
      </c>
      <c r="S70" s="429">
        <v>0.21087752553441064</v>
      </c>
      <c r="T70" s="427">
        <f t="shared" si="29"/>
        <v>0</v>
      </c>
      <c r="U70" s="426">
        <f t="shared" si="30"/>
        <v>1.0461360951615408</v>
      </c>
      <c r="V70" s="425">
        <f t="shared" si="31"/>
        <v>4.2235650539558744E-2</v>
      </c>
      <c r="W70" s="426">
        <f t="shared" si="32"/>
        <v>11.475426129044738</v>
      </c>
      <c r="X70" s="423">
        <f t="shared" si="33"/>
        <v>9.8120819900854542E-2</v>
      </c>
      <c r="Y70" s="426">
        <f t="shared" si="34"/>
        <v>1.3837138399077591</v>
      </c>
      <c r="Z70" s="422" t="s">
        <v>148</v>
      </c>
      <c r="AA70" s="419">
        <v>57.131818557385522</v>
      </c>
      <c r="AB70" s="419">
        <v>0.39872990686564908</v>
      </c>
      <c r="AC70" s="419">
        <v>4.2716629964255999</v>
      </c>
      <c r="AD70" s="419">
        <v>0.19390099648759748</v>
      </c>
      <c r="AE70" s="420">
        <v>17.870141367287818</v>
      </c>
      <c r="AF70" s="419">
        <v>0.15455164450813302</v>
      </c>
      <c r="AG70" s="418">
        <v>63.36</v>
      </c>
      <c r="AH70" s="417">
        <v>33.800082787294201</v>
      </c>
      <c r="AI70" s="272">
        <v>1.8944322070049643E-2</v>
      </c>
      <c r="AJ70" s="271">
        <v>33.159763132977361</v>
      </c>
      <c r="AK70" s="416">
        <v>-15.289621765689542</v>
      </c>
      <c r="AL70" s="415">
        <v>65</v>
      </c>
    </row>
    <row r="71" spans="1:38" ht="19.5" customHeight="1">
      <c r="A71" s="293"/>
      <c r="B71" s="415">
        <v>66</v>
      </c>
      <c r="C71" s="422" t="s">
        <v>175</v>
      </c>
      <c r="D71" s="432">
        <v>44509</v>
      </c>
      <c r="E71" s="422">
        <v>1515</v>
      </c>
      <c r="F71" s="422">
        <v>20</v>
      </c>
      <c r="G71" s="430">
        <v>123.68799999999999</v>
      </c>
      <c r="H71" s="431">
        <v>0.61899999999999999</v>
      </c>
      <c r="I71" s="422">
        <v>299.54999999999995</v>
      </c>
      <c r="J71" s="417">
        <f t="shared" si="28"/>
        <v>26.38999999999993</v>
      </c>
      <c r="K71" s="419">
        <v>0.15164389783041043</v>
      </c>
      <c r="L71" s="419">
        <v>0</v>
      </c>
      <c r="M71" s="428">
        <v>0.40507389863338478</v>
      </c>
      <c r="N71" s="429">
        <v>1.434119196631509</v>
      </c>
      <c r="O71" s="420">
        <v>0.1157620126668395</v>
      </c>
      <c r="P71" s="428">
        <v>0.17876385582743254</v>
      </c>
      <c r="Q71" s="419">
        <v>3.2493822768916124E-2</v>
      </c>
      <c r="R71" s="419">
        <v>0.98208892035683104</v>
      </c>
      <c r="S71" s="429">
        <v>0.19622213699176963</v>
      </c>
      <c r="T71" s="427">
        <f t="shared" si="29"/>
        <v>0</v>
      </c>
      <c r="U71" s="426">
        <f t="shared" si="30"/>
        <v>1.3099625199748228</v>
      </c>
      <c r="V71" s="425">
        <f t="shared" si="31"/>
        <v>0.28245483331150673</v>
      </c>
      <c r="W71" s="426">
        <f t="shared" si="32"/>
        <v>3.4961677417070929</v>
      </c>
      <c r="X71" s="423">
        <f t="shared" si="33"/>
        <v>2.8266022101635511E-2</v>
      </c>
      <c r="Y71" s="426">
        <f t="shared" si="34"/>
        <v>0.56739615748172678</v>
      </c>
      <c r="Z71" s="422" t="s">
        <v>148</v>
      </c>
      <c r="AA71" s="421">
        <v>63.142841602016425</v>
      </c>
      <c r="AB71" s="421">
        <v>8.4474519557277555E-2</v>
      </c>
      <c r="AC71" s="421">
        <v>4.8199555119454551</v>
      </c>
      <c r="AD71" s="421">
        <v>0.13587538348857506</v>
      </c>
      <c r="AE71" s="420">
        <v>9.5465109740668073</v>
      </c>
      <c r="AF71" s="419">
        <v>8.6910358667980733E-2</v>
      </c>
      <c r="AG71" s="418">
        <v>18.18</v>
      </c>
      <c r="AH71" s="417">
        <v>33.952365982306802</v>
      </c>
      <c r="AI71" s="272">
        <v>9.8042058720097577E-3</v>
      </c>
      <c r="AJ71" s="271">
        <v>33.61948999637444</v>
      </c>
      <c r="AK71" s="416">
        <v>-24.072979022307635</v>
      </c>
      <c r="AL71" s="415">
        <v>66</v>
      </c>
    </row>
    <row r="72" spans="1:38" ht="19.5" customHeight="1">
      <c r="A72" s="293"/>
      <c r="B72" s="415">
        <v>67</v>
      </c>
      <c r="C72" s="422" t="s">
        <v>176</v>
      </c>
      <c r="D72" s="432">
        <v>44519</v>
      </c>
      <c r="E72" s="422">
        <v>1520</v>
      </c>
      <c r="F72" s="422">
        <v>20</v>
      </c>
      <c r="G72" s="430">
        <v>142.43600000000001</v>
      </c>
      <c r="H72" s="431">
        <v>0.63400000000000001</v>
      </c>
      <c r="I72" s="422">
        <v>298.64999999999998</v>
      </c>
      <c r="J72" s="417">
        <f t="shared" si="28"/>
        <v>25.489999999999952</v>
      </c>
      <c r="K72" s="419">
        <v>0.364336116787849</v>
      </c>
      <c r="L72" s="419">
        <v>1.8269488321522261E-2</v>
      </c>
      <c r="M72" s="428">
        <v>0.48033706983020497</v>
      </c>
      <c r="N72" s="429">
        <v>2.165936110291582</v>
      </c>
      <c r="O72" s="420">
        <v>0.11945751725260459</v>
      </c>
      <c r="P72" s="428">
        <v>0.14716686652548322</v>
      </c>
      <c r="Q72" s="419">
        <v>3.0656501752491284E-2</v>
      </c>
      <c r="R72" s="419">
        <v>0.95804320591245851</v>
      </c>
      <c r="S72" s="429">
        <v>0.17748099292345432</v>
      </c>
      <c r="T72" s="427">
        <f t="shared" si="29"/>
        <v>3.8034724923438387E-2</v>
      </c>
      <c r="U72" s="426">
        <f t="shared" si="30"/>
        <v>3.0499220573739589</v>
      </c>
      <c r="V72" s="425">
        <f t="shared" si="31"/>
        <v>0.22176880820623152</v>
      </c>
      <c r="W72" s="426">
        <f t="shared" si="32"/>
        <v>4.4616838695976497</v>
      </c>
      <c r="X72" s="423">
        <f t="shared" si="33"/>
        <v>3.1324130624263875E-2</v>
      </c>
      <c r="Y72" s="426">
        <f t="shared" si="34"/>
        <v>0.93126971743200071</v>
      </c>
      <c r="Z72" s="422" t="s">
        <v>148</v>
      </c>
      <c r="AA72" s="421">
        <v>61.632024135080826</v>
      </c>
      <c r="AB72" s="421">
        <v>4.4748388012256703E-2</v>
      </c>
      <c r="AC72" s="421">
        <v>7.5858303700631096</v>
      </c>
      <c r="AD72" s="421">
        <v>0.16400738343944057</v>
      </c>
      <c r="AE72" s="420">
        <v>9.4654202096355498</v>
      </c>
      <c r="AF72" s="419">
        <v>7.9946965476328138E-2</v>
      </c>
      <c r="AG72" s="418">
        <v>15.15</v>
      </c>
      <c r="AH72" s="417">
        <v>34.077795714046545</v>
      </c>
      <c r="AI72" s="272">
        <v>9.6536130461310939E-3</v>
      </c>
      <c r="AJ72" s="271">
        <v>33.748821860758035</v>
      </c>
      <c r="AK72" s="416">
        <v>-24.283401651122485</v>
      </c>
      <c r="AL72" s="415">
        <v>67</v>
      </c>
    </row>
    <row r="73" spans="1:38" ht="19.5" customHeight="1">
      <c r="A73" s="293"/>
      <c r="B73" s="415">
        <v>68</v>
      </c>
      <c r="C73" s="422" t="s">
        <v>177</v>
      </c>
      <c r="D73" s="432">
        <v>44527</v>
      </c>
      <c r="E73" s="422">
        <v>1525</v>
      </c>
      <c r="F73" s="422">
        <v>20</v>
      </c>
      <c r="G73" s="430">
        <v>154.048</v>
      </c>
      <c r="H73" s="431">
        <v>0.66700000000000004</v>
      </c>
      <c r="I73" s="422">
        <v>297.64999999999998</v>
      </c>
      <c r="J73" s="417">
        <f t="shared" si="28"/>
        <v>24.489999999999952</v>
      </c>
      <c r="K73" s="419">
        <v>0.33268562466630902</v>
      </c>
      <c r="L73" s="419">
        <v>0</v>
      </c>
      <c r="M73" s="428">
        <v>0.34776270354644351</v>
      </c>
      <c r="N73" s="429">
        <v>2.0313013326447655</v>
      </c>
      <c r="O73" s="420">
        <v>0.13613699577101337</v>
      </c>
      <c r="P73" s="428">
        <v>0.15019252706800862</v>
      </c>
      <c r="Q73" s="419">
        <v>2.1218564654566674E-2</v>
      </c>
      <c r="R73" s="419">
        <v>0.76724088027504445</v>
      </c>
      <c r="S73" s="429">
        <v>0.17132387831325477</v>
      </c>
      <c r="T73" s="427">
        <f t="shared" si="29"/>
        <v>0</v>
      </c>
      <c r="U73" s="426">
        <f t="shared" si="30"/>
        <v>2.4437561794436578</v>
      </c>
      <c r="V73" s="425">
        <f t="shared" si="31"/>
        <v>0.17120192753167476</v>
      </c>
      <c r="W73" s="426">
        <f t="shared" si="32"/>
        <v>3.957862506939406</v>
      </c>
      <c r="X73" s="423">
        <f t="shared" si="33"/>
        <v>2.5692397869101876E-2</v>
      </c>
      <c r="Y73" s="426">
        <f t="shared" si="34"/>
        <v>0.97698355321221864</v>
      </c>
      <c r="Z73" s="422" t="s">
        <v>148</v>
      </c>
      <c r="AA73" s="421">
        <v>62.643804071067137</v>
      </c>
      <c r="AB73" s="421">
        <v>4.708500249586732E-2</v>
      </c>
      <c r="AC73" s="421">
        <v>4.546121469952471</v>
      </c>
      <c r="AD73" s="421">
        <v>0.41703051631634952</v>
      </c>
      <c r="AE73" s="420">
        <v>7.2392541656678686</v>
      </c>
      <c r="AF73" s="419">
        <v>0.10847467061478398</v>
      </c>
      <c r="AG73" s="418">
        <v>14.14</v>
      </c>
      <c r="AH73" s="417">
        <v>34.218051705022681</v>
      </c>
      <c r="AI73" s="272">
        <v>1.0510182195482594E-2</v>
      </c>
      <c r="AJ73" s="271">
        <v>33.858413747228447</v>
      </c>
      <c r="AK73" s="416">
        <v>-26.619159581560577</v>
      </c>
      <c r="AL73" s="415">
        <v>68</v>
      </c>
    </row>
    <row r="74" spans="1:38" ht="19.5" customHeight="1">
      <c r="A74" s="293"/>
      <c r="B74" s="414">
        <v>69</v>
      </c>
      <c r="C74" s="422" t="s">
        <v>178</v>
      </c>
      <c r="D74" s="432">
        <v>44533</v>
      </c>
      <c r="E74" s="422">
        <v>1530</v>
      </c>
      <c r="F74" s="422">
        <v>20</v>
      </c>
      <c r="G74" s="430">
        <v>68.144000000000005</v>
      </c>
      <c r="H74" s="431">
        <v>0.61799999999999999</v>
      </c>
      <c r="I74" s="422">
        <v>298.25</v>
      </c>
      <c r="J74" s="417">
        <f t="shared" si="28"/>
        <v>25.089999999999975</v>
      </c>
      <c r="K74" s="419">
        <v>0.99106962377724894</v>
      </c>
      <c r="L74" s="419">
        <v>5.8644815852188031E-2</v>
      </c>
      <c r="M74" s="428">
        <v>0.7679480868564611</v>
      </c>
      <c r="N74" s="429">
        <v>2.8084615391386976</v>
      </c>
      <c r="O74" s="420">
        <v>0.22296809488024244</v>
      </c>
      <c r="P74" s="428">
        <v>0.1856157673509311</v>
      </c>
      <c r="Q74" s="419">
        <v>5.3194414554218188E-2</v>
      </c>
      <c r="R74" s="419">
        <v>1.8399396995949375</v>
      </c>
      <c r="S74" s="429">
        <v>0.29969331419297468</v>
      </c>
      <c r="T74" s="427">
        <f t="shared" si="29"/>
        <v>7.6365599258468447E-2</v>
      </c>
      <c r="U74" s="426">
        <f t="shared" si="30"/>
        <v>4.4448943437829467</v>
      </c>
      <c r="V74" s="425">
        <f t="shared" si="31"/>
        <v>0.27344084159755894</v>
      </c>
      <c r="W74" s="426">
        <f t="shared" si="32"/>
        <v>7.2275353561978983</v>
      </c>
      <c r="X74" s="423">
        <f t="shared" si="33"/>
        <v>0.10606268132481066</v>
      </c>
      <c r="Y74" s="426">
        <f t="shared" si="34"/>
        <v>0.80959227166528347</v>
      </c>
      <c r="Z74" s="422" t="s">
        <v>148</v>
      </c>
      <c r="AA74" s="421">
        <v>59.418927761438511</v>
      </c>
      <c r="AB74" s="421">
        <v>0.13486980666898338</v>
      </c>
      <c r="AC74" s="421">
        <v>6.7673579648084852</v>
      </c>
      <c r="AD74" s="421">
        <v>0.22180457036759238</v>
      </c>
      <c r="AE74" s="420">
        <v>8.5544673380757512</v>
      </c>
      <c r="AF74" s="419">
        <v>0.11344175455058363</v>
      </c>
      <c r="AG74" s="418">
        <v>15.15</v>
      </c>
      <c r="AH74" s="417">
        <v>34.133785247275775</v>
      </c>
      <c r="AI74" s="272">
        <v>1.2103574461359519E-2</v>
      </c>
      <c r="AJ74" s="271">
        <v>33.720644435887316</v>
      </c>
      <c r="AK74" s="416">
        <v>-25.166177097811563</v>
      </c>
      <c r="AL74" s="414">
        <v>69</v>
      </c>
    </row>
    <row r="75" spans="1:38" ht="19.5" customHeight="1">
      <c r="A75" s="293"/>
      <c r="B75" s="414">
        <v>70</v>
      </c>
      <c r="C75" s="422" t="s">
        <v>179</v>
      </c>
      <c r="D75" s="432">
        <v>44541</v>
      </c>
      <c r="E75" s="422">
        <v>1535</v>
      </c>
      <c r="F75" s="422">
        <v>20</v>
      </c>
      <c r="G75" s="430">
        <v>175.27200000000002</v>
      </c>
      <c r="H75" s="431">
        <v>0.65700000000000003</v>
      </c>
      <c r="I75" s="422">
        <v>296.75</v>
      </c>
      <c r="J75" s="417">
        <f t="shared" si="28"/>
        <v>23.589999999999975</v>
      </c>
      <c r="K75" s="419">
        <v>7.9805596608573795E-2</v>
      </c>
      <c r="L75" s="419">
        <v>1.3249003931580131E-2</v>
      </c>
      <c r="M75" s="428">
        <v>0.22681534122259381</v>
      </c>
      <c r="N75" s="429">
        <v>2.1020484332869729</v>
      </c>
      <c r="O75" s="420">
        <v>0.1031727925830227</v>
      </c>
      <c r="P75" s="428">
        <v>0.26452593867687335</v>
      </c>
      <c r="Q75" s="419">
        <v>3.6690284305718898E-2</v>
      </c>
      <c r="R75" s="419">
        <v>1.0658709092004195</v>
      </c>
      <c r="S75" s="429">
        <v>0.12251329474636999</v>
      </c>
      <c r="T75" s="427">
        <f t="shared" si="29"/>
        <v>5.8413173730509353E-2</v>
      </c>
      <c r="U75" s="426">
        <f t="shared" si="30"/>
        <v>0.77351397214875794</v>
      </c>
      <c r="V75" s="425">
        <f t="shared" si="31"/>
        <v>0.10790205288844019</v>
      </c>
      <c r="W75" s="426">
        <f t="shared" si="32"/>
        <v>4.0146915945621258</v>
      </c>
      <c r="X75" s="423">
        <f t="shared" si="33"/>
        <v>2.2905493145294886E-2</v>
      </c>
      <c r="Y75" s="426">
        <f t="shared" si="34"/>
        <v>0.63577686570203695</v>
      </c>
      <c r="Z75" s="422" t="s">
        <v>148</v>
      </c>
      <c r="AA75" s="421">
        <v>57.333786464153889</v>
      </c>
      <c r="AB75" s="421">
        <v>7.6282062536957754E-2</v>
      </c>
      <c r="AC75" s="419">
        <v>3.2170464834433545</v>
      </c>
      <c r="AD75" s="419">
        <v>0.18290419773317282</v>
      </c>
      <c r="AE75" s="420">
        <v>22.88281645905202</v>
      </c>
      <c r="AF75" s="419">
        <v>7.1276556046678832E-2</v>
      </c>
      <c r="AG75" s="418">
        <v>26.26</v>
      </c>
      <c r="AH75" s="417">
        <v>34.345090311710194</v>
      </c>
      <c r="AI75" s="272">
        <v>9.9728809211686413E-3</v>
      </c>
      <c r="AJ75" s="271">
        <v>34.002570815804724</v>
      </c>
      <c r="AK75" s="416">
        <v>-11.119754356752704</v>
      </c>
      <c r="AL75" s="414">
        <v>70</v>
      </c>
    </row>
    <row r="76" spans="1:38" ht="19.5" customHeight="1">
      <c r="A76" s="293"/>
      <c r="B76" s="414">
        <v>71</v>
      </c>
      <c r="C76" s="422" t="s">
        <v>180</v>
      </c>
      <c r="D76" s="432">
        <v>44549</v>
      </c>
      <c r="E76" s="422">
        <v>1540</v>
      </c>
      <c r="F76" s="422">
        <v>20</v>
      </c>
      <c r="G76" s="430">
        <v>156.07599999999996</v>
      </c>
      <c r="H76" s="431">
        <v>0.66099999999999992</v>
      </c>
      <c r="I76" s="422">
        <v>294.75</v>
      </c>
      <c r="J76" s="417">
        <f t="shared" si="28"/>
        <v>21.589999999999975</v>
      </c>
      <c r="K76" s="419">
        <v>0.26768228636707414</v>
      </c>
      <c r="L76" s="419">
        <v>0</v>
      </c>
      <c r="M76" s="428">
        <v>0.22868911076062476</v>
      </c>
      <c r="N76" s="429">
        <v>1.1245152468900412</v>
      </c>
      <c r="O76" s="420">
        <v>7.1567377655048142E-2</v>
      </c>
      <c r="P76" s="428">
        <v>0.14417409675018131</v>
      </c>
      <c r="Q76" s="419">
        <v>1.7435465682469727E-2</v>
      </c>
      <c r="R76" s="419">
        <v>0.7767430551913117</v>
      </c>
      <c r="S76" s="429">
        <v>9.3493645973516976E-2</v>
      </c>
      <c r="T76" s="427">
        <f t="shared" si="29"/>
        <v>0</v>
      </c>
      <c r="U76" s="426">
        <f t="shared" si="30"/>
        <v>3.7402835640742897</v>
      </c>
      <c r="V76" s="425">
        <f t="shared" si="31"/>
        <v>0.20336683863832639</v>
      </c>
      <c r="W76" s="426">
        <f t="shared" si="32"/>
        <v>2.7243002852702678</v>
      </c>
      <c r="X76" s="423">
        <f t="shared" si="33"/>
        <v>1.7454959668816911E-2</v>
      </c>
      <c r="Y76" s="426">
        <f t="shared" si="34"/>
        <v>0.64606679448755511</v>
      </c>
      <c r="Z76" s="422" t="s">
        <v>148</v>
      </c>
      <c r="AA76" s="421">
        <v>57.037522978917572</v>
      </c>
      <c r="AB76" s="421">
        <v>6.197904293820955E-2</v>
      </c>
      <c r="AC76" s="419">
        <v>4.2256635331486088</v>
      </c>
      <c r="AD76" s="419">
        <v>0.22646734392816337</v>
      </c>
      <c r="AE76" s="420">
        <v>3.9581127268132241</v>
      </c>
      <c r="AF76" s="419">
        <v>9.5038765092420888E-2</v>
      </c>
      <c r="AG76" s="418">
        <v>14.14</v>
      </c>
      <c r="AH76" s="417">
        <v>34.630175911789649</v>
      </c>
      <c r="AI76" s="272">
        <v>1.009327496106216E-2</v>
      </c>
      <c r="AJ76" s="271">
        <v>34.280644024362005</v>
      </c>
      <c r="AK76" s="416">
        <v>-30.322531297548782</v>
      </c>
      <c r="AL76" s="414">
        <v>71</v>
      </c>
    </row>
    <row r="77" spans="1:38" ht="19.5" customHeight="1">
      <c r="A77" s="293"/>
      <c r="B77" s="414">
        <v>72</v>
      </c>
      <c r="C77" s="422" t="s">
        <v>181</v>
      </c>
      <c r="D77" s="432">
        <v>44557</v>
      </c>
      <c r="E77" s="422">
        <v>1545</v>
      </c>
      <c r="F77" s="422">
        <v>30</v>
      </c>
      <c r="G77" s="430">
        <v>179.85769230769228</v>
      </c>
      <c r="H77" s="431">
        <v>0.66799999999999993</v>
      </c>
      <c r="I77" s="422">
        <v>295.04999999999995</v>
      </c>
      <c r="J77" s="417">
        <f t="shared" si="28"/>
        <v>21.88999999999993</v>
      </c>
      <c r="K77" s="419">
        <v>0.25707568046108059</v>
      </c>
      <c r="L77" s="419">
        <v>4.4906095244077834E-2</v>
      </c>
      <c r="M77" s="428">
        <v>1.2704657633717082</v>
      </c>
      <c r="N77" s="429">
        <v>6.5352338513981563</v>
      </c>
      <c r="O77" s="420">
        <v>0.18829927849860803</v>
      </c>
      <c r="P77" s="428">
        <v>1.4571340785960547</v>
      </c>
      <c r="Q77" s="419">
        <v>5.2463555686262965E-2</v>
      </c>
      <c r="R77" s="419">
        <v>1.7622869094742448</v>
      </c>
      <c r="S77" s="429">
        <v>0.48941216993225439</v>
      </c>
      <c r="T77" s="427">
        <f t="shared" si="29"/>
        <v>3.5346167160696149E-2</v>
      </c>
      <c r="U77" s="426">
        <f t="shared" si="30"/>
        <v>1.3652504805693186</v>
      </c>
      <c r="V77" s="425">
        <f t="shared" si="31"/>
        <v>0.19440249457942552</v>
      </c>
      <c r="W77" s="426">
        <f t="shared" si="32"/>
        <v>12.057277382662447</v>
      </c>
      <c r="X77" s="423">
        <f t="shared" si="33"/>
        <v>6.703787437701253E-2</v>
      </c>
      <c r="Y77" s="420">
        <f t="shared" ref="Y77:Y92" si="35">(M77/62+N77/96*2+K77/35+L77/44)/(P77/18+S77/39+O77/23+Q77/24*2+R77/40*2)</f>
        <v>0.84979228805306961</v>
      </c>
      <c r="Z77" s="422" t="s">
        <v>148</v>
      </c>
      <c r="AA77" s="421">
        <v>69.766518288459295</v>
      </c>
      <c r="AB77" s="421">
        <v>0.29357245722140096</v>
      </c>
      <c r="AC77" s="419">
        <v>2.7875522618894593</v>
      </c>
      <c r="AD77" s="419">
        <v>0.20272329159266084</v>
      </c>
      <c r="AE77" s="420">
        <v>18.336097247552356</v>
      </c>
      <c r="AF77" s="419">
        <v>0.10491763796878903</v>
      </c>
      <c r="AG77" s="418">
        <v>73.73</v>
      </c>
      <c r="AH77" s="417">
        <v>34.587166683612956</v>
      </c>
      <c r="AI77" s="272">
        <v>1.9446082132527003E-2</v>
      </c>
      <c r="AJ77" s="271">
        <v>33.914581799552018</v>
      </c>
      <c r="AK77" s="416">
        <v>-15.578484551999662</v>
      </c>
      <c r="AL77" s="414">
        <v>72</v>
      </c>
    </row>
    <row r="78" spans="1:38" ht="19.5" customHeight="1">
      <c r="A78" s="293"/>
      <c r="B78" s="414">
        <v>73</v>
      </c>
      <c r="C78" s="422" t="s">
        <v>182</v>
      </c>
      <c r="D78" s="432">
        <v>44565</v>
      </c>
      <c r="E78" s="422">
        <v>1550</v>
      </c>
      <c r="F78" s="422">
        <v>20</v>
      </c>
      <c r="G78" s="430">
        <v>201.62799999999999</v>
      </c>
      <c r="H78" s="431">
        <v>0.71499999999999997</v>
      </c>
      <c r="I78" s="422">
        <v>293.75</v>
      </c>
      <c r="J78" s="417">
        <f t="shared" si="28"/>
        <v>20.589999999999975</v>
      </c>
      <c r="K78" s="419">
        <v>0.18147373920692772</v>
      </c>
      <c r="L78" s="419">
        <v>0.21005833558964548</v>
      </c>
      <c r="M78" s="428">
        <v>0.98310441762019618</v>
      </c>
      <c r="N78" s="429">
        <v>7.5030936764271647</v>
      </c>
      <c r="O78" s="420">
        <v>0.11267072252053528</v>
      </c>
      <c r="P78" s="428">
        <v>1.386049531524592</v>
      </c>
      <c r="Q78" s="419">
        <v>3.7325613904086327E-2</v>
      </c>
      <c r="R78" s="419">
        <v>1.2683981031942042</v>
      </c>
      <c r="S78" s="429">
        <v>0.41973715183492005</v>
      </c>
      <c r="T78" s="427">
        <f t="shared" si="29"/>
        <v>0.21366838743145344</v>
      </c>
      <c r="U78" s="426">
        <f t="shared" si="30"/>
        <v>1.6106556800845264</v>
      </c>
      <c r="V78" s="425">
        <f t="shared" si="31"/>
        <v>0.1310265418528444</v>
      </c>
      <c r="W78" s="426">
        <f t="shared" si="32"/>
        <v>12.101911291822271</v>
      </c>
      <c r="X78" s="423">
        <f t="shared" si="33"/>
        <v>6.0020985636034044E-2</v>
      </c>
      <c r="Y78" s="420">
        <f t="shared" si="35"/>
        <v>1.1440732643292388</v>
      </c>
      <c r="Z78" s="422" t="s">
        <v>148</v>
      </c>
      <c r="AA78" s="421">
        <v>63.543275143191636</v>
      </c>
      <c r="AB78" s="421">
        <v>0.13203879785526443</v>
      </c>
      <c r="AC78" s="419">
        <v>0.92819765095608364</v>
      </c>
      <c r="AD78" s="419">
        <v>3.9363634679552242E-2</v>
      </c>
      <c r="AE78" s="420">
        <v>17.722858545951883</v>
      </c>
      <c r="AF78" s="419">
        <v>0.13657991928384977</v>
      </c>
      <c r="AG78" s="418">
        <v>4.04</v>
      </c>
      <c r="AH78" s="417">
        <v>34.774174468085107</v>
      </c>
      <c r="AI78" s="272">
        <v>0.25544358256809807</v>
      </c>
      <c r="AJ78" s="271">
        <v>25.891334761109363</v>
      </c>
      <c r="AK78" s="416">
        <v>-8.1684762151574795</v>
      </c>
      <c r="AL78" s="414">
        <v>73</v>
      </c>
    </row>
    <row r="79" spans="1:38" ht="19.5" customHeight="1">
      <c r="A79" s="293"/>
      <c r="B79" s="414">
        <v>74</v>
      </c>
      <c r="C79" s="422" t="s">
        <v>183</v>
      </c>
      <c r="D79" s="432">
        <v>44573</v>
      </c>
      <c r="E79" s="422">
        <v>1555</v>
      </c>
      <c r="F79" s="422">
        <v>30</v>
      </c>
      <c r="G79" s="430">
        <v>148.58000000000001</v>
      </c>
      <c r="H79" s="431">
        <v>0.71200000000000008</v>
      </c>
      <c r="I79" s="422">
        <v>295.04999999999995</v>
      </c>
      <c r="J79" s="417">
        <f t="shared" si="28"/>
        <v>21.88999999999993</v>
      </c>
      <c r="K79" s="419">
        <v>0.16031010972007714</v>
      </c>
      <c r="L79" s="419">
        <v>2.2093561262020507E-2</v>
      </c>
      <c r="M79" s="428">
        <v>1.2711450915595486</v>
      </c>
      <c r="N79" s="429">
        <v>6.7964335895451651</v>
      </c>
      <c r="O79" s="420">
        <v>5.5954900547463118E-2</v>
      </c>
      <c r="P79" s="428">
        <v>1.1594614976088422</v>
      </c>
      <c r="Q79" s="419">
        <v>2.6019634914956888E-2</v>
      </c>
      <c r="R79" s="419">
        <v>1.4351356683117484</v>
      </c>
      <c r="S79" s="429">
        <v>3.5856517156245819E-2</v>
      </c>
      <c r="T79" s="427">
        <f t="shared" si="29"/>
        <v>1.7380833556076791E-2</v>
      </c>
      <c r="U79" s="426">
        <f t="shared" si="30"/>
        <v>2.8649878411292304</v>
      </c>
      <c r="V79" s="425">
        <f t="shared" si="31"/>
        <v>0.18703119434800758</v>
      </c>
      <c r="W79" s="426">
        <f t="shared" si="32"/>
        <v>10.962410570626067</v>
      </c>
      <c r="X79" s="423">
        <f t="shared" si="33"/>
        <v>7.3781199156185667E-2</v>
      </c>
      <c r="Y79" s="420">
        <f t="shared" si="35"/>
        <v>1.1798641997836281</v>
      </c>
      <c r="Z79" s="422" t="s">
        <v>148</v>
      </c>
      <c r="AA79" s="421">
        <v>67.784712349168828</v>
      </c>
      <c r="AB79" s="421">
        <v>7.6944324737799486E-3</v>
      </c>
      <c r="AC79" s="419">
        <v>2.5679732510200242</v>
      </c>
      <c r="AD79" s="419">
        <v>5.1787644553398064E-2</v>
      </c>
      <c r="AE79" s="420">
        <v>18.5547095367764</v>
      </c>
      <c r="AF79" s="419">
        <v>7.0758557768654889E-2</v>
      </c>
      <c r="AG79" s="418">
        <v>3.0259999999999998</v>
      </c>
      <c r="AH79" s="417">
        <v>34.587166683612956</v>
      </c>
      <c r="AI79" s="272">
        <v>0.2763275066581441</v>
      </c>
      <c r="AJ79" s="271">
        <v>25.029781151560556</v>
      </c>
      <c r="AK79" s="416">
        <v>-6.4750716147841558</v>
      </c>
      <c r="AL79" s="414">
        <v>74</v>
      </c>
    </row>
    <row r="80" spans="1:38" ht="19.5" customHeight="1">
      <c r="A80" s="293"/>
      <c r="B80" s="414">
        <v>75</v>
      </c>
      <c r="C80" s="422" t="s">
        <v>184</v>
      </c>
      <c r="D80" s="432">
        <v>44581</v>
      </c>
      <c r="E80" s="422">
        <v>1560</v>
      </c>
      <c r="F80" s="422">
        <v>30</v>
      </c>
      <c r="G80" s="430">
        <v>215.59599999999998</v>
      </c>
      <c r="H80" s="431">
        <v>0.72499999999999998</v>
      </c>
      <c r="I80" s="422">
        <v>292.84999999999997</v>
      </c>
      <c r="J80" s="417">
        <f t="shared" si="28"/>
        <v>19.689999999999941</v>
      </c>
      <c r="K80" s="419">
        <v>0.31526508552673455</v>
      </c>
      <c r="L80" s="419">
        <v>0.12151458694111279</v>
      </c>
      <c r="M80" s="428">
        <v>1.8935111684398067</v>
      </c>
      <c r="N80" s="429">
        <v>3.6942388205290291</v>
      </c>
      <c r="O80" s="420">
        <v>0.18559688843559952</v>
      </c>
      <c r="P80" s="428">
        <v>0.46843169899925191</v>
      </c>
      <c r="Q80" s="419">
        <v>5.343266315360598E-2</v>
      </c>
      <c r="R80" s="419">
        <v>1.9925207310647732</v>
      </c>
      <c r="S80" s="429">
        <v>0.35852283801209656</v>
      </c>
      <c r="T80" s="427">
        <f t="shared" si="29"/>
        <v>6.4174211890831875E-2</v>
      </c>
      <c r="U80" s="426">
        <f t="shared" si="30"/>
        <v>1.6986550161703209</v>
      </c>
      <c r="V80" s="425">
        <f t="shared" si="31"/>
        <v>0.51255786656712377</v>
      </c>
      <c r="W80" s="426">
        <f t="shared" si="32"/>
        <v>9.0830344811020094</v>
      </c>
      <c r="X80" s="423">
        <f t="shared" si="33"/>
        <v>4.2129884047487014E-2</v>
      </c>
      <c r="Y80" s="420">
        <f t="shared" si="35"/>
        <v>0.80937147843109847</v>
      </c>
      <c r="Z80" s="422" t="s">
        <v>148</v>
      </c>
      <c r="AA80" s="421">
        <v>68.35668653998421</v>
      </c>
      <c r="AB80" s="421">
        <v>0.25035450940203824</v>
      </c>
      <c r="AC80" s="419">
        <v>2.2148573769246642</v>
      </c>
      <c r="AD80" s="419">
        <v>7.611774522717947E-2</v>
      </c>
      <c r="AE80" s="420">
        <v>18.918554210853731</v>
      </c>
      <c r="AF80" s="419">
        <v>0.27721917951752778</v>
      </c>
      <c r="AG80" s="418">
        <v>18.12</v>
      </c>
      <c r="AH80" s="417">
        <v>34.904614000341475</v>
      </c>
      <c r="AI80" s="272">
        <v>2.5200173235941738E-2</v>
      </c>
      <c r="AJ80" s="271">
        <v>34.025011680799196</v>
      </c>
      <c r="AK80" s="416">
        <v>-15.106457469945465</v>
      </c>
      <c r="AL80" s="414">
        <v>75</v>
      </c>
    </row>
    <row r="81" spans="1:38" ht="19.5" customHeight="1">
      <c r="A81" s="293"/>
      <c r="B81" s="414">
        <v>76</v>
      </c>
      <c r="C81" s="422" t="s">
        <v>185</v>
      </c>
      <c r="D81" s="432">
        <v>44589</v>
      </c>
      <c r="E81" s="422">
        <v>1565</v>
      </c>
      <c r="F81" s="422">
        <v>30</v>
      </c>
      <c r="G81" s="430">
        <v>154.11199999999997</v>
      </c>
      <c r="H81" s="431">
        <v>0.65099999999999991</v>
      </c>
      <c r="I81" s="422">
        <v>292.54999999999995</v>
      </c>
      <c r="J81" s="417">
        <f t="shared" si="28"/>
        <v>19.38999999999993</v>
      </c>
      <c r="K81" s="419">
        <v>0.11459495278028806</v>
      </c>
      <c r="L81" s="419">
        <v>3.7733476997503443E-2</v>
      </c>
      <c r="M81" s="428">
        <v>0.8485156267939109</v>
      </c>
      <c r="N81" s="429">
        <v>3.3068855287142203</v>
      </c>
      <c r="O81" s="420">
        <v>8.7438024532036224E-2</v>
      </c>
      <c r="P81" s="428">
        <v>0.71247988660864303</v>
      </c>
      <c r="Q81" s="419">
        <v>4.4877372539226419E-2</v>
      </c>
      <c r="R81" s="419">
        <v>1.2878974765104008</v>
      </c>
      <c r="S81" s="429">
        <v>0.29118074277443651</v>
      </c>
      <c r="T81" s="427">
        <f t="shared" si="29"/>
        <v>4.4469984766312642E-2</v>
      </c>
      <c r="U81" s="426">
        <f t="shared" si="30"/>
        <v>1.3105848787594905</v>
      </c>
      <c r="V81" s="425">
        <f t="shared" si="31"/>
        <v>0.25659056517865919</v>
      </c>
      <c r="W81" s="426">
        <f t="shared" si="32"/>
        <v>6.731603088250667</v>
      </c>
      <c r="X81" s="423">
        <f t="shared" si="33"/>
        <v>4.3679941135347462E-2</v>
      </c>
      <c r="Y81" s="420">
        <f t="shared" si="35"/>
        <v>0.72875678303406455</v>
      </c>
      <c r="Z81" s="422" t="s">
        <v>148</v>
      </c>
      <c r="AA81" s="421">
        <v>65.988042343543313</v>
      </c>
      <c r="AB81" s="421">
        <v>0.47852422286505042</v>
      </c>
      <c r="AC81" s="419">
        <v>1.4394002735861255</v>
      </c>
      <c r="AD81" s="419">
        <v>4.5386145708387407E-2</v>
      </c>
      <c r="AE81" s="420">
        <v>18.433834866384675</v>
      </c>
      <c r="AF81" s="419">
        <v>0.23161948560471052</v>
      </c>
      <c r="AG81" s="418">
        <v>55.55</v>
      </c>
      <c r="AH81" s="417">
        <v>34.948272192787563</v>
      </c>
      <c r="AI81" s="272">
        <v>1.2663499512367291E-2</v>
      </c>
      <c r="AJ81" s="271">
        <v>34.505704764916118</v>
      </c>
      <c r="AK81" s="416">
        <v>-16.071869898531443</v>
      </c>
      <c r="AL81" s="414">
        <v>76</v>
      </c>
    </row>
    <row r="82" spans="1:38" ht="19.5" customHeight="1">
      <c r="A82" s="293"/>
      <c r="B82" s="414">
        <v>77</v>
      </c>
      <c r="C82" s="422" t="s">
        <v>186</v>
      </c>
      <c r="D82" s="432">
        <v>44597</v>
      </c>
      <c r="E82" s="422">
        <v>1570</v>
      </c>
      <c r="F82" s="422">
        <v>30</v>
      </c>
      <c r="G82" s="430">
        <v>107.45999999999998</v>
      </c>
      <c r="H82" s="431">
        <v>0.68400000000000005</v>
      </c>
      <c r="I82" s="422">
        <v>293.14999999999998</v>
      </c>
      <c r="J82" s="417">
        <f t="shared" si="28"/>
        <v>19.989999999999952</v>
      </c>
      <c r="K82" s="419">
        <v>0.27887428075303905</v>
      </c>
      <c r="L82" s="419">
        <v>3.2060006580910475E-2</v>
      </c>
      <c r="M82" s="428">
        <v>1.9541507859822675</v>
      </c>
      <c r="N82" s="429">
        <v>7.4609565100662936</v>
      </c>
      <c r="O82" s="420">
        <v>0.1928490093756059</v>
      </c>
      <c r="P82" s="428">
        <v>1.3303323398143068</v>
      </c>
      <c r="Q82" s="419">
        <v>8.5904395898790412E-2</v>
      </c>
      <c r="R82" s="419">
        <v>2.4202158232315507</v>
      </c>
      <c r="S82" s="429">
        <v>0.79189344382366567</v>
      </c>
      <c r="T82" s="427">
        <f t="shared" si="29"/>
        <v>1.6406106842361854E-2</v>
      </c>
      <c r="U82" s="426">
        <f t="shared" si="30"/>
        <v>1.4460757753226747</v>
      </c>
      <c r="V82" s="425">
        <f t="shared" si="31"/>
        <v>0.26191692490711277</v>
      </c>
      <c r="W82" s="426">
        <f t="shared" si="32"/>
        <v>14.547236595526432</v>
      </c>
      <c r="X82" s="423">
        <f t="shared" si="33"/>
        <v>0.13537350265704853</v>
      </c>
      <c r="Y82" s="420">
        <f t="shared" si="35"/>
        <v>0.84783359783535517</v>
      </c>
      <c r="Z82" s="422" t="s">
        <v>148</v>
      </c>
      <c r="AA82" s="421">
        <v>72.384204274903354</v>
      </c>
      <c r="AB82" s="421">
        <v>0.35639393242487671</v>
      </c>
      <c r="AC82" s="419">
        <v>2.9660190431199793</v>
      </c>
      <c r="AD82" s="419">
        <v>8.8321265946139857E-2</v>
      </c>
      <c r="AE82" s="420">
        <v>18.988534390469191</v>
      </c>
      <c r="AF82" s="419">
        <v>0.21439832252718508</v>
      </c>
      <c r="AG82" s="418">
        <v>74.739999999999995</v>
      </c>
      <c r="AH82" s="417">
        <v>34.861045164591509</v>
      </c>
      <c r="AI82" s="272">
        <v>1.7547846198258291E-2</v>
      </c>
      <c r="AJ82" s="271">
        <v>34.249308905732718</v>
      </c>
      <c r="AK82" s="416">
        <v>-15.260774515263527</v>
      </c>
      <c r="AL82" s="414">
        <v>77</v>
      </c>
    </row>
    <row r="83" spans="1:38" ht="19.5" customHeight="1">
      <c r="A83" s="293"/>
      <c r="B83" s="414">
        <v>78</v>
      </c>
      <c r="C83" s="422" t="s">
        <v>187</v>
      </c>
      <c r="D83" s="432">
        <v>44605</v>
      </c>
      <c r="E83" s="422">
        <v>1575</v>
      </c>
      <c r="F83" s="422">
        <v>30</v>
      </c>
      <c r="G83" s="430">
        <v>147.036</v>
      </c>
      <c r="H83" s="431">
        <v>0.56700000000000006</v>
      </c>
      <c r="I83" s="422">
        <v>294.34999999999997</v>
      </c>
      <c r="J83" s="417">
        <f t="shared" si="28"/>
        <v>21.189999999999941</v>
      </c>
      <c r="K83" s="419">
        <v>0.35496185802254288</v>
      </c>
      <c r="L83" s="419">
        <v>2.697740111994083E-2</v>
      </c>
      <c r="M83" s="428">
        <v>0.41703692946635268</v>
      </c>
      <c r="N83" s="429">
        <v>0.570099201023059</v>
      </c>
      <c r="O83" s="420">
        <v>3.3684360965799194E-2</v>
      </c>
      <c r="P83" s="428">
        <v>0.15825621782810598</v>
      </c>
      <c r="Q83" s="419">
        <v>3.8119775902045608E-3</v>
      </c>
      <c r="R83" s="419">
        <v>8.8694552451961492E-2</v>
      </c>
      <c r="S83" s="429">
        <v>8.9662459665795322E-2</v>
      </c>
      <c r="T83" s="427">
        <f t="shared" si="29"/>
        <v>6.4688278696233351E-2</v>
      </c>
      <c r="U83" s="426">
        <f t="shared" si="30"/>
        <v>10.537883096044094</v>
      </c>
      <c r="V83" s="425">
        <f t="shared" si="31"/>
        <v>0.73151642506772196</v>
      </c>
      <c r="W83" s="426">
        <f t="shared" si="32"/>
        <v>1.7431849581337622</v>
      </c>
      <c r="X83" s="423">
        <f t="shared" si="33"/>
        <v>1.1855497688550846E-2</v>
      </c>
      <c r="Y83" s="420">
        <f t="shared" si="35"/>
        <v>1.696232601717897</v>
      </c>
      <c r="Z83" s="422" t="s">
        <v>148</v>
      </c>
      <c r="AA83" s="421">
        <v>63.248507394702266</v>
      </c>
      <c r="AB83" s="421">
        <v>0.17238896148387786</v>
      </c>
      <c r="AC83" s="419">
        <v>3.2232844254722077</v>
      </c>
      <c r="AD83" s="419">
        <v>0.12278408787187217</v>
      </c>
      <c r="AE83" s="420">
        <v>0.41832805319441224</v>
      </c>
      <c r="AF83" s="419">
        <v>0.15344834111877145</v>
      </c>
      <c r="AG83" s="418">
        <v>10.09</v>
      </c>
      <c r="AH83" s="417">
        <v>34.687657924239858</v>
      </c>
      <c r="AI83" s="272">
        <v>1.5389647025520359E-2</v>
      </c>
      <c r="AJ83" s="271">
        <v>34.15382711264381</v>
      </c>
      <c r="AK83" s="416">
        <v>-33.735499059449396</v>
      </c>
      <c r="AL83" s="414">
        <v>78</v>
      </c>
    </row>
    <row r="84" spans="1:38" ht="19.5" customHeight="1">
      <c r="A84" s="293"/>
      <c r="B84" s="414">
        <v>79</v>
      </c>
      <c r="C84" s="319" t="s">
        <v>188</v>
      </c>
      <c r="D84" s="396">
        <v>44613</v>
      </c>
      <c r="E84" s="422">
        <v>1580</v>
      </c>
      <c r="F84" s="319">
        <v>30</v>
      </c>
      <c r="G84" s="184">
        <v>108.39200000000002</v>
      </c>
      <c r="H84" s="395">
        <v>0.64200000000000002</v>
      </c>
      <c r="I84" s="319">
        <v>295.54999999999995</v>
      </c>
      <c r="J84" s="176">
        <f t="shared" si="28"/>
        <v>22.38999999999993</v>
      </c>
      <c r="K84" s="413">
        <v>0.37805280241985706</v>
      </c>
      <c r="L84" s="413">
        <v>0.10790960447976333</v>
      </c>
      <c r="M84" s="412">
        <v>7.2558765811902717</v>
      </c>
      <c r="N84" s="411">
        <v>8.9683067713062332</v>
      </c>
      <c r="O84" s="253">
        <v>0.21278624151852171</v>
      </c>
      <c r="P84" s="392">
        <v>3.06074901628693</v>
      </c>
      <c r="Q84" s="251">
        <v>9.3285156142108208E-2</v>
      </c>
      <c r="R84" s="251">
        <v>2.1235141867068732</v>
      </c>
      <c r="S84" s="393">
        <v>1.1280197829342691</v>
      </c>
      <c r="T84" s="391">
        <f t="shared" si="29"/>
        <v>1.4872028661499307E-2</v>
      </c>
      <c r="U84" s="390">
        <f t="shared" si="30"/>
        <v>1.7766787914572471</v>
      </c>
      <c r="V84" s="389">
        <f t="shared" si="31"/>
        <v>0.80905758090314006</v>
      </c>
      <c r="W84" s="390">
        <f t="shared" si="32"/>
        <v>23.328500142984833</v>
      </c>
      <c r="X84" s="387">
        <f t="shared" si="33"/>
        <v>0.21522344954410683</v>
      </c>
      <c r="Y84" s="253">
        <f t="shared" si="35"/>
        <v>0.98434891036308469</v>
      </c>
      <c r="Z84" s="319" t="s">
        <v>148</v>
      </c>
      <c r="AA84" s="386">
        <v>71.797665292840108</v>
      </c>
      <c r="AB84" s="386">
        <v>3.0092816408712451E-2</v>
      </c>
      <c r="AC84" s="251">
        <v>0.8782755198398714</v>
      </c>
      <c r="AD84" s="251">
        <v>0.10006533892468729</v>
      </c>
      <c r="AE84" s="253">
        <v>15.043642138622078</v>
      </c>
      <c r="AF84" s="251">
        <v>0.202596030670887</v>
      </c>
      <c r="AG84" s="225">
        <v>58.58</v>
      </c>
      <c r="AH84" s="182">
        <v>34.515678666892242</v>
      </c>
      <c r="AI84" s="385">
        <v>4.9329083755315563E-2</v>
      </c>
      <c r="AJ84" s="181">
        <v>32.81305186306156</v>
      </c>
      <c r="AK84" s="261">
        <v>-17.769409724439484</v>
      </c>
      <c r="AL84" s="414">
        <v>79</v>
      </c>
    </row>
    <row r="85" spans="1:38" ht="19.5" customHeight="1">
      <c r="A85" s="293"/>
      <c r="B85" s="243">
        <v>80</v>
      </c>
      <c r="C85" s="400" t="s">
        <v>189</v>
      </c>
      <c r="D85" s="410">
        <v>44621</v>
      </c>
      <c r="E85" s="409">
        <v>1440</v>
      </c>
      <c r="F85" s="400">
        <v>30</v>
      </c>
      <c r="G85" s="191">
        <v>116.7</v>
      </c>
      <c r="H85" s="409">
        <v>0.57200000000000006</v>
      </c>
      <c r="I85" s="400">
        <v>299.45</v>
      </c>
      <c r="J85" s="182">
        <f t="shared" si="28"/>
        <v>26.289999999999964</v>
      </c>
      <c r="K85" s="251">
        <v>1.3747709608464787</v>
      </c>
      <c r="L85" s="251">
        <v>4.5815069143347792E-2</v>
      </c>
      <c r="M85" s="392">
        <v>5.9310521347500371</v>
      </c>
      <c r="N85" s="251">
        <v>22.714721202152163</v>
      </c>
      <c r="O85" s="255">
        <v>0.67781793562643289</v>
      </c>
      <c r="P85" s="406">
        <v>2.6458293773837922</v>
      </c>
      <c r="Q85" s="248">
        <v>0.36919869319674398</v>
      </c>
      <c r="R85" s="248">
        <v>9.3532809562620454</v>
      </c>
      <c r="S85" s="407">
        <v>2.4055828325207673</v>
      </c>
      <c r="T85" s="405">
        <f t="shared" si="29"/>
        <v>7.7246107608660661E-3</v>
      </c>
      <c r="U85" s="404">
        <f t="shared" si="30"/>
        <v>2.0282304267678142</v>
      </c>
      <c r="V85" s="403">
        <f t="shared" si="31"/>
        <v>0.26111049666716074</v>
      </c>
      <c r="W85" s="404">
        <f t="shared" si="32"/>
        <v>45.518069161881805</v>
      </c>
      <c r="X85" s="401">
        <f t="shared" si="33"/>
        <v>0.39004343754825882</v>
      </c>
      <c r="Y85" s="255">
        <f t="shared" si="35"/>
        <v>0.82708142043804023</v>
      </c>
      <c r="Z85" s="400" t="s">
        <v>148</v>
      </c>
      <c r="AA85" s="399">
        <v>70.90161286830687</v>
      </c>
      <c r="AB85" s="399">
        <v>6.6370667270474401E-2</v>
      </c>
      <c r="AC85" s="248">
        <v>2.642460842933406</v>
      </c>
      <c r="AD85" s="248">
        <v>0.22389501189843111</v>
      </c>
      <c r="AE85" s="255">
        <v>29.130518521871085</v>
      </c>
      <c r="AF85" s="248">
        <v>0.28696355098388687</v>
      </c>
      <c r="AG85" s="284">
        <v>121.2</v>
      </c>
      <c r="AH85" s="189">
        <v>33.966265386541998</v>
      </c>
      <c r="AI85" s="398">
        <v>2.1219684902879562E-2</v>
      </c>
      <c r="AJ85" s="188">
        <v>33.245511937711996</v>
      </c>
      <c r="AK85" s="285">
        <v>-4.1149934158409103</v>
      </c>
      <c r="AL85" s="243">
        <v>80</v>
      </c>
    </row>
    <row r="86" spans="1:38" ht="19.5" customHeight="1">
      <c r="A86" s="293"/>
      <c r="B86" s="397">
        <v>81</v>
      </c>
      <c r="C86" s="319" t="s">
        <v>190</v>
      </c>
      <c r="D86" s="396">
        <v>44629</v>
      </c>
      <c r="E86" s="395">
        <v>1440</v>
      </c>
      <c r="F86" s="319">
        <v>30</v>
      </c>
      <c r="G86" s="184">
        <v>139.15200000000002</v>
      </c>
      <c r="H86" s="395">
        <v>0.57399999999999995</v>
      </c>
      <c r="I86" s="319">
        <v>301.45</v>
      </c>
      <c r="J86" s="182">
        <f t="shared" si="28"/>
        <v>28.289999999999964</v>
      </c>
      <c r="K86" s="251">
        <v>0.28003911290359784</v>
      </c>
      <c r="L86" s="251">
        <v>0</v>
      </c>
      <c r="M86" s="392">
        <v>3.7914244931794521</v>
      </c>
      <c r="N86" s="251">
        <v>9.4001334037413873</v>
      </c>
      <c r="O86" s="253">
        <v>0.16569064042636361</v>
      </c>
      <c r="P86" s="392">
        <v>2.2959557263167825</v>
      </c>
      <c r="Q86" s="251">
        <v>7.8809748815668532E-2</v>
      </c>
      <c r="R86" s="251">
        <v>1.8083037160413766</v>
      </c>
      <c r="S86" s="393">
        <v>0.86876912052004296</v>
      </c>
      <c r="T86" s="391">
        <f t="shared" si="29"/>
        <v>0</v>
      </c>
      <c r="U86" s="390">
        <f t="shared" si="30"/>
        <v>1.6901323586111257</v>
      </c>
      <c r="V86" s="389">
        <f t="shared" si="31"/>
        <v>0.40333730707166465</v>
      </c>
      <c r="W86" s="390">
        <f t="shared" si="32"/>
        <v>18.689125961944669</v>
      </c>
      <c r="X86" s="387">
        <f t="shared" si="33"/>
        <v>0.13430727522381761</v>
      </c>
      <c r="Y86" s="253">
        <f t="shared" si="35"/>
        <v>1.0431996893898099</v>
      </c>
      <c r="Z86" s="319" t="s">
        <v>148</v>
      </c>
      <c r="AA86" s="386">
        <v>77.11056432957588</v>
      </c>
      <c r="AB86" s="386">
        <v>0.11328754986396301</v>
      </c>
      <c r="AC86" s="251">
        <v>5.1947765387567815</v>
      </c>
      <c r="AD86" s="251">
        <v>6.6327877757679621E-2</v>
      </c>
      <c r="AE86" s="253">
        <v>17.803135362287676</v>
      </c>
      <c r="AF86" s="251">
        <v>0.24934227129126721</v>
      </c>
      <c r="AG86" s="225">
        <v>55.55</v>
      </c>
      <c r="AH86" s="182">
        <v>33.690029424448504</v>
      </c>
      <c r="AI86" s="385">
        <v>3.9558954287491489E-2</v>
      </c>
      <c r="AJ86" s="181">
        <v>32.357287090502503</v>
      </c>
      <c r="AK86" s="261">
        <v>-14.554151728214826</v>
      </c>
      <c r="AL86" s="397">
        <v>81</v>
      </c>
    </row>
    <row r="87" spans="1:38" ht="19.5" customHeight="1">
      <c r="A87" s="293"/>
      <c r="B87" s="397">
        <v>82</v>
      </c>
      <c r="C87" s="319" t="s">
        <v>191</v>
      </c>
      <c r="D87" s="396">
        <v>44637</v>
      </c>
      <c r="E87" s="395">
        <v>1445</v>
      </c>
      <c r="F87" s="319">
        <v>30</v>
      </c>
      <c r="G87" s="184">
        <v>144.19999999999999</v>
      </c>
      <c r="H87" s="395">
        <v>0.55899999999999994</v>
      </c>
      <c r="I87" s="319">
        <v>302.45</v>
      </c>
      <c r="J87" s="182">
        <f t="shared" si="28"/>
        <v>29.289999999999964</v>
      </c>
      <c r="K87" s="251">
        <v>1.6346899443333645</v>
      </c>
      <c r="L87" s="251">
        <v>6.5240182066455168E-2</v>
      </c>
      <c r="M87" s="392">
        <v>5.3804726650739578</v>
      </c>
      <c r="N87" s="251">
        <v>9.7389132792474697</v>
      </c>
      <c r="O87" s="253">
        <v>0.24369496009919805</v>
      </c>
      <c r="P87" s="392">
        <v>2.8390057285739574</v>
      </c>
      <c r="Q87" s="251">
        <v>6.3370679989660464E-2</v>
      </c>
      <c r="R87" s="251">
        <v>1.6230939370622004</v>
      </c>
      <c r="S87" s="393">
        <v>0.78872941376203998</v>
      </c>
      <c r="T87" s="391">
        <f t="shared" si="29"/>
        <v>1.2125362608000241E-2</v>
      </c>
      <c r="U87" s="390">
        <f t="shared" si="30"/>
        <v>6.707934967830071</v>
      </c>
      <c r="V87" s="389">
        <f t="shared" si="31"/>
        <v>0.55247156544038034</v>
      </c>
      <c r="W87" s="390">
        <f t="shared" si="32"/>
        <v>22.377210790208306</v>
      </c>
      <c r="X87" s="387">
        <f t="shared" si="33"/>
        <v>0.15518176692238772</v>
      </c>
      <c r="Y87" s="253">
        <f t="shared" si="35"/>
        <v>1.2286973862832298</v>
      </c>
      <c r="Z87" s="319" t="s">
        <v>148</v>
      </c>
      <c r="AA87" s="386">
        <v>70.77088352566922</v>
      </c>
      <c r="AB87" s="386">
        <v>0.25060328262266673</v>
      </c>
      <c r="AC87" s="251">
        <v>4.0010712282628376</v>
      </c>
      <c r="AD87" s="251">
        <v>7.8014944220268626E-2</v>
      </c>
      <c r="AE87" s="253">
        <v>11.865814591532427</v>
      </c>
      <c r="AF87" s="251">
        <v>0.25074089244679554</v>
      </c>
      <c r="AG87" s="225">
        <v>51.51</v>
      </c>
      <c r="AH87" s="182">
        <v>33.553281434947927</v>
      </c>
      <c r="AI87" s="385">
        <v>5.2236571589778909E-2</v>
      </c>
      <c r="AJ87" s="181">
        <v>31.800573047199268</v>
      </c>
      <c r="AK87" s="261">
        <v>-19.934758455666842</v>
      </c>
      <c r="AL87" s="397">
        <v>82</v>
      </c>
    </row>
    <row r="88" spans="1:38" ht="19.5" customHeight="1">
      <c r="A88" s="293"/>
      <c r="B88" s="397">
        <v>83</v>
      </c>
      <c r="C88" s="319" t="s">
        <v>192</v>
      </c>
      <c r="D88" s="396">
        <v>44645</v>
      </c>
      <c r="E88" s="395">
        <v>1445</v>
      </c>
      <c r="F88" s="319">
        <v>30</v>
      </c>
      <c r="G88" s="184">
        <v>62.315999999999995</v>
      </c>
      <c r="H88" s="395">
        <v>0.6</v>
      </c>
      <c r="I88" s="319">
        <v>303.84999999999997</v>
      </c>
      <c r="J88" s="182">
        <f t="shared" si="28"/>
        <v>30.689999999999941</v>
      </c>
      <c r="K88" s="251">
        <v>0.87315899605335079</v>
      </c>
      <c r="L88" s="251">
        <v>0</v>
      </c>
      <c r="M88" s="392">
        <v>7.2399017058979727</v>
      </c>
      <c r="N88" s="251">
        <v>12.14537486091827</v>
      </c>
      <c r="O88" s="253">
        <v>0.45154047824347993</v>
      </c>
      <c r="P88" s="392">
        <v>1.6588724707777407</v>
      </c>
      <c r="Q88" s="251">
        <v>0.24052151650707818</v>
      </c>
      <c r="R88" s="251">
        <v>5.4036052334329829</v>
      </c>
      <c r="S88" s="393">
        <v>0.79758869793459186</v>
      </c>
      <c r="T88" s="391">
        <f t="shared" si="29"/>
        <v>0</v>
      </c>
      <c r="U88" s="390">
        <f t="shared" si="30"/>
        <v>1.9337336033526666</v>
      </c>
      <c r="V88" s="389">
        <f t="shared" si="31"/>
        <v>0.59610360230170689</v>
      </c>
      <c r="W88" s="390">
        <f t="shared" si="32"/>
        <v>28.810563959765467</v>
      </c>
      <c r="X88" s="387">
        <f t="shared" si="33"/>
        <v>0.46233012323906331</v>
      </c>
      <c r="Y88" s="253">
        <f t="shared" si="35"/>
        <v>0.93439044345182487</v>
      </c>
      <c r="Z88" s="319" t="s">
        <v>148</v>
      </c>
      <c r="AA88" s="386">
        <v>71.849333269280933</v>
      </c>
      <c r="AB88" s="386">
        <v>0.18310922059353746</v>
      </c>
      <c r="AC88" s="251">
        <v>1.5534051287271924</v>
      </c>
      <c r="AD88" s="251">
        <v>0.27754937812834174</v>
      </c>
      <c r="AE88" s="253">
        <v>19.11386923596255</v>
      </c>
      <c r="AF88" s="251">
        <v>4.4134647472489345E-2</v>
      </c>
      <c r="AG88" s="225">
        <v>90.9</v>
      </c>
      <c r="AH88" s="182">
        <v>33.363346420931386</v>
      </c>
      <c r="AI88" s="385">
        <v>1.7983460860499491E-2</v>
      </c>
      <c r="AJ88" s="181">
        <v>32.763357986395278</v>
      </c>
      <c r="AK88" s="261">
        <v>-13.649488750432727</v>
      </c>
      <c r="AL88" s="397">
        <v>83</v>
      </c>
    </row>
    <row r="89" spans="1:38" ht="19.5" customHeight="1">
      <c r="A89" s="293"/>
      <c r="B89" s="397">
        <v>84</v>
      </c>
      <c r="C89" s="319" t="s">
        <v>193</v>
      </c>
      <c r="D89" s="396">
        <v>44653</v>
      </c>
      <c r="E89" s="395">
        <v>1440</v>
      </c>
      <c r="F89" s="319">
        <v>30</v>
      </c>
      <c r="G89" s="184">
        <v>72.804000000000002</v>
      </c>
      <c r="H89" s="395">
        <v>0.61599999999999999</v>
      </c>
      <c r="I89" s="319">
        <v>303.75</v>
      </c>
      <c r="J89" s="182">
        <f t="shared" si="28"/>
        <v>30.589999999999975</v>
      </c>
      <c r="K89" s="251">
        <v>3.2250925521053033</v>
      </c>
      <c r="L89" s="251">
        <v>5.3838520338502623E-2</v>
      </c>
      <c r="M89" s="392">
        <v>4.63991765999224</v>
      </c>
      <c r="N89" s="251">
        <v>8.0682343928570486</v>
      </c>
      <c r="O89" s="253">
        <v>0.29382437334588213</v>
      </c>
      <c r="P89" s="392">
        <v>1.7388401933863145</v>
      </c>
      <c r="Q89" s="251">
        <v>6.1251549006241468E-2</v>
      </c>
      <c r="R89" s="251">
        <v>2.3428949388455584</v>
      </c>
      <c r="S89" s="393">
        <v>0.75857488892888869</v>
      </c>
      <c r="T89" s="391">
        <f t="shared" si="29"/>
        <v>1.1603335292504451E-2</v>
      </c>
      <c r="U89" s="390">
        <f t="shared" si="30"/>
        <v>10.976259441584212</v>
      </c>
      <c r="V89" s="389">
        <f t="shared" si="31"/>
        <v>0.57508463860445624</v>
      </c>
      <c r="W89" s="390">
        <f t="shared" si="32"/>
        <v>21.182469068805975</v>
      </c>
      <c r="X89" s="387">
        <f t="shared" si="33"/>
        <v>0.29095199534099742</v>
      </c>
      <c r="Y89" s="253">
        <f t="shared" si="35"/>
        <v>1.3394092420094434</v>
      </c>
      <c r="Z89" s="319" t="s">
        <v>148</v>
      </c>
      <c r="AA89" s="386">
        <v>72.581686132891349</v>
      </c>
      <c r="AB89" s="386">
        <v>0.25521717797276716</v>
      </c>
      <c r="AC89" s="251">
        <v>2.7749836880485987</v>
      </c>
      <c r="AD89" s="251">
        <v>6.4544508466939904E-2</v>
      </c>
      <c r="AE89" s="253">
        <v>15.040550236441311</v>
      </c>
      <c r="AF89" s="251">
        <v>0.11045420666472151</v>
      </c>
      <c r="AG89" s="225">
        <v>63.59</v>
      </c>
      <c r="AH89" s="182">
        <v>33.376855144032923</v>
      </c>
      <c r="AI89" s="385">
        <v>2.6706995804642523E-2</v>
      </c>
      <c r="AJ89" s="181">
        <v>32.485459613729077</v>
      </c>
      <c r="AK89" s="261">
        <v>-17.444909377287765</v>
      </c>
      <c r="AL89" s="397">
        <v>84</v>
      </c>
    </row>
    <row r="90" spans="1:38" ht="19.5" customHeight="1">
      <c r="A90" s="293"/>
      <c r="B90" s="552">
        <v>85</v>
      </c>
      <c r="C90" s="319" t="s">
        <v>194</v>
      </c>
      <c r="D90" s="396">
        <v>44661</v>
      </c>
      <c r="E90" s="395">
        <v>1440</v>
      </c>
      <c r="F90" s="319">
        <v>30</v>
      </c>
      <c r="G90" s="184">
        <v>58.699999999999989</v>
      </c>
      <c r="H90" s="395">
        <v>0.63900000000000001</v>
      </c>
      <c r="I90" s="319">
        <v>303.54999999999995</v>
      </c>
      <c r="J90" s="182">
        <f t="shared" si="28"/>
        <v>30.38999999999993</v>
      </c>
      <c r="K90" s="251">
        <v>0.6664930887105629</v>
      </c>
      <c r="L90" s="251">
        <v>7.6466978346866776E-2</v>
      </c>
      <c r="M90" s="392">
        <v>2.4883682604422965</v>
      </c>
      <c r="N90" s="251">
        <v>4.5731200773957799</v>
      </c>
      <c r="O90" s="253">
        <v>0.24699509475268713</v>
      </c>
      <c r="P90" s="392">
        <v>0.99590771994665939</v>
      </c>
      <c r="Q90" s="251">
        <v>6.6605644803392428E-2</v>
      </c>
      <c r="R90" s="251">
        <v>1.5775340098234092</v>
      </c>
      <c r="S90" s="393">
        <v>0.40856109453946676</v>
      </c>
      <c r="T90" s="391">
        <f t="shared" si="29"/>
        <v>3.0729767600103975E-2</v>
      </c>
      <c r="U90" s="390">
        <f t="shared" si="30"/>
        <v>2.6984061743327876</v>
      </c>
      <c r="V90" s="389">
        <f t="shared" si="31"/>
        <v>0.54412921994808605</v>
      </c>
      <c r="W90" s="390">
        <f t="shared" si="32"/>
        <v>11.100051968761122</v>
      </c>
      <c r="X90" s="387">
        <f t="shared" si="33"/>
        <v>0.18909798924635646</v>
      </c>
      <c r="Y90" s="253">
        <f t="shared" si="35"/>
        <v>0.97029656929408148</v>
      </c>
      <c r="Z90" s="319" t="s">
        <v>148</v>
      </c>
      <c r="AA90" s="386">
        <v>64.546547065792197</v>
      </c>
      <c r="AB90" s="386">
        <v>8.1672028613361661E-2</v>
      </c>
      <c r="AC90" s="251">
        <v>0.76994862199734282</v>
      </c>
      <c r="AD90" s="251">
        <v>6.0757389747524676E-2</v>
      </c>
      <c r="AE90" s="253">
        <v>16.166524066615619</v>
      </c>
      <c r="AF90" s="251">
        <v>0.10636442335741786</v>
      </c>
      <c r="AG90" s="225">
        <v>76.760000000000005</v>
      </c>
      <c r="AH90" s="182">
        <v>33.403899291714716</v>
      </c>
      <c r="AI90" s="385">
        <v>1.2808129300395009E-2</v>
      </c>
      <c r="AJ90" s="181">
        <v>32.976057830449058</v>
      </c>
      <c r="AK90" s="261">
        <v>-16.809533763833439</v>
      </c>
      <c r="AL90" s="397">
        <v>85</v>
      </c>
    </row>
    <row r="91" spans="1:38" ht="19.5" customHeight="1">
      <c r="A91" s="293"/>
      <c r="B91" s="397">
        <v>86</v>
      </c>
      <c r="C91" s="319" t="s">
        <v>195</v>
      </c>
      <c r="D91" s="396">
        <v>44669</v>
      </c>
      <c r="E91" s="395">
        <v>1440</v>
      </c>
      <c r="F91" s="319">
        <v>30</v>
      </c>
      <c r="G91" s="184">
        <v>56.28799999999999</v>
      </c>
      <c r="H91" s="395">
        <v>0.65500000000000003</v>
      </c>
      <c r="I91" s="319">
        <v>304.14999999999998</v>
      </c>
      <c r="J91" s="182">
        <f t="shared" si="28"/>
        <v>30.989999999999952</v>
      </c>
      <c r="K91" s="251">
        <v>0.86345393145276006</v>
      </c>
      <c r="L91" s="251">
        <v>7.6823576177762559E-2</v>
      </c>
      <c r="M91" s="392">
        <v>2.3503022644914373</v>
      </c>
      <c r="N91" s="251">
        <v>10.665063934711471</v>
      </c>
      <c r="O91" s="253">
        <v>0.29627019221391104</v>
      </c>
      <c r="P91" s="392">
        <v>1.92985410715045</v>
      </c>
      <c r="Q91" s="251">
        <v>9.560266524524394E-2</v>
      </c>
      <c r="R91" s="251">
        <v>2.257420883999949</v>
      </c>
      <c r="S91" s="393">
        <v>0.70527694902367799</v>
      </c>
      <c r="T91" s="391">
        <f t="shared" si="29"/>
        <v>3.2686679215018236E-2</v>
      </c>
      <c r="U91" s="390">
        <f t="shared" si="30"/>
        <v>2.9144137822320468</v>
      </c>
      <c r="V91" s="389">
        <f t="shared" si="31"/>
        <v>0.22037394983089911</v>
      </c>
      <c r="W91" s="390">
        <f t="shared" si="32"/>
        <v>19.240068504466663</v>
      </c>
      <c r="X91" s="387">
        <f t="shared" si="33"/>
        <v>0.34181474745001894</v>
      </c>
      <c r="Y91" s="253">
        <f t="shared" si="35"/>
        <v>1.1061536792787658</v>
      </c>
      <c r="Z91" s="319" t="s">
        <v>148</v>
      </c>
      <c r="AA91" s="386">
        <v>69.426400739801792</v>
      </c>
      <c r="AB91" s="386">
        <v>0.55420608243972902</v>
      </c>
      <c r="AC91" s="251">
        <v>2.2671994417260799</v>
      </c>
      <c r="AD91" s="251">
        <v>5.951115069876918E-2</v>
      </c>
      <c r="AE91" s="253">
        <v>16.534094293918287</v>
      </c>
      <c r="AF91" s="251">
        <v>9.7672878825147053E-2</v>
      </c>
      <c r="AG91" s="225">
        <v>43.42</v>
      </c>
      <c r="AH91" s="182">
        <v>33.322873549235581</v>
      </c>
      <c r="AI91" s="385">
        <v>4.2554802989899013E-2</v>
      </c>
      <c r="AJ91" s="181">
        <v>31.904825230290545</v>
      </c>
      <c r="AK91" s="261">
        <v>-15.370730936372258</v>
      </c>
      <c r="AL91" s="397">
        <v>86</v>
      </c>
    </row>
    <row r="92" spans="1:38" ht="19.5" customHeight="1">
      <c r="A92" s="293"/>
      <c r="B92" s="397">
        <v>87</v>
      </c>
      <c r="C92" s="319" t="s">
        <v>196</v>
      </c>
      <c r="D92" s="396">
        <v>44677</v>
      </c>
      <c r="E92" s="395">
        <v>1440</v>
      </c>
      <c r="F92" s="319">
        <v>30</v>
      </c>
      <c r="G92" s="184">
        <v>76.935999999999993</v>
      </c>
      <c r="H92" s="395">
        <v>0.66</v>
      </c>
      <c r="I92" s="319">
        <v>304.64999999999998</v>
      </c>
      <c r="J92" s="182">
        <f t="shared" si="28"/>
        <v>31.489999999999952</v>
      </c>
      <c r="K92" s="251">
        <v>0.91255903554875051</v>
      </c>
      <c r="L92" s="251">
        <v>8.3257841387403622E-2</v>
      </c>
      <c r="M92" s="392">
        <v>1.8686704293192882</v>
      </c>
      <c r="N92" s="251">
        <v>7.97478534867391</v>
      </c>
      <c r="O92" s="253">
        <v>0.57408803985680346</v>
      </c>
      <c r="P92" s="392">
        <v>0.45005788387853107</v>
      </c>
      <c r="Q92" s="251">
        <v>0.19659841242208412</v>
      </c>
      <c r="R92" s="251">
        <v>3.7149293378031727</v>
      </c>
      <c r="S92" s="393">
        <v>0.54995515274709483</v>
      </c>
      <c r="T92" s="391">
        <f t="shared" si="29"/>
        <v>4.4554588161237432E-2</v>
      </c>
      <c r="U92" s="390">
        <f t="shared" si="30"/>
        <v>1.5895802946467461</v>
      </c>
      <c r="V92" s="389">
        <f t="shared" si="31"/>
        <v>0.23432234820339343</v>
      </c>
      <c r="W92" s="390">
        <f t="shared" si="32"/>
        <v>16.324901481637038</v>
      </c>
      <c r="X92" s="387">
        <f t="shared" si="33"/>
        <v>0.21218807166524176</v>
      </c>
      <c r="Y92" s="253">
        <f t="shared" si="35"/>
        <v>0.84241568416408963</v>
      </c>
      <c r="Z92" s="319" t="s">
        <v>148</v>
      </c>
      <c r="AA92" s="386">
        <v>68.251021776854586</v>
      </c>
      <c r="AB92" s="386">
        <v>7.6251816625826668E-2</v>
      </c>
      <c r="AC92" s="251">
        <v>1.6955884967511941</v>
      </c>
      <c r="AD92" s="251">
        <v>2.7063443560911022E-2</v>
      </c>
      <c r="AE92" s="253">
        <v>19.597359855923191</v>
      </c>
      <c r="AF92" s="251">
        <v>0.12574916291300739</v>
      </c>
      <c r="AG92" s="225">
        <v>45.44</v>
      </c>
      <c r="AH92" s="182">
        <v>33.255595896930906</v>
      </c>
      <c r="AI92" s="385">
        <v>9.8073069556235907E-3</v>
      </c>
      <c r="AJ92" s="181">
        <v>32.929448059977531</v>
      </c>
      <c r="AK92" s="261">
        <v>-13.33208820405434</v>
      </c>
      <c r="AL92" s="397">
        <v>87</v>
      </c>
    </row>
    <row r="93" spans="1:38" ht="19.5" customHeight="1">
      <c r="A93" s="293"/>
      <c r="B93" s="397">
        <v>88</v>
      </c>
      <c r="C93" s="319" t="s">
        <v>197</v>
      </c>
      <c r="D93" s="396">
        <v>44691</v>
      </c>
      <c r="E93" s="395">
        <v>1440</v>
      </c>
      <c r="F93" s="319">
        <v>30</v>
      </c>
      <c r="G93" s="184">
        <v>50.08000000000002</v>
      </c>
      <c r="H93" s="395">
        <v>0.80099999999999993</v>
      </c>
      <c r="I93" s="319">
        <v>300.84999999999997</v>
      </c>
      <c r="J93" s="182">
        <f t="shared" si="28"/>
        <v>27.689999999999941</v>
      </c>
      <c r="K93" s="251">
        <v>0.60977288593035173</v>
      </c>
      <c r="L93" s="251">
        <v>1.8605104220648847E-2</v>
      </c>
      <c r="M93" s="392">
        <v>0.30482686378270885</v>
      </c>
      <c r="N93" s="251">
        <v>1.9892440004809511</v>
      </c>
      <c r="O93" s="253">
        <v>0.39639929909449767</v>
      </c>
      <c r="P93" s="392">
        <v>0.2483482638671147</v>
      </c>
      <c r="Q93" s="251">
        <v>1.7962500462933614E-2</v>
      </c>
      <c r="R93" s="251">
        <v>0.33868710162628662</v>
      </c>
      <c r="S93" s="393">
        <v>0.15455979237007492</v>
      </c>
      <c r="T93" s="391">
        <f t="shared" si="29"/>
        <v>6.1034988812243299E-2</v>
      </c>
      <c r="U93" s="390">
        <f t="shared" si="30"/>
        <v>1.5382794251232716</v>
      </c>
      <c r="V93" s="389">
        <f t="shared" si="31"/>
        <v>0.1532375433627092</v>
      </c>
      <c r="W93" s="390">
        <f t="shared" si="32"/>
        <v>4.0784058118355686</v>
      </c>
      <c r="X93" s="387">
        <f t="shared" si="33"/>
        <v>8.143781573154088E-2</v>
      </c>
      <c r="Y93" s="390">
        <f>(M93/62+L93/46+N93/96*2+K93/35)/(P93/18+S93/39+O93/23+Q93/24*2+R93/40*2)</f>
        <v>1.2013901678284669</v>
      </c>
      <c r="Z93" s="319" t="s">
        <v>148</v>
      </c>
      <c r="AA93" s="386">
        <v>62.086037257529689</v>
      </c>
      <c r="AB93" s="386">
        <v>0.27065062118008448</v>
      </c>
      <c r="AC93" s="251">
        <v>2.2278814052894509</v>
      </c>
      <c r="AD93" s="251">
        <v>6.9344004703643117E-2</v>
      </c>
      <c r="AE93" s="253">
        <v>7.5847736405634585</v>
      </c>
      <c r="AF93" s="251">
        <v>9.6925305383812138E-2</v>
      </c>
      <c r="AG93" s="225">
        <v>13.13</v>
      </c>
      <c r="AH93" s="182">
        <v>33.77251457536979</v>
      </c>
      <c r="AI93" s="385">
        <v>1.8563447368003239E-2</v>
      </c>
      <c r="AJ93" s="181">
        <v>33.145580278564793</v>
      </c>
      <c r="AK93" s="261">
        <v>-25.560806638001335</v>
      </c>
      <c r="AL93" s="397">
        <v>88</v>
      </c>
    </row>
    <row r="94" spans="1:38" ht="19.5" customHeight="1">
      <c r="B94" s="449" t="s">
        <v>146</v>
      </c>
      <c r="C94" s="448"/>
      <c r="D94" s="440"/>
      <c r="E94" s="447"/>
      <c r="F94" s="446"/>
      <c r="G94" s="445"/>
      <c r="H94" s="435"/>
      <c r="I94" s="445"/>
      <c r="J94" s="537"/>
      <c r="K94" s="438"/>
      <c r="L94" s="438"/>
      <c r="M94" s="443"/>
      <c r="N94" s="443"/>
      <c r="O94" s="443"/>
      <c r="P94" s="443"/>
      <c r="Q94" s="443"/>
      <c r="R94" s="443"/>
      <c r="S94" s="443"/>
      <c r="T94" s="442"/>
      <c r="U94" s="443"/>
      <c r="V94" s="443"/>
      <c r="W94" s="443"/>
      <c r="X94" s="442"/>
      <c r="Y94" s="441"/>
      <c r="Z94" s="440"/>
      <c r="AA94" s="438"/>
      <c r="AB94" s="438"/>
      <c r="AC94" s="438"/>
      <c r="AD94" s="439"/>
      <c r="AE94" s="438"/>
      <c r="AF94" s="438"/>
      <c r="AG94" s="437"/>
      <c r="AH94" s="435"/>
      <c r="AI94" s="436"/>
      <c r="AJ94" s="435"/>
      <c r="AK94" s="434"/>
      <c r="AL94" s="449" t="s">
        <v>146</v>
      </c>
    </row>
    <row r="95" spans="1:38" ht="19.5" customHeight="1">
      <c r="A95" s="293"/>
      <c r="B95" s="433">
        <v>89</v>
      </c>
      <c r="C95" s="400" t="s">
        <v>198</v>
      </c>
      <c r="D95" s="410">
        <v>44790</v>
      </c>
      <c r="E95" s="409">
        <v>1440</v>
      </c>
      <c r="F95" s="409">
        <v>30</v>
      </c>
      <c r="G95" s="191">
        <v>72.951999999999998</v>
      </c>
      <c r="H95" s="400">
        <v>0.70700000000000007</v>
      </c>
      <c r="I95" s="408">
        <v>303.75</v>
      </c>
      <c r="J95" s="189">
        <f t="shared" ref="J95:J125" si="36">I95-273.16</f>
        <v>30.589999999999975</v>
      </c>
      <c r="K95" s="248">
        <v>0.12331546901544398</v>
      </c>
      <c r="L95" s="248">
        <v>8.0777160824650432E-2</v>
      </c>
      <c r="M95" s="406">
        <v>0.81215291735799833</v>
      </c>
      <c r="N95" s="407">
        <v>6.6503569251903656</v>
      </c>
      <c r="O95" s="255">
        <v>0.13740066885282837</v>
      </c>
      <c r="P95" s="406">
        <v>1.1883633746782967</v>
      </c>
      <c r="Q95" s="248">
        <v>7.8058904744870677E-2</v>
      </c>
      <c r="R95" s="248">
        <v>1.5793411300350297</v>
      </c>
      <c r="S95" s="248">
        <v>0.36986822950899612</v>
      </c>
      <c r="T95" s="405">
        <f t="shared" ref="T95:T125" si="37">L95/M95</f>
        <v>9.9460531506092867E-2</v>
      </c>
      <c r="U95" s="404">
        <f t="shared" ref="U95:U125" si="38">K95/O95</f>
        <v>0.89748812756893326</v>
      </c>
      <c r="V95" s="403">
        <f t="shared" ref="V95:V125" si="39">M95/N95</f>
        <v>0.12212170361589285</v>
      </c>
      <c r="W95" s="402">
        <f t="shared" ref="W95:W125" si="40">SUM(K95:S95)</f>
        <v>11.019634780208481</v>
      </c>
      <c r="X95" s="401">
        <f t="shared" ref="X95:X125" si="41">W95/G95</f>
        <v>0.15105322376642835</v>
      </c>
      <c r="Y95" s="404">
        <f t="shared" ref="Y95:Y105" si="42">(M95/62+L95/46+N95/96*2+K95/35)/(P95/18+S95/39+O95/23+Q95/24*2+R95/40*2)</f>
        <v>0.93996864749778641</v>
      </c>
      <c r="Z95" s="400" t="s">
        <v>148</v>
      </c>
      <c r="AA95" s="399">
        <v>58.88707111824948</v>
      </c>
      <c r="AB95" s="399">
        <v>0.10599170169434739</v>
      </c>
      <c r="AC95" s="248">
        <v>2.5922396497254971</v>
      </c>
      <c r="AD95" s="248">
        <v>6.498497284277617E-2</v>
      </c>
      <c r="AE95" s="255">
        <v>19.768192098558625</v>
      </c>
      <c r="AF95" s="248">
        <v>0.20589473876491765</v>
      </c>
      <c r="AG95" s="284">
        <v>49.49</v>
      </c>
      <c r="AH95" s="189">
        <v>33.376855144032923</v>
      </c>
      <c r="AI95" s="398">
        <v>2.3369884274217621E-2</v>
      </c>
      <c r="AJ95" s="188">
        <v>32.59684190187955</v>
      </c>
      <c r="AK95" s="285">
        <v>-12.828649803320925</v>
      </c>
      <c r="AL95" s="433">
        <v>89</v>
      </c>
    </row>
    <row r="96" spans="1:38" ht="19.5" customHeight="1">
      <c r="A96" s="293"/>
      <c r="B96" s="553">
        <v>90</v>
      </c>
      <c r="C96" s="319" t="s">
        <v>199</v>
      </c>
      <c r="D96" s="396">
        <v>44798</v>
      </c>
      <c r="E96" s="395">
        <v>1440</v>
      </c>
      <c r="F96" s="395">
        <v>30</v>
      </c>
      <c r="G96" s="184">
        <v>53.396000000000001</v>
      </c>
      <c r="H96" s="319">
        <v>0.69400000000000006</v>
      </c>
      <c r="I96" s="394">
        <v>303.04999999999995</v>
      </c>
      <c r="J96" s="182">
        <f t="shared" si="36"/>
        <v>29.88999999999993</v>
      </c>
      <c r="K96" s="251">
        <v>0.17757918834913233</v>
      </c>
      <c r="L96" s="251">
        <v>4.7171691326103445E-2</v>
      </c>
      <c r="M96" s="392">
        <v>0.48342863366187927</v>
      </c>
      <c r="N96" s="393">
        <v>2.2481465450897029</v>
      </c>
      <c r="O96" s="253">
        <v>0.19455130306910562</v>
      </c>
      <c r="P96" s="392">
        <v>0.37453412738323261</v>
      </c>
      <c r="Q96" s="251">
        <v>3.1946971281543904E-2</v>
      </c>
      <c r="R96" s="251">
        <v>0.72192631678213826</v>
      </c>
      <c r="S96" s="251">
        <v>0.11195107393115947</v>
      </c>
      <c r="T96" s="391">
        <f t="shared" si="37"/>
        <v>9.7577363113117488E-2</v>
      </c>
      <c r="U96" s="390">
        <f t="shared" si="38"/>
        <v>0.91276278055076965</v>
      </c>
      <c r="V96" s="389">
        <f t="shared" si="39"/>
        <v>0.2150343066904431</v>
      </c>
      <c r="W96" s="388">
        <f t="shared" si="40"/>
        <v>4.3912358508739979</v>
      </c>
      <c r="X96" s="387">
        <f t="shared" si="41"/>
        <v>8.2239041330324322E-2</v>
      </c>
      <c r="Y96" s="390">
        <f t="shared" si="42"/>
        <v>0.85665451012013449</v>
      </c>
      <c r="Z96" s="319" t="s">
        <v>148</v>
      </c>
      <c r="AA96" s="386">
        <v>53.596880850630612</v>
      </c>
      <c r="AB96" s="386">
        <v>0.23931524147728664</v>
      </c>
      <c r="AC96" s="251">
        <v>4.071497469728997</v>
      </c>
      <c r="AD96" s="251">
        <v>0.11353546273316063</v>
      </c>
      <c r="AE96" s="253">
        <v>16.480243643012013</v>
      </c>
      <c r="AF96" s="251">
        <v>0.10443485264030165</v>
      </c>
      <c r="AG96" s="225">
        <v>34.340000000000003</v>
      </c>
      <c r="AH96" s="182">
        <v>33.471665830721008</v>
      </c>
      <c r="AI96" s="385">
        <v>1.078897173180831E-2</v>
      </c>
      <c r="AJ96" s="181">
        <v>33.110540974256828</v>
      </c>
      <c r="AK96" s="261">
        <v>-16.630297331244815</v>
      </c>
      <c r="AL96" s="433">
        <v>90</v>
      </c>
    </row>
    <row r="97" spans="1:38" ht="19.5" customHeight="1">
      <c r="A97" s="293"/>
      <c r="B97" s="433">
        <v>91</v>
      </c>
      <c r="C97" s="319" t="s">
        <v>200</v>
      </c>
      <c r="D97" s="396">
        <v>44806</v>
      </c>
      <c r="E97" s="395">
        <v>1440</v>
      </c>
      <c r="F97" s="395">
        <v>30</v>
      </c>
      <c r="G97" s="184">
        <v>32.76</v>
      </c>
      <c r="H97" s="319">
        <v>0.70900000000000007</v>
      </c>
      <c r="I97" s="394">
        <v>303.84999999999997</v>
      </c>
      <c r="J97" s="182">
        <f t="shared" si="36"/>
        <v>30.689999999999941</v>
      </c>
      <c r="K97" s="251">
        <v>0.2617137463925378</v>
      </c>
      <c r="L97" s="251">
        <v>0</v>
      </c>
      <c r="M97" s="392">
        <v>0.36174045594490933</v>
      </c>
      <c r="N97" s="393">
        <v>3.3130054072322817</v>
      </c>
      <c r="O97" s="253">
        <v>9.7520233421355698E-2</v>
      </c>
      <c r="P97" s="392">
        <v>0.4327905211282187</v>
      </c>
      <c r="Q97" s="251">
        <v>2.1889992525568617E-2</v>
      </c>
      <c r="R97" s="251">
        <v>0.49582007317577148</v>
      </c>
      <c r="S97" s="251">
        <v>0.17758924376676649</v>
      </c>
      <c r="T97" s="391">
        <f t="shared" si="37"/>
        <v>0</v>
      </c>
      <c r="U97" s="390">
        <f t="shared" si="38"/>
        <v>2.6836866280021208</v>
      </c>
      <c r="V97" s="389">
        <f t="shared" si="39"/>
        <v>0.10918800650165886</v>
      </c>
      <c r="W97" s="388">
        <f t="shared" si="40"/>
        <v>5.1620696735874088</v>
      </c>
      <c r="X97" s="387">
        <f t="shared" si="41"/>
        <v>0.15757233435859003</v>
      </c>
      <c r="Y97" s="390">
        <f t="shared" si="42"/>
        <v>1.3848496255235279</v>
      </c>
      <c r="Z97" s="319" t="s">
        <v>148</v>
      </c>
      <c r="AA97" s="386">
        <v>58.036221154033313</v>
      </c>
      <c r="AB97" s="386">
        <v>0.49875815496053338</v>
      </c>
      <c r="AC97" s="251">
        <v>3.6504425558079499</v>
      </c>
      <c r="AD97" s="251">
        <v>0.31801261719932228</v>
      </c>
      <c r="AE97" s="253">
        <v>16.480023130766551</v>
      </c>
      <c r="AF97" s="251">
        <v>3.3402796749206203E-2</v>
      </c>
      <c r="AG97" s="225">
        <v>12.87</v>
      </c>
      <c r="AH97" s="182">
        <v>33.363346420931386</v>
      </c>
      <c r="AI97" s="385">
        <v>3.2533814648951824E-2</v>
      </c>
      <c r="AJ97" s="181">
        <v>32.277909492404035</v>
      </c>
      <c r="AK97" s="261">
        <v>-15.797886361637484</v>
      </c>
      <c r="AL97" s="433">
        <v>91</v>
      </c>
    </row>
    <row r="98" spans="1:38" ht="19.5" customHeight="1">
      <c r="A98" s="293"/>
      <c r="B98" s="433">
        <v>92</v>
      </c>
      <c r="C98" s="319" t="s">
        <v>201</v>
      </c>
      <c r="D98" s="396">
        <v>44814</v>
      </c>
      <c r="E98" s="395">
        <v>1440</v>
      </c>
      <c r="F98" s="395">
        <v>30</v>
      </c>
      <c r="G98" s="184">
        <v>31.82</v>
      </c>
      <c r="H98" s="319">
        <v>0.71799999999999997</v>
      </c>
      <c r="I98" s="394">
        <v>303.04999999999995</v>
      </c>
      <c r="J98" s="182">
        <f t="shared" si="36"/>
        <v>29.88999999999993</v>
      </c>
      <c r="K98" s="251">
        <v>0.48815239049300851</v>
      </c>
      <c r="L98" s="251">
        <v>3.1706198442689085E-2</v>
      </c>
      <c r="M98" s="392">
        <v>0.56998940090462602</v>
      </c>
      <c r="N98" s="393">
        <v>1.01429899384078</v>
      </c>
      <c r="O98" s="253">
        <v>0.10614853887245798</v>
      </c>
      <c r="P98" s="392">
        <v>0.15210367207144129</v>
      </c>
      <c r="Q98" s="251">
        <v>1.4829170398257893E-2</v>
      </c>
      <c r="R98" s="251">
        <v>0.41720806800023258</v>
      </c>
      <c r="S98" s="251">
        <v>0.13455718982423534</v>
      </c>
      <c r="T98" s="391">
        <f t="shared" si="37"/>
        <v>5.5625943907673385E-2</v>
      </c>
      <c r="U98" s="390">
        <f t="shared" si="38"/>
        <v>4.5987669324355425</v>
      </c>
      <c r="V98" s="389">
        <f t="shared" si="39"/>
        <v>0.5619540237797972</v>
      </c>
      <c r="W98" s="388">
        <f t="shared" si="40"/>
        <v>2.9289936228477291</v>
      </c>
      <c r="X98" s="387">
        <f t="shared" si="41"/>
        <v>9.2048825356622538E-2</v>
      </c>
      <c r="Y98" s="390">
        <f t="shared" si="42"/>
        <v>1.164441642695172</v>
      </c>
      <c r="Z98" s="319" t="s">
        <v>148</v>
      </c>
      <c r="AA98" s="386">
        <v>47.897418006079455</v>
      </c>
      <c r="AB98" s="386">
        <v>3.0699608660355978E-2</v>
      </c>
      <c r="AC98" s="251">
        <v>6.0115760049177309</v>
      </c>
      <c r="AD98" s="251">
        <v>0.10271378958479126</v>
      </c>
      <c r="AE98" s="253">
        <v>10.045401639405092</v>
      </c>
      <c r="AF98" s="251">
        <v>0.13748200747582812</v>
      </c>
      <c r="AG98" s="225">
        <v>15.15</v>
      </c>
      <c r="AH98" s="182">
        <v>33.471665830721008</v>
      </c>
      <c r="AI98" s="385">
        <v>9.9400497690427074E-3</v>
      </c>
      <c r="AJ98" s="181">
        <v>33.138955806510872</v>
      </c>
      <c r="AK98" s="261">
        <v>-23.093554167105779</v>
      </c>
      <c r="AL98" s="433">
        <v>92</v>
      </c>
    </row>
    <row r="99" spans="1:38" ht="19.5" customHeight="1">
      <c r="A99" s="293"/>
      <c r="B99" s="433">
        <v>93</v>
      </c>
      <c r="C99" s="319" t="s">
        <v>202</v>
      </c>
      <c r="D99" s="396">
        <v>44822</v>
      </c>
      <c r="E99" s="395">
        <v>1440</v>
      </c>
      <c r="F99" s="395">
        <v>30</v>
      </c>
      <c r="G99" s="184">
        <v>78.74799999999999</v>
      </c>
      <c r="H99" s="319">
        <v>0.75900000000000001</v>
      </c>
      <c r="I99" s="394">
        <v>301.95</v>
      </c>
      <c r="J99" s="182">
        <f t="shared" si="36"/>
        <v>28.789999999999964</v>
      </c>
      <c r="K99" s="251">
        <v>0.34054230019145404</v>
      </c>
      <c r="L99" s="251">
        <v>3.8799394426811448E-2</v>
      </c>
      <c r="M99" s="392">
        <v>0.56410488585076013</v>
      </c>
      <c r="N99" s="393">
        <v>1.909668904327855</v>
      </c>
      <c r="O99" s="253">
        <v>0.5395748180523946</v>
      </c>
      <c r="P99" s="392">
        <v>0.3986916708038154</v>
      </c>
      <c r="Q99" s="251">
        <v>2.8950814652879339E-2</v>
      </c>
      <c r="R99" s="251">
        <v>0.44230063768929784</v>
      </c>
      <c r="S99" s="251">
        <v>0.18468011345232863</v>
      </c>
      <c r="T99" s="451">
        <f t="shared" si="37"/>
        <v>6.8780461577275256E-2</v>
      </c>
      <c r="U99" s="390">
        <f t="shared" si="38"/>
        <v>0.63113082523133279</v>
      </c>
      <c r="V99" s="389">
        <f t="shared" si="39"/>
        <v>0.29539407829929964</v>
      </c>
      <c r="W99" s="388">
        <f t="shared" si="40"/>
        <v>4.4473135394475971</v>
      </c>
      <c r="X99" s="450">
        <f t="shared" si="41"/>
        <v>5.6475257015385756E-2</v>
      </c>
      <c r="Y99" s="390">
        <f t="shared" si="42"/>
        <v>0.79410516878989823</v>
      </c>
      <c r="Z99" s="319" t="s">
        <v>148</v>
      </c>
      <c r="AA99" s="386">
        <v>52.405268444057889</v>
      </c>
      <c r="AB99" s="386">
        <v>0.15576164040272561</v>
      </c>
      <c r="AC99" s="251">
        <v>4.2457630041049024</v>
      </c>
      <c r="AD99" s="251">
        <v>7.6657854123545643E-2</v>
      </c>
      <c r="AE99" s="253">
        <v>13.72601112016963</v>
      </c>
      <c r="AF99" s="251">
        <v>6.3777837767951165E-2</v>
      </c>
      <c r="AG99" s="225">
        <v>37.369999999999997</v>
      </c>
      <c r="AH99" s="182">
        <v>33.621542208975001</v>
      </c>
      <c r="AI99" s="385">
        <v>1.0556141956911218E-2</v>
      </c>
      <c r="AJ99" s="181">
        <v>33.26662843660678</v>
      </c>
      <c r="AK99" s="261">
        <v>-19.540617316437149</v>
      </c>
      <c r="AL99" s="433">
        <v>93</v>
      </c>
    </row>
    <row r="100" spans="1:38" ht="19.5" customHeight="1">
      <c r="A100" s="293"/>
      <c r="B100" s="433">
        <v>94</v>
      </c>
      <c r="C100" s="319" t="s">
        <v>203</v>
      </c>
      <c r="D100" s="396">
        <v>44830</v>
      </c>
      <c r="E100" s="395">
        <v>1440</v>
      </c>
      <c r="F100" s="395">
        <v>30</v>
      </c>
      <c r="G100" s="184">
        <v>74.919999999999987</v>
      </c>
      <c r="H100" s="319">
        <v>0.72099999999999997</v>
      </c>
      <c r="I100" s="394">
        <v>302.45</v>
      </c>
      <c r="J100" s="182">
        <f t="shared" si="36"/>
        <v>29.289999999999964</v>
      </c>
      <c r="K100" s="251">
        <v>8.5522471190690869E-2</v>
      </c>
      <c r="L100" s="251">
        <v>0</v>
      </c>
      <c r="M100" s="392">
        <v>1.0185152239034987</v>
      </c>
      <c r="N100" s="393">
        <v>5.0878702299797451</v>
      </c>
      <c r="O100" s="253">
        <v>0.222426844223336</v>
      </c>
      <c r="P100" s="392">
        <v>1.2328394070827422</v>
      </c>
      <c r="Q100" s="251">
        <v>2.2947671913759841E-2</v>
      </c>
      <c r="R100" s="251">
        <v>0.72032744782916147</v>
      </c>
      <c r="S100" s="251">
        <v>0.27949668287464452</v>
      </c>
      <c r="T100" s="451">
        <f t="shared" si="37"/>
        <v>0</v>
      </c>
      <c r="U100" s="390">
        <f t="shared" si="38"/>
        <v>0.3844970758332516</v>
      </c>
      <c r="V100" s="389">
        <f t="shared" si="39"/>
        <v>0.20018498465271459</v>
      </c>
      <c r="W100" s="388">
        <f t="shared" si="40"/>
        <v>8.6699459789975784</v>
      </c>
      <c r="X100" s="450">
        <f t="shared" si="41"/>
        <v>0.1157227172850718</v>
      </c>
      <c r="Y100" s="390">
        <f t="shared" si="42"/>
        <v>1.0130734083192898</v>
      </c>
      <c r="Z100" s="319" t="s">
        <v>148</v>
      </c>
      <c r="AA100" s="386">
        <v>75.387294249552369</v>
      </c>
      <c r="AB100" s="386">
        <v>0.12396841442013591</v>
      </c>
      <c r="AC100" s="251">
        <v>5.1493037794453898</v>
      </c>
      <c r="AD100" s="251">
        <v>6.5069907118806738E-2</v>
      </c>
      <c r="AE100" s="253">
        <v>14.832572414196763</v>
      </c>
      <c r="AF100" s="251">
        <v>8.5383633188789415E-2</v>
      </c>
      <c r="AG100" s="225">
        <v>28.28</v>
      </c>
      <c r="AH100" s="182">
        <v>33.553281434947927</v>
      </c>
      <c r="AI100" s="385">
        <v>4.1772985312517059E-2</v>
      </c>
      <c r="AJ100" s="181">
        <v>32.151660702379097</v>
      </c>
      <c r="AK100" s="261">
        <v>-17.319088288182336</v>
      </c>
      <c r="AL100" s="433">
        <v>94</v>
      </c>
    </row>
    <row r="101" spans="1:38" ht="19.5" customHeight="1">
      <c r="A101" s="293"/>
      <c r="B101" s="415">
        <v>95</v>
      </c>
      <c r="C101" s="319" t="s">
        <v>204</v>
      </c>
      <c r="D101" s="396">
        <v>44838</v>
      </c>
      <c r="E101" s="395">
        <v>1440</v>
      </c>
      <c r="F101" s="395">
        <v>30</v>
      </c>
      <c r="G101" s="184">
        <v>29.876000000000005</v>
      </c>
      <c r="H101" s="319">
        <v>0.74900000000000011</v>
      </c>
      <c r="I101" s="394">
        <v>302.14999999999998</v>
      </c>
      <c r="J101" s="182">
        <f t="shared" si="36"/>
        <v>28.989999999999952</v>
      </c>
      <c r="K101" s="251">
        <v>0.10547157325990242</v>
      </c>
      <c r="L101" s="251">
        <v>0</v>
      </c>
      <c r="M101" s="392">
        <v>0.81810032035900471</v>
      </c>
      <c r="N101" s="393">
        <v>4.3506032955292859</v>
      </c>
      <c r="O101" s="253">
        <v>9.6828683317063374E-2</v>
      </c>
      <c r="P101" s="392">
        <v>1.1032475988179107</v>
      </c>
      <c r="Q101" s="251">
        <v>1.5513866211789681E-2</v>
      </c>
      <c r="R101" s="251">
        <v>0.83762661447874331</v>
      </c>
      <c r="S101" s="251">
        <v>0.35725696719673561</v>
      </c>
      <c r="T101" s="451">
        <f t="shared" si="37"/>
        <v>0</v>
      </c>
      <c r="U101" s="390">
        <f t="shared" si="38"/>
        <v>1.0892596041457889</v>
      </c>
      <c r="V101" s="389">
        <f t="shared" si="39"/>
        <v>0.18804295974300644</v>
      </c>
      <c r="W101" s="388">
        <f t="shared" si="40"/>
        <v>7.6846489191704359</v>
      </c>
      <c r="X101" s="450">
        <f t="shared" si="41"/>
        <v>0.25721813225232409</v>
      </c>
      <c r="Y101" s="390">
        <f t="shared" si="42"/>
        <v>0.90673606213997082</v>
      </c>
      <c r="Z101" s="319" t="s">
        <v>148</v>
      </c>
      <c r="AA101" s="386">
        <v>63.300181031813928</v>
      </c>
      <c r="AB101" s="386">
        <v>0.286695567050193</v>
      </c>
      <c r="AC101" s="251">
        <v>4.4502410803791497</v>
      </c>
      <c r="AD101" s="251">
        <v>0.1216675329739494</v>
      </c>
      <c r="AE101" s="253">
        <v>3.5139789045258589</v>
      </c>
      <c r="AF101" s="251">
        <v>0.49983132266085795</v>
      </c>
      <c r="AG101" s="225">
        <v>44.44</v>
      </c>
      <c r="AH101" s="182">
        <v>33.594210789343045</v>
      </c>
      <c r="AI101" s="385">
        <v>2.4224174976194404E-2</v>
      </c>
      <c r="AJ101" s="181">
        <v>32.78041874899484</v>
      </c>
      <c r="AK101" s="261">
        <v>-29.26643984446898</v>
      </c>
      <c r="AL101" s="415">
        <v>95</v>
      </c>
    </row>
    <row r="102" spans="1:38" ht="19.5" customHeight="1">
      <c r="A102" s="293"/>
      <c r="B102" s="415">
        <v>96</v>
      </c>
      <c r="C102" s="319" t="s">
        <v>205</v>
      </c>
      <c r="D102" s="396">
        <v>44846</v>
      </c>
      <c r="E102" s="395">
        <v>1440</v>
      </c>
      <c r="F102" s="395">
        <v>20</v>
      </c>
      <c r="G102" s="184">
        <v>51.584000000000003</v>
      </c>
      <c r="H102" s="319">
        <v>0.77600000000000002</v>
      </c>
      <c r="I102" s="394">
        <v>301.34999999999997</v>
      </c>
      <c r="J102" s="182">
        <f t="shared" si="36"/>
        <v>28.189999999999941</v>
      </c>
      <c r="K102" s="251">
        <v>0.17750549384573666</v>
      </c>
      <c r="L102" s="251">
        <v>0</v>
      </c>
      <c r="M102" s="392">
        <v>0.3662324521692345</v>
      </c>
      <c r="N102" s="393">
        <v>0.72397996114476193</v>
      </c>
      <c r="O102" s="253">
        <v>1.9927769077087027</v>
      </c>
      <c r="P102" s="392">
        <v>9.3181166351349792E-2</v>
      </c>
      <c r="Q102" s="251">
        <v>1.3932077116614603E-2</v>
      </c>
      <c r="R102" s="251">
        <v>0.25213375592883402</v>
      </c>
      <c r="S102" s="251">
        <v>0.1396971188781202</v>
      </c>
      <c r="T102" s="451">
        <f t="shared" si="37"/>
        <v>0</v>
      </c>
      <c r="U102" s="390">
        <f t="shared" si="38"/>
        <v>8.9074443385553218E-2</v>
      </c>
      <c r="V102" s="389">
        <f t="shared" si="39"/>
        <v>0.50585992958996451</v>
      </c>
      <c r="W102" s="388">
        <f t="shared" si="40"/>
        <v>3.7594389331433544</v>
      </c>
      <c r="X102" s="450">
        <f t="shared" si="41"/>
        <v>7.2879942097226938E-2</v>
      </c>
      <c r="Y102" s="390">
        <f t="shared" si="42"/>
        <v>0.23872624749034826</v>
      </c>
      <c r="Z102" s="319" t="s">
        <v>148</v>
      </c>
      <c r="AA102" s="386">
        <v>62.315773796848752</v>
      </c>
      <c r="AB102" s="386">
        <v>0.19834024554033219</v>
      </c>
      <c r="AC102" s="251">
        <v>2.5907409681275899</v>
      </c>
      <c r="AD102" s="251">
        <v>4.6522986053902878E-2</v>
      </c>
      <c r="AE102" s="253">
        <v>15.86778021429069</v>
      </c>
      <c r="AF102" s="251">
        <v>5.9635398704321815E-2</v>
      </c>
      <c r="AG102" s="225">
        <v>10.09</v>
      </c>
      <c r="AH102" s="182">
        <v>33.703754139704671</v>
      </c>
      <c r="AI102" s="385">
        <v>9.1504967680680824E-3</v>
      </c>
      <c r="AJ102" s="181">
        <v>33.395348046377542</v>
      </c>
      <c r="AK102" s="261">
        <v>-17.527567832086852</v>
      </c>
      <c r="AL102" s="415">
        <v>96</v>
      </c>
    </row>
    <row r="103" spans="1:38" ht="19.5" customHeight="1">
      <c r="A103" s="293"/>
      <c r="B103" s="415">
        <v>97</v>
      </c>
      <c r="C103" s="422" t="s">
        <v>206</v>
      </c>
      <c r="D103" s="432">
        <v>44854</v>
      </c>
      <c r="E103" s="431">
        <v>1440</v>
      </c>
      <c r="F103" s="431">
        <v>30</v>
      </c>
      <c r="G103" s="430">
        <v>60.203999999999994</v>
      </c>
      <c r="H103" s="422">
        <v>0.626</v>
      </c>
      <c r="I103" s="270">
        <v>302.64999999999998</v>
      </c>
      <c r="J103" s="417">
        <f t="shared" si="36"/>
        <v>29.489999999999952</v>
      </c>
      <c r="K103" s="419">
        <v>9.1263273005214626E-2</v>
      </c>
      <c r="L103" s="419">
        <v>2.1302844332642932E-2</v>
      </c>
      <c r="M103" s="428">
        <v>0.63978603823819125</v>
      </c>
      <c r="N103" s="429">
        <v>7.9657406017850896</v>
      </c>
      <c r="O103" s="420">
        <v>0.10003199056076575</v>
      </c>
      <c r="P103" s="428">
        <v>1.6895757744119806</v>
      </c>
      <c r="Q103" s="419">
        <v>2.3782765507147356E-2</v>
      </c>
      <c r="R103" s="419">
        <v>1.230488875570606</v>
      </c>
      <c r="S103" s="419">
        <v>0.28158507134657773</v>
      </c>
      <c r="T103" s="427">
        <f t="shared" si="37"/>
        <v>3.3296825906525829E-2</v>
      </c>
      <c r="U103" s="426">
        <f t="shared" si="38"/>
        <v>0.91234086709266815</v>
      </c>
      <c r="V103" s="425">
        <f t="shared" si="39"/>
        <v>8.0317207177800623E-2</v>
      </c>
      <c r="W103" s="424">
        <f t="shared" si="40"/>
        <v>12.043557234758216</v>
      </c>
      <c r="X103" s="423">
        <f t="shared" si="41"/>
        <v>0.20004579819876117</v>
      </c>
      <c r="Y103" s="426">
        <f t="shared" si="42"/>
        <v>1.0615698793849722</v>
      </c>
      <c r="Z103" s="422" t="s">
        <v>148</v>
      </c>
      <c r="AA103" s="421">
        <v>62.438298670622167</v>
      </c>
      <c r="AB103" s="421">
        <v>8.1828258705979706E-2</v>
      </c>
      <c r="AC103" s="419">
        <v>2.84214242368712</v>
      </c>
      <c r="AD103" s="419">
        <v>2.9501231511586429E-2</v>
      </c>
      <c r="AE103" s="420">
        <v>10.945719734184722</v>
      </c>
      <c r="AF103" s="419">
        <v>1.0371010639709195E-2</v>
      </c>
      <c r="AG103" s="418">
        <v>16.16</v>
      </c>
      <c r="AH103" s="417">
        <v>33.526040277548326</v>
      </c>
      <c r="AI103" s="272">
        <v>9.4656354625192216E-2</v>
      </c>
      <c r="AJ103" s="271">
        <v>30.352587519858236</v>
      </c>
      <c r="AK103" s="416">
        <v>-19.406867785673512</v>
      </c>
      <c r="AL103" s="415">
        <v>97</v>
      </c>
    </row>
    <row r="104" spans="1:38" ht="19.5" customHeight="1">
      <c r="A104" s="293"/>
      <c r="B104" s="415">
        <v>98</v>
      </c>
      <c r="C104" s="422" t="s">
        <v>207</v>
      </c>
      <c r="D104" s="432">
        <v>44862</v>
      </c>
      <c r="E104" s="431">
        <v>1440</v>
      </c>
      <c r="F104" s="431">
        <v>30</v>
      </c>
      <c r="G104" s="430">
        <v>99.992000000000004</v>
      </c>
      <c r="H104" s="422">
        <v>0.66900000000000004</v>
      </c>
      <c r="I104" s="270">
        <v>300.34999999999997</v>
      </c>
      <c r="J104" s="417">
        <f t="shared" si="36"/>
        <v>27.189999999999941</v>
      </c>
      <c r="K104" s="419">
        <v>0.57270455072232274</v>
      </c>
      <c r="L104" s="419">
        <v>3.2869017456479632E-2</v>
      </c>
      <c r="M104" s="428">
        <v>1.3003430670176623</v>
      </c>
      <c r="N104" s="429">
        <v>3.9135205712442862</v>
      </c>
      <c r="O104" s="420">
        <v>1.6253612670459237</v>
      </c>
      <c r="P104" s="428">
        <v>0.84284926358696666</v>
      </c>
      <c r="Q104" s="419">
        <v>2.121002784917447E-2</v>
      </c>
      <c r="R104" s="419">
        <v>0.45912343367599179</v>
      </c>
      <c r="S104" s="419">
        <v>0.40639543400836353</v>
      </c>
      <c r="T104" s="427">
        <f t="shared" si="37"/>
        <v>2.5277188989721571E-2</v>
      </c>
      <c r="U104" s="426">
        <f t="shared" si="38"/>
        <v>0.35235523470004115</v>
      </c>
      <c r="V104" s="425">
        <f t="shared" si="39"/>
        <v>0.33226938337115325</v>
      </c>
      <c r="W104" s="424">
        <f t="shared" si="40"/>
        <v>9.174376632607169</v>
      </c>
      <c r="X104" s="423">
        <f t="shared" si="41"/>
        <v>9.1751106414584852E-2</v>
      </c>
      <c r="Y104" s="426">
        <f t="shared" si="42"/>
        <v>0.78344408867792148</v>
      </c>
      <c r="Z104" s="422" t="s">
        <v>148</v>
      </c>
      <c r="AA104" s="421">
        <v>61.888003609399128</v>
      </c>
      <c r="AB104" s="421">
        <v>0.56873189473641406</v>
      </c>
      <c r="AC104" s="419">
        <v>2.1339003358212287</v>
      </c>
      <c r="AD104" s="419">
        <v>0.12089772223539964</v>
      </c>
      <c r="AE104" s="420">
        <v>12.844986744029283</v>
      </c>
      <c r="AF104" s="419">
        <v>8.3257663976879656E-2</v>
      </c>
      <c r="AG104" s="418">
        <v>71.709999999999994</v>
      </c>
      <c r="AH104" s="417">
        <v>33.841503945397044</v>
      </c>
      <c r="AI104" s="272">
        <v>1.1617038781273313E-2</v>
      </c>
      <c r="AJ104" s="271">
        <v>33.448365881646751</v>
      </c>
      <c r="AK104" s="416">
        <v>-20.603379137617466</v>
      </c>
      <c r="AL104" s="415">
        <v>98</v>
      </c>
    </row>
    <row r="105" spans="1:38" ht="19.5" customHeight="1">
      <c r="A105" s="293"/>
      <c r="B105" s="415">
        <v>99</v>
      </c>
      <c r="C105" s="422" t="s">
        <v>208</v>
      </c>
      <c r="D105" s="432">
        <v>44870</v>
      </c>
      <c r="E105" s="431">
        <v>1440</v>
      </c>
      <c r="F105" s="431">
        <v>30</v>
      </c>
      <c r="G105" s="430">
        <v>87.577272727272714</v>
      </c>
      <c r="H105" s="422">
        <v>0.66599999999999993</v>
      </c>
      <c r="I105" s="270">
        <v>300.04999999999995</v>
      </c>
      <c r="J105" s="417">
        <f t="shared" si="36"/>
        <v>26.88999999999993</v>
      </c>
      <c r="K105" s="419">
        <v>0.20834910000027676</v>
      </c>
      <c r="L105" s="419">
        <v>2.6651811796079474E-2</v>
      </c>
      <c r="M105" s="428">
        <v>0.86952469313507996</v>
      </c>
      <c r="N105" s="429">
        <v>2.8965201596380408</v>
      </c>
      <c r="O105" s="420">
        <v>0.89562567579120622</v>
      </c>
      <c r="P105" s="428">
        <v>0.81394066889499572</v>
      </c>
      <c r="Q105" s="419">
        <v>2.881638266405083E-2</v>
      </c>
      <c r="R105" s="419">
        <v>0.59312791876045501</v>
      </c>
      <c r="S105" s="419">
        <v>0.24796710763278046</v>
      </c>
      <c r="T105" s="427">
        <f t="shared" si="37"/>
        <v>3.0651011991374391E-2</v>
      </c>
      <c r="U105" s="426">
        <f t="shared" si="38"/>
        <v>0.23262966396783871</v>
      </c>
      <c r="V105" s="425">
        <f t="shared" si="39"/>
        <v>0.30019632014014319</v>
      </c>
      <c r="W105" s="424">
        <f t="shared" si="40"/>
        <v>6.5805235183129653</v>
      </c>
      <c r="X105" s="423">
        <f t="shared" si="41"/>
        <v>7.5139625994127393E-2</v>
      </c>
      <c r="Y105" s="426">
        <f t="shared" si="42"/>
        <v>0.66001172826569332</v>
      </c>
      <c r="Z105" s="422" t="s">
        <v>148</v>
      </c>
      <c r="AA105" s="421">
        <v>66.469425766550117</v>
      </c>
      <c r="AB105" s="421">
        <v>6.7815788147632403E-3</v>
      </c>
      <c r="AC105" s="419">
        <v>2.2820281393330419</v>
      </c>
      <c r="AD105" s="419">
        <v>3.1476558846128579E-2</v>
      </c>
      <c r="AE105" s="420">
        <v>10.71460492297979</v>
      </c>
      <c r="AF105" s="419">
        <v>0.14953480472137037</v>
      </c>
      <c r="AG105" s="418">
        <v>80.8</v>
      </c>
      <c r="AH105" s="417">
        <v>33.883007932011338</v>
      </c>
      <c r="AI105" s="272">
        <v>9.9730592864903499E-3</v>
      </c>
      <c r="AJ105" s="271">
        <v>33.545090685100767</v>
      </c>
      <c r="AK105" s="416">
        <v>-22.830485762120979</v>
      </c>
      <c r="AL105" s="415">
        <v>99</v>
      </c>
    </row>
    <row r="106" spans="1:38" ht="19.5" customHeight="1">
      <c r="A106" s="293"/>
      <c r="B106" s="415">
        <v>100</v>
      </c>
      <c r="C106" s="422" t="s">
        <v>209</v>
      </c>
      <c r="D106" s="432">
        <v>44878</v>
      </c>
      <c r="E106" s="431">
        <v>1440</v>
      </c>
      <c r="F106" s="431">
        <v>30</v>
      </c>
      <c r="G106" s="430">
        <v>171.36399999999998</v>
      </c>
      <c r="H106" s="422">
        <v>0.65099999999999991</v>
      </c>
      <c r="I106" s="270">
        <v>298.84999999999997</v>
      </c>
      <c r="J106" s="417">
        <f t="shared" si="36"/>
        <v>25.689999999999941</v>
      </c>
      <c r="K106" s="419">
        <v>0.16654957767424503</v>
      </c>
      <c r="L106" s="419">
        <v>2.8140220133731381E-2</v>
      </c>
      <c r="M106" s="428">
        <v>1.8251879058678198</v>
      </c>
      <c r="N106" s="429">
        <v>8.3803982235330672</v>
      </c>
      <c r="O106" s="420">
        <v>0.66883575172551746</v>
      </c>
      <c r="P106" s="428">
        <v>2.1647963745765439</v>
      </c>
      <c r="Q106" s="419">
        <v>3.9437171457220956E-2</v>
      </c>
      <c r="R106" s="419">
        <v>1.1653381747891396</v>
      </c>
      <c r="S106" s="419">
        <v>1.2661507232432418</v>
      </c>
      <c r="T106" s="427">
        <f t="shared" si="37"/>
        <v>1.5417711263187221E-2</v>
      </c>
      <c r="U106" s="426">
        <f t="shared" si="38"/>
        <v>0.24901416714726557</v>
      </c>
      <c r="V106" s="425">
        <f t="shared" si="39"/>
        <v>0.21779250307491285</v>
      </c>
      <c r="W106" s="424">
        <f t="shared" si="40"/>
        <v>15.704834123000527</v>
      </c>
      <c r="X106" s="423">
        <f t="shared" si="41"/>
        <v>9.1646052397239386E-2</v>
      </c>
      <c r="Y106" s="420">
        <f t="shared" ref="Y106:Y125" si="43">(M106/62+N106/96*2+K106/35+L106/44)/(P106/18+S106/39+O106/23+Q106/24*2+R106/40*2)</f>
        <v>0.86055198549364531</v>
      </c>
      <c r="Z106" s="422" t="s">
        <v>148</v>
      </c>
      <c r="AA106" s="421">
        <v>68.830116431122761</v>
      </c>
      <c r="AB106" s="421">
        <v>0.27264028647456345</v>
      </c>
      <c r="AC106" s="419">
        <v>2.7033666739500468</v>
      </c>
      <c r="AD106" s="419">
        <v>7.2060651776502352E-2</v>
      </c>
      <c r="AE106" s="420">
        <v>12.497364328422586</v>
      </c>
      <c r="AF106" s="419">
        <v>0.12069639130129384</v>
      </c>
      <c r="AG106" s="418">
        <v>85.85</v>
      </c>
      <c r="AH106" s="417">
        <v>34.049857152417609</v>
      </c>
      <c r="AI106" s="272">
        <v>2.4512802792850768E-2</v>
      </c>
      <c r="AJ106" s="271">
        <v>33.215199718915656</v>
      </c>
      <c r="AK106" s="416">
        <v>-20.717835390493072</v>
      </c>
      <c r="AL106" s="415">
        <v>100</v>
      </c>
    </row>
    <row r="107" spans="1:38" ht="19.5" customHeight="1">
      <c r="A107" s="293"/>
      <c r="B107" s="415">
        <v>101</v>
      </c>
      <c r="C107" s="422" t="s">
        <v>210</v>
      </c>
      <c r="D107" s="432">
        <v>44886</v>
      </c>
      <c r="E107" s="431">
        <v>1440</v>
      </c>
      <c r="F107" s="431">
        <v>30</v>
      </c>
      <c r="G107" s="430">
        <v>122.31599999999997</v>
      </c>
      <c r="H107" s="422">
        <v>0.59</v>
      </c>
      <c r="I107" s="270">
        <v>299.04999999999995</v>
      </c>
      <c r="J107" s="417">
        <f t="shared" si="36"/>
        <v>25.88999999999993</v>
      </c>
      <c r="K107" s="419">
        <v>0.63008800403309528</v>
      </c>
      <c r="L107" s="419">
        <v>3.4768288512337542E-2</v>
      </c>
      <c r="M107" s="428">
        <v>7.6124512414772063</v>
      </c>
      <c r="N107" s="429">
        <v>10.339326313534905</v>
      </c>
      <c r="O107" s="420">
        <v>3.5823520525766313</v>
      </c>
      <c r="P107" s="428">
        <v>3.1349954643285693</v>
      </c>
      <c r="Q107" s="419">
        <v>0.10314612934765879</v>
      </c>
      <c r="R107" s="419">
        <v>2.4636156882397806</v>
      </c>
      <c r="S107" s="419">
        <v>2.2675127659991587</v>
      </c>
      <c r="T107" s="427">
        <f t="shared" si="37"/>
        <v>4.5672921125456964E-3</v>
      </c>
      <c r="U107" s="426">
        <f t="shared" si="38"/>
        <v>0.17588667858031992</v>
      </c>
      <c r="V107" s="425">
        <f t="shared" si="39"/>
        <v>0.73626182312400501</v>
      </c>
      <c r="W107" s="424">
        <f t="shared" si="40"/>
        <v>30.168255948049342</v>
      </c>
      <c r="X107" s="423">
        <f t="shared" si="41"/>
        <v>0.24664194339292775</v>
      </c>
      <c r="Y107" s="420">
        <f t="shared" si="43"/>
        <v>0.68670713308213038</v>
      </c>
      <c r="Z107" s="422" t="s">
        <v>148</v>
      </c>
      <c r="AA107" s="421">
        <v>68.881670278445498</v>
      </c>
      <c r="AB107" s="421">
        <v>0.71105058033456392</v>
      </c>
      <c r="AC107" s="419">
        <v>-0.11393553942508146</v>
      </c>
      <c r="AD107" s="419">
        <v>8.1484970025224243E-2</v>
      </c>
      <c r="AE107" s="420">
        <v>14.162614366960939</v>
      </c>
      <c r="AF107" s="419">
        <v>0.15258120943263057</v>
      </c>
      <c r="AG107" s="418">
        <v>313.10000000000002</v>
      </c>
      <c r="AH107" s="417">
        <v>34.021955960541725</v>
      </c>
      <c r="AI107" s="272">
        <v>9.9134994839057827E-3</v>
      </c>
      <c r="AJ107" s="271">
        <v>33.684679317685429</v>
      </c>
      <c r="AK107" s="416">
        <v>-19.522064950724491</v>
      </c>
      <c r="AL107" s="415">
        <v>101</v>
      </c>
    </row>
    <row r="108" spans="1:38" ht="19.5" customHeight="1">
      <c r="A108" s="293"/>
      <c r="B108" s="415">
        <v>102</v>
      </c>
      <c r="C108" s="422" t="s">
        <v>211</v>
      </c>
      <c r="D108" s="432">
        <v>44894</v>
      </c>
      <c r="E108" s="431">
        <v>1440</v>
      </c>
      <c r="F108" s="431">
        <v>30</v>
      </c>
      <c r="G108" s="430">
        <v>146.16</v>
      </c>
      <c r="H108" s="422">
        <v>0.59299999999999997</v>
      </c>
      <c r="I108" s="270">
        <v>298.84999999999997</v>
      </c>
      <c r="J108" s="417">
        <f t="shared" si="36"/>
        <v>25.689999999999941</v>
      </c>
      <c r="K108" s="419">
        <v>0.23695239325158815</v>
      </c>
      <c r="L108" s="419">
        <v>3.3876793935098112E-2</v>
      </c>
      <c r="M108" s="428">
        <v>1.743882774207534</v>
      </c>
      <c r="N108" s="429">
        <v>4.3660914240512891</v>
      </c>
      <c r="O108" s="420">
        <v>0.14438669531638748</v>
      </c>
      <c r="P108" s="428">
        <v>1.3705633716946288</v>
      </c>
      <c r="Q108" s="419">
        <v>4.9475724191786287E-2</v>
      </c>
      <c r="R108" s="419">
        <v>1.2337568354470108</v>
      </c>
      <c r="S108" s="419">
        <v>0.74450569078533102</v>
      </c>
      <c r="T108" s="427">
        <f t="shared" si="37"/>
        <v>1.9426072919662054E-2</v>
      </c>
      <c r="U108" s="426">
        <f t="shared" si="38"/>
        <v>1.6410957583894139</v>
      </c>
      <c r="V108" s="425">
        <f t="shared" si="39"/>
        <v>0.39941508430196543</v>
      </c>
      <c r="W108" s="424">
        <f t="shared" si="40"/>
        <v>9.9234917028806535</v>
      </c>
      <c r="X108" s="423">
        <f t="shared" si="41"/>
        <v>6.7894716084295662E-2</v>
      </c>
      <c r="Y108" s="420">
        <f t="shared" si="43"/>
        <v>0.75679398408894583</v>
      </c>
      <c r="Z108" s="422" t="s">
        <v>148</v>
      </c>
      <c r="AA108" s="421">
        <v>65.940614510788677</v>
      </c>
      <c r="AB108" s="421">
        <v>0.17867504641350801</v>
      </c>
      <c r="AC108" s="419">
        <v>0.17462831301586101</v>
      </c>
      <c r="AD108" s="419">
        <v>5.4996786119346101E-2</v>
      </c>
      <c r="AE108" s="420">
        <v>12.11483472149888</v>
      </c>
      <c r="AF108" s="419">
        <v>5.3681242187536581E-2</v>
      </c>
      <c r="AG108" s="418">
        <v>98.98</v>
      </c>
      <c r="AH108" s="417">
        <v>34.049857152417609</v>
      </c>
      <c r="AI108" s="272">
        <v>1.3657754631811231E-2</v>
      </c>
      <c r="AJ108" s="271">
        <v>33.584812558181667</v>
      </c>
      <c r="AK108" s="416">
        <v>-21.469977836682787</v>
      </c>
      <c r="AL108" s="415">
        <v>102</v>
      </c>
    </row>
    <row r="109" spans="1:38" ht="19.5" customHeight="1">
      <c r="A109" s="293"/>
      <c r="B109" s="414">
        <v>103</v>
      </c>
      <c r="C109" s="422" t="s">
        <v>212</v>
      </c>
      <c r="D109" s="432">
        <v>44902</v>
      </c>
      <c r="E109" s="431">
        <v>1440</v>
      </c>
      <c r="F109" s="431">
        <v>30</v>
      </c>
      <c r="G109" s="430">
        <v>148.22399999999999</v>
      </c>
      <c r="H109" s="422">
        <v>0.64900000000000002</v>
      </c>
      <c r="I109" s="270">
        <v>296.54999999999995</v>
      </c>
      <c r="J109" s="417">
        <f t="shared" si="36"/>
        <v>23.38999999999993</v>
      </c>
      <c r="K109" s="419">
        <v>0.19568347135000533</v>
      </c>
      <c r="L109" s="419">
        <v>3.1783719710275125E-2</v>
      </c>
      <c r="M109" s="428">
        <v>2.3953120666591765</v>
      </c>
      <c r="N109" s="429">
        <v>5.2730340748422719</v>
      </c>
      <c r="O109" s="420">
        <v>0.47293712721790915</v>
      </c>
      <c r="P109" s="428">
        <v>1.7194486585724817</v>
      </c>
      <c r="Q109" s="419">
        <v>3.894958461011349E-2</v>
      </c>
      <c r="R109" s="419">
        <v>0.98562304427674419</v>
      </c>
      <c r="S109" s="419">
        <v>0.82412276589778222</v>
      </c>
      <c r="T109" s="427">
        <f t="shared" si="37"/>
        <v>1.3269135221535023E-2</v>
      </c>
      <c r="U109" s="426">
        <f t="shared" si="38"/>
        <v>0.41376212627062958</v>
      </c>
      <c r="V109" s="425">
        <f t="shared" si="39"/>
        <v>0.45425689131941094</v>
      </c>
      <c r="W109" s="424">
        <f t="shared" si="40"/>
        <v>11.93689451313676</v>
      </c>
      <c r="X109" s="423">
        <f t="shared" si="41"/>
        <v>8.0532805167427418E-2</v>
      </c>
      <c r="Y109" s="420">
        <f t="shared" si="43"/>
        <v>0.81584059609858417</v>
      </c>
      <c r="Z109" s="422" t="s">
        <v>148</v>
      </c>
      <c r="AA109" s="421">
        <v>65.055700238598561</v>
      </c>
      <c r="AB109" s="421">
        <v>0.14299025996332931</v>
      </c>
      <c r="AC109" s="419">
        <v>0.56801349633830334</v>
      </c>
      <c r="AD109" s="419">
        <v>9.384383615462652E-2</v>
      </c>
      <c r="AE109" s="420">
        <v>12.331024493365748</v>
      </c>
      <c r="AF109" s="419">
        <v>5.3464828472727717E-2</v>
      </c>
      <c r="AG109" s="418">
        <v>84.84</v>
      </c>
      <c r="AH109" s="417">
        <v>34.373425830382743</v>
      </c>
      <c r="AI109" s="272">
        <v>1.98643670358244E-2</v>
      </c>
      <c r="AJ109" s="271">
        <v>33.690619483409336</v>
      </c>
      <c r="AK109" s="416">
        <v>-21.35959499004359</v>
      </c>
      <c r="AL109" s="414">
        <v>103</v>
      </c>
    </row>
    <row r="110" spans="1:38" ht="19.5" customHeight="1">
      <c r="A110" s="293"/>
      <c r="B110" s="414">
        <v>104</v>
      </c>
      <c r="C110" s="422" t="s">
        <v>213</v>
      </c>
      <c r="D110" s="432">
        <v>44910</v>
      </c>
      <c r="E110" s="431">
        <v>1440</v>
      </c>
      <c r="F110" s="431">
        <v>30</v>
      </c>
      <c r="G110" s="430">
        <v>220.39600000000007</v>
      </c>
      <c r="H110" s="422">
        <v>0.70299999999999996</v>
      </c>
      <c r="I110" s="270">
        <v>296.04999999999995</v>
      </c>
      <c r="J110" s="417">
        <f t="shared" si="36"/>
        <v>22.88999999999993</v>
      </c>
      <c r="K110" s="419">
        <v>0.218184859720154</v>
      </c>
      <c r="L110" s="419">
        <v>0</v>
      </c>
      <c r="M110" s="428">
        <v>2.8297779414759106</v>
      </c>
      <c r="N110" s="429">
        <v>6.2480124323190545</v>
      </c>
      <c r="O110" s="420">
        <v>0.14824546476837222</v>
      </c>
      <c r="P110" s="428">
        <v>2.1033898855041846</v>
      </c>
      <c r="Q110" s="419">
        <v>3.6454287216092965E-2</v>
      </c>
      <c r="R110" s="419">
        <v>1.0016002406211626</v>
      </c>
      <c r="S110" s="419">
        <v>0.79268724177589212</v>
      </c>
      <c r="T110" s="427">
        <f t="shared" si="37"/>
        <v>0</v>
      </c>
      <c r="U110" s="426">
        <f t="shared" si="38"/>
        <v>1.4717810090248586</v>
      </c>
      <c r="V110" s="425">
        <f t="shared" si="39"/>
        <v>0.45290850044381092</v>
      </c>
      <c r="W110" s="424">
        <f t="shared" si="40"/>
        <v>13.378352353400825</v>
      </c>
      <c r="X110" s="423">
        <f t="shared" si="41"/>
        <v>6.070142994156346E-2</v>
      </c>
      <c r="Y110" s="420">
        <f t="shared" si="43"/>
        <v>0.92527700554053449</v>
      </c>
      <c r="Z110" s="422" t="s">
        <v>148</v>
      </c>
      <c r="AA110" s="421">
        <v>76.208381697304773</v>
      </c>
      <c r="AB110" s="421">
        <v>0.175875613503304</v>
      </c>
      <c r="AC110" s="419">
        <v>0.20055021299467293</v>
      </c>
      <c r="AD110" s="419">
        <v>0.11218672062826834</v>
      </c>
      <c r="AE110" s="420">
        <v>10.068532265316252</v>
      </c>
      <c r="AF110" s="419">
        <v>0.13843339767330978</v>
      </c>
      <c r="AG110" s="418">
        <v>54.54</v>
      </c>
      <c r="AH110" s="417">
        <v>34.444432122952215</v>
      </c>
      <c r="AI110" s="272">
        <v>3.7133898408196621E-2</v>
      </c>
      <c r="AJ110" s="271">
        <v>33.165376079770482</v>
      </c>
      <c r="AK110" s="416">
        <v>-23.096843814454232</v>
      </c>
      <c r="AL110" s="414">
        <v>104</v>
      </c>
    </row>
    <row r="111" spans="1:38" ht="19.5" customHeight="1">
      <c r="A111" s="293"/>
      <c r="B111" s="414">
        <v>105</v>
      </c>
      <c r="C111" s="422" t="s">
        <v>214</v>
      </c>
      <c r="D111" s="432">
        <v>44918</v>
      </c>
      <c r="E111" s="431">
        <v>1440</v>
      </c>
      <c r="F111" s="431">
        <v>30</v>
      </c>
      <c r="G111" s="430">
        <v>151.05600000000001</v>
      </c>
      <c r="H111" s="422">
        <v>0.66400000000000003</v>
      </c>
      <c r="I111" s="270">
        <v>295.14999999999998</v>
      </c>
      <c r="J111" s="417">
        <f t="shared" si="36"/>
        <v>21.989999999999952</v>
      </c>
      <c r="K111" s="419">
        <v>0.49795375944463438</v>
      </c>
      <c r="L111" s="419">
        <v>1.7326003305479242E-2</v>
      </c>
      <c r="M111" s="428">
        <v>3.2117997603736481</v>
      </c>
      <c r="N111" s="429">
        <v>8.1500273196447566</v>
      </c>
      <c r="O111" s="420">
        <v>0.17856059190143031</v>
      </c>
      <c r="P111" s="428">
        <v>2.1075751696557896</v>
      </c>
      <c r="Q111" s="419">
        <v>2.72976930432073E-2</v>
      </c>
      <c r="R111" s="419">
        <v>0.87968063489933956</v>
      </c>
      <c r="S111" s="419">
        <v>0.76625663921813436</v>
      </c>
      <c r="T111" s="427">
        <f t="shared" si="37"/>
        <v>5.3944842761503922E-3</v>
      </c>
      <c r="U111" s="426">
        <f t="shared" si="38"/>
        <v>2.7887102867553031</v>
      </c>
      <c r="V111" s="425">
        <f t="shared" si="39"/>
        <v>0.39408453915632324</v>
      </c>
      <c r="W111" s="424">
        <f t="shared" si="40"/>
        <v>15.836477571486419</v>
      </c>
      <c r="X111" s="423">
        <f t="shared" si="41"/>
        <v>0.10483845442409714</v>
      </c>
      <c r="Y111" s="420">
        <f t="shared" si="43"/>
        <v>1.2383079645318551</v>
      </c>
      <c r="Z111" s="422" t="s">
        <v>148</v>
      </c>
      <c r="AA111" s="421">
        <v>72.771672113272643</v>
      </c>
      <c r="AB111" s="421">
        <v>0.4524713162114008</v>
      </c>
      <c r="AC111" s="419">
        <v>2.0626061720168969</v>
      </c>
      <c r="AD111" s="419">
        <v>0.17947050388039965</v>
      </c>
      <c r="AE111" s="420">
        <v>10.117279511537411</v>
      </c>
      <c r="AF111" s="419">
        <v>6.3875908920817556E-2</v>
      </c>
      <c r="AG111" s="418">
        <v>6.0339999999999998</v>
      </c>
      <c r="AH111" s="417">
        <v>34.572849703540577</v>
      </c>
      <c r="AI111" s="272">
        <v>0.25886577544734429</v>
      </c>
      <c r="AJ111" s="271">
        <v>25.62312215560906</v>
      </c>
      <c r="AK111" s="416">
        <v>-15.505842644071649</v>
      </c>
      <c r="AL111" s="414">
        <v>105</v>
      </c>
    </row>
    <row r="112" spans="1:38" ht="19.5" customHeight="1">
      <c r="A112" s="293"/>
      <c r="B112" s="414">
        <v>106</v>
      </c>
      <c r="C112" s="422" t="s">
        <v>215</v>
      </c>
      <c r="D112" s="432">
        <v>44926</v>
      </c>
      <c r="E112" s="431">
        <v>1440</v>
      </c>
      <c r="F112" s="431">
        <v>30</v>
      </c>
      <c r="G112" s="430">
        <v>190.55999999999997</v>
      </c>
      <c r="H112" s="422">
        <v>0.80599999999999994</v>
      </c>
      <c r="I112" s="270">
        <v>291.75</v>
      </c>
      <c r="J112" s="417">
        <f t="shared" si="36"/>
        <v>18.589999999999975</v>
      </c>
      <c r="K112" s="419">
        <v>0.476140186439512</v>
      </c>
      <c r="L112" s="419">
        <v>2.866348868993714E-2</v>
      </c>
      <c r="M112" s="428">
        <v>4.2365139390667146</v>
      </c>
      <c r="N112" s="429">
        <v>9.828858408371751</v>
      </c>
      <c r="O112" s="420">
        <v>0.13358346234721793</v>
      </c>
      <c r="P112" s="428">
        <v>2.5024316176548806</v>
      </c>
      <c r="Q112" s="419">
        <v>3.3837093110295577E-2</v>
      </c>
      <c r="R112" s="419">
        <v>1.3423904392441315</v>
      </c>
      <c r="S112" s="419">
        <v>0.74545001560875235</v>
      </c>
      <c r="T112" s="427">
        <f t="shared" si="37"/>
        <v>6.7658195162817241E-3</v>
      </c>
      <c r="U112" s="426">
        <f t="shared" si="38"/>
        <v>3.5643647654670052</v>
      </c>
      <c r="V112" s="425">
        <f t="shared" si="39"/>
        <v>0.43102807702044571</v>
      </c>
      <c r="W112" s="424">
        <f t="shared" si="40"/>
        <v>19.327868650533194</v>
      </c>
      <c r="X112" s="423">
        <f t="shared" si="41"/>
        <v>0.10142668267492232</v>
      </c>
      <c r="Y112" s="420">
        <f t="shared" si="43"/>
        <v>1.2286114389120517</v>
      </c>
      <c r="Z112" s="422" t="s">
        <v>148</v>
      </c>
      <c r="AA112" s="421">
        <v>72.581345243716953</v>
      </c>
      <c r="AB112" s="421">
        <v>0.60469064569191366</v>
      </c>
      <c r="AC112" s="419">
        <v>1.7237623719296165</v>
      </c>
      <c r="AD112" s="419">
        <v>0.23361512317005312</v>
      </c>
      <c r="AE112" s="420">
        <v>10.898712640355386</v>
      </c>
      <c r="AF112" s="419">
        <v>8.9257878203649513E-2</v>
      </c>
      <c r="AG112" s="418">
        <v>63.36</v>
      </c>
      <c r="AH112" s="417">
        <v>35.065132990574121</v>
      </c>
      <c r="AI112" s="272">
        <v>3.799482582395404E-2</v>
      </c>
      <c r="AJ112" s="271">
        <v>33.73283937010347</v>
      </c>
      <c r="AK112" s="416">
        <v>-22.834126729748085</v>
      </c>
      <c r="AL112" s="414">
        <v>106</v>
      </c>
    </row>
    <row r="113" spans="1:38" ht="19.5" customHeight="1">
      <c r="A113" s="293"/>
      <c r="B113" s="414">
        <v>107</v>
      </c>
      <c r="C113" s="422" t="s">
        <v>216</v>
      </c>
      <c r="D113" s="432">
        <v>44934</v>
      </c>
      <c r="E113" s="431">
        <v>1440</v>
      </c>
      <c r="F113" s="431">
        <v>30</v>
      </c>
      <c r="G113" s="430">
        <v>294.80400000000003</v>
      </c>
      <c r="H113" s="422">
        <v>0.87</v>
      </c>
      <c r="I113" s="270">
        <v>289.64999999999998</v>
      </c>
      <c r="J113" s="417">
        <f>I113-273.16</f>
        <v>16.489999999999952</v>
      </c>
      <c r="K113" s="419">
        <v>0.48892618277866318</v>
      </c>
      <c r="L113" s="419">
        <v>1.7849271861684991E-2</v>
      </c>
      <c r="M113" s="428">
        <v>4.8754779419958547</v>
      </c>
      <c r="N113" s="429">
        <v>9.3965315133874334</v>
      </c>
      <c r="O113" s="420">
        <v>0.21237768446180338</v>
      </c>
      <c r="P113" s="428">
        <v>2.4190105339450749</v>
      </c>
      <c r="Q113" s="419">
        <v>6.2963236830155853E-2</v>
      </c>
      <c r="R113" s="419">
        <v>2.0392851491563682</v>
      </c>
      <c r="S113" s="419">
        <v>0.71951256045878131</v>
      </c>
      <c r="T113" s="427">
        <f t="shared" si="37"/>
        <v>3.6610301746905468E-3</v>
      </c>
      <c r="U113" s="426">
        <f t="shared" si="38"/>
        <v>2.3021542212293857</v>
      </c>
      <c r="V113" s="425">
        <f t="shared" si="39"/>
        <v>0.5188593189997458</v>
      </c>
      <c r="W113" s="424">
        <f t="shared" si="40"/>
        <v>20.23193407487582</v>
      </c>
      <c r="X113" s="423">
        <f t="shared" si="41"/>
        <v>6.8628424563017529E-2</v>
      </c>
      <c r="Y113" s="420">
        <f t="shared" si="43"/>
        <v>1.0723745686323487</v>
      </c>
      <c r="Z113" s="422" t="s">
        <v>148</v>
      </c>
      <c r="AA113" s="421">
        <v>72.430480642527854</v>
      </c>
      <c r="AB113" s="421">
        <v>0.13807543872029401</v>
      </c>
      <c r="AC113" s="419">
        <v>-0.81264446840860405</v>
      </c>
      <c r="AD113" s="419">
        <v>0.36593569206438142</v>
      </c>
      <c r="AE113" s="420">
        <v>10.496516019019877</v>
      </c>
      <c r="AF113" s="419">
        <v>0.18916610214469443</v>
      </c>
      <c r="AG113" s="418">
        <v>4.0289999999999999</v>
      </c>
      <c r="AH113" s="417">
        <v>35.374963887450377</v>
      </c>
      <c r="AI113" s="272">
        <v>0.37515610764132173</v>
      </c>
      <c r="AJ113" s="271">
        <v>22.103830127482176</v>
      </c>
      <c r="AK113" s="416">
        <v>-11.607314108462299</v>
      </c>
      <c r="AL113" s="414">
        <v>107</v>
      </c>
    </row>
    <row r="114" spans="1:38" ht="19.5" customHeight="1">
      <c r="A114" s="293"/>
      <c r="B114" s="414">
        <v>108</v>
      </c>
      <c r="C114" s="422" t="s">
        <v>217</v>
      </c>
      <c r="D114" s="432">
        <v>44942</v>
      </c>
      <c r="E114" s="431">
        <v>1440</v>
      </c>
      <c r="F114" s="431">
        <v>30</v>
      </c>
      <c r="G114" s="430">
        <v>187.012</v>
      </c>
      <c r="H114" s="422">
        <v>0.67799999999999994</v>
      </c>
      <c r="I114" s="270">
        <v>293.75</v>
      </c>
      <c r="J114" s="417">
        <f t="shared" si="36"/>
        <v>20.589999999999975</v>
      </c>
      <c r="K114" s="419">
        <v>0.45152622230535366</v>
      </c>
      <c r="L114" s="419">
        <v>0</v>
      </c>
      <c r="M114" s="428">
        <v>6.6297147675004595</v>
      </c>
      <c r="N114" s="429">
        <v>8.5493869126394113</v>
      </c>
      <c r="O114" s="420">
        <v>0.15570531187674685</v>
      </c>
      <c r="P114" s="428">
        <v>2.5319127592187907</v>
      </c>
      <c r="Q114" s="419">
        <v>4.8518476484597381E-2</v>
      </c>
      <c r="R114" s="419">
        <v>1.859609678351211</v>
      </c>
      <c r="S114" s="419">
        <v>0.72744488897551995</v>
      </c>
      <c r="T114" s="427">
        <f t="shared" si="37"/>
        <v>0</v>
      </c>
      <c r="U114" s="426">
        <f t="shared" si="38"/>
        <v>2.8998768048631032</v>
      </c>
      <c r="V114" s="425">
        <f t="shared" si="39"/>
        <v>0.7754608412562416</v>
      </c>
      <c r="W114" s="424">
        <f t="shared" si="40"/>
        <v>20.953819017352092</v>
      </c>
      <c r="X114" s="423">
        <f t="shared" si="41"/>
        <v>0.11204531804029737</v>
      </c>
      <c r="Y114" s="420">
        <f t="shared" si="43"/>
        <v>1.1324024922476039</v>
      </c>
      <c r="Z114" s="422" t="s">
        <v>148</v>
      </c>
      <c r="AA114" s="421">
        <v>78.73780833251918</v>
      </c>
      <c r="AB114" s="421">
        <v>0.42960423863506531</v>
      </c>
      <c r="AC114" s="419">
        <v>-0.1351237041769715</v>
      </c>
      <c r="AD114" s="419">
        <v>0.24310739160184669</v>
      </c>
      <c r="AE114" s="420">
        <v>11.308765850907383</v>
      </c>
      <c r="AF114" s="419">
        <v>0.18403253389765714</v>
      </c>
      <c r="AG114" s="418">
        <v>12.09</v>
      </c>
      <c r="AH114" s="417">
        <v>34.774174468085107</v>
      </c>
      <c r="AI114" s="272">
        <v>0.17315879262256409</v>
      </c>
      <c r="AJ114" s="271">
        <v>28.752720402745098</v>
      </c>
      <c r="AK114" s="416">
        <v>-17.443954551837713</v>
      </c>
      <c r="AL114" s="414">
        <v>108</v>
      </c>
    </row>
    <row r="115" spans="1:38" ht="19.5" customHeight="1">
      <c r="A115" s="293"/>
      <c r="B115" s="414">
        <v>109</v>
      </c>
      <c r="C115" s="422" t="s">
        <v>218</v>
      </c>
      <c r="D115" s="432">
        <v>44950</v>
      </c>
      <c r="E115" s="431">
        <v>1440</v>
      </c>
      <c r="F115" s="431">
        <v>30</v>
      </c>
      <c r="G115" s="430">
        <v>234.28800000000004</v>
      </c>
      <c r="H115" s="422">
        <v>0.624</v>
      </c>
      <c r="I115" s="270">
        <v>295.34999999999997</v>
      </c>
      <c r="J115" s="417">
        <f t="shared" si="36"/>
        <v>22.189999999999941</v>
      </c>
      <c r="K115" s="419">
        <v>3.2117538469906846</v>
      </c>
      <c r="L115" s="419">
        <v>2.4341678022015575E-2</v>
      </c>
      <c r="M115" s="428">
        <v>9.5308480689997772</v>
      </c>
      <c r="N115" s="429">
        <v>17.48444289984479</v>
      </c>
      <c r="O115" s="420">
        <v>0.38326038235089416</v>
      </c>
      <c r="P115" s="428">
        <v>2.9512280077998652</v>
      </c>
      <c r="Q115" s="419">
        <v>6.5824224359506966E-2</v>
      </c>
      <c r="R115" s="419">
        <v>1.8308733876211079</v>
      </c>
      <c r="S115" s="419">
        <v>1.4059107971095901</v>
      </c>
      <c r="T115" s="427">
        <f t="shared" si="37"/>
        <v>2.5539886740184006E-3</v>
      </c>
      <c r="U115" s="426">
        <f t="shared" si="38"/>
        <v>8.380083084220697</v>
      </c>
      <c r="V115" s="425">
        <f t="shared" si="39"/>
        <v>0.54510447508078064</v>
      </c>
      <c r="W115" s="424">
        <f t="shared" si="40"/>
        <v>36.88848329309824</v>
      </c>
      <c r="X115" s="423">
        <f t="shared" si="41"/>
        <v>0.15744930723339751</v>
      </c>
      <c r="Y115" s="420">
        <f t="shared" si="43"/>
        <v>1.9454984962411486</v>
      </c>
      <c r="Z115" s="422" t="s">
        <v>148</v>
      </c>
      <c r="AA115" s="421">
        <v>77.220780953895499</v>
      </c>
      <c r="AB115" s="421">
        <v>0.28669897501990949</v>
      </c>
      <c r="AC115" s="419">
        <v>1.8353756177486158</v>
      </c>
      <c r="AD115" s="419">
        <v>0.19387255436361461</v>
      </c>
      <c r="AE115" s="420">
        <v>15.542223455268049</v>
      </c>
      <c r="AF115" s="419">
        <v>0.15026331648556154</v>
      </c>
      <c r="AG115" s="418">
        <v>453.4</v>
      </c>
      <c r="AH115" s="417">
        <v>34.544244828169973</v>
      </c>
      <c r="AI115" s="272">
        <v>6.4670101156152114E-3</v>
      </c>
      <c r="AJ115" s="271">
        <v>34.320846847429905</v>
      </c>
      <c r="AK115" s="416">
        <v>-18.778623392161855</v>
      </c>
      <c r="AL115" s="414">
        <v>109</v>
      </c>
    </row>
    <row r="116" spans="1:38" ht="19.5" customHeight="1">
      <c r="A116" s="293"/>
      <c r="B116" s="414">
        <v>110</v>
      </c>
      <c r="C116" s="422" t="s">
        <v>219</v>
      </c>
      <c r="D116" s="432">
        <v>44958</v>
      </c>
      <c r="E116" s="431">
        <v>1440</v>
      </c>
      <c r="F116" s="431">
        <v>30</v>
      </c>
      <c r="G116" s="430">
        <v>110.92</v>
      </c>
      <c r="H116" s="422">
        <v>0.66</v>
      </c>
      <c r="I116" s="270">
        <v>296.54999999999995</v>
      </c>
      <c r="J116" s="417">
        <f t="shared" si="36"/>
        <v>23.38999999999993</v>
      </c>
      <c r="K116" s="419">
        <v>0.34297396614222497</v>
      </c>
      <c r="L116" s="419">
        <v>5.0697988836263419E-2</v>
      </c>
      <c r="M116" s="428">
        <v>10.141524927215677</v>
      </c>
      <c r="N116" s="429">
        <v>10.814290763017144</v>
      </c>
      <c r="O116" s="420">
        <v>0.19538777642570132</v>
      </c>
      <c r="P116" s="428">
        <v>3.1166411638023366</v>
      </c>
      <c r="Q116" s="419">
        <v>9.3950882707267008E-2</v>
      </c>
      <c r="R116" s="419">
        <v>1.8534917912780495</v>
      </c>
      <c r="S116" s="419">
        <v>1.0871389815360191</v>
      </c>
      <c r="T116" s="427">
        <f t="shared" si="37"/>
        <v>4.9990498667720961E-3</v>
      </c>
      <c r="U116" s="426">
        <f t="shared" si="38"/>
        <v>1.7553501678373682</v>
      </c>
      <c r="V116" s="425">
        <f t="shared" si="39"/>
        <v>0.9377891855744992</v>
      </c>
      <c r="W116" s="424">
        <f t="shared" si="40"/>
        <v>27.696098240960687</v>
      </c>
      <c r="X116" s="423">
        <f t="shared" si="41"/>
        <v>0.24969435846520632</v>
      </c>
      <c r="Y116" s="420">
        <f t="shared" si="43"/>
        <v>1.2896614684584029</v>
      </c>
      <c r="Z116" s="422" t="s">
        <v>148</v>
      </c>
      <c r="AA116" s="421">
        <v>69.156400721688513</v>
      </c>
      <c r="AB116" s="421">
        <v>0.10952541284332416</v>
      </c>
      <c r="AC116" s="419">
        <v>-0.57145957408667059</v>
      </c>
      <c r="AD116" s="419">
        <v>0.12942462386527626</v>
      </c>
      <c r="AE116" s="420">
        <v>14.697944516474548</v>
      </c>
      <c r="AF116" s="419">
        <v>0.18322249238060703</v>
      </c>
      <c r="AG116" s="418">
        <v>7.0090000000000003</v>
      </c>
      <c r="AH116" s="417">
        <v>34.373425830382743</v>
      </c>
      <c r="AI116" s="272">
        <v>0.30705890921253898</v>
      </c>
      <c r="AJ116" s="271">
        <v>23.818759189007306</v>
      </c>
      <c r="AK116" s="416">
        <v>-9.1208146725327577</v>
      </c>
      <c r="AL116" s="414">
        <v>110</v>
      </c>
    </row>
    <row r="117" spans="1:38" ht="19.5" customHeight="1">
      <c r="A117" s="293"/>
      <c r="B117" s="414">
        <v>111</v>
      </c>
      <c r="C117" s="422" t="s">
        <v>220</v>
      </c>
      <c r="D117" s="432">
        <v>44966</v>
      </c>
      <c r="E117" s="431">
        <v>1440</v>
      </c>
      <c r="F117" s="431">
        <v>30</v>
      </c>
      <c r="G117" s="430">
        <v>200.89599999999999</v>
      </c>
      <c r="H117" s="422">
        <v>0.66099999999999992</v>
      </c>
      <c r="I117" s="270">
        <v>296.84999999999997</v>
      </c>
      <c r="J117" s="417">
        <f t="shared" si="36"/>
        <v>23.689999999999941</v>
      </c>
      <c r="K117" s="419">
        <v>0.4225638899355646</v>
      </c>
      <c r="L117" s="419">
        <v>0</v>
      </c>
      <c r="M117" s="428">
        <v>2.5132524607512274</v>
      </c>
      <c r="N117" s="429">
        <v>9.987007830968091</v>
      </c>
      <c r="O117" s="420">
        <v>0.29227226689547059</v>
      </c>
      <c r="P117" s="428">
        <v>2.1056832267327947</v>
      </c>
      <c r="Q117" s="419">
        <v>0.11932684293478403</v>
      </c>
      <c r="R117" s="419">
        <v>2.0991698981250488</v>
      </c>
      <c r="S117" s="419">
        <v>0.90828696849340806</v>
      </c>
      <c r="T117" s="427">
        <f t="shared" si="37"/>
        <v>0</v>
      </c>
      <c r="U117" s="426">
        <f t="shared" si="38"/>
        <v>1.4457885259660712</v>
      </c>
      <c r="V117" s="425">
        <f t="shared" si="39"/>
        <v>0.25165219686301227</v>
      </c>
      <c r="W117" s="424">
        <f t="shared" si="40"/>
        <v>18.447563384836389</v>
      </c>
      <c r="X117" s="423">
        <f t="shared" si="41"/>
        <v>9.1826434497632559E-2</v>
      </c>
      <c r="Y117" s="420">
        <f t="shared" si="43"/>
        <v>0.97308717935293276</v>
      </c>
      <c r="Z117" s="422" t="s">
        <v>148</v>
      </c>
      <c r="AA117" s="421">
        <v>68.859463844222049</v>
      </c>
      <c r="AB117" s="421">
        <v>0.15579186269301598</v>
      </c>
      <c r="AC117" s="419">
        <v>1.2272364069036532</v>
      </c>
      <c r="AD117" s="419">
        <v>0.19181639073123527</v>
      </c>
      <c r="AE117" s="420">
        <v>10.871714128490112</v>
      </c>
      <c r="AF117" s="419">
        <v>0.17629592812723285</v>
      </c>
      <c r="AG117" s="418">
        <v>49.49</v>
      </c>
      <c r="AH117" s="417">
        <v>34.330936870473309</v>
      </c>
      <c r="AI117" s="272">
        <v>4.0811228673521986E-2</v>
      </c>
      <c r="AJ117" s="271">
        <v>32.92984915527618</v>
      </c>
      <c r="AK117" s="416">
        <v>-22.058135026786069</v>
      </c>
      <c r="AL117" s="414">
        <v>111</v>
      </c>
    </row>
    <row r="118" spans="1:38" ht="19.5" customHeight="1">
      <c r="A118" s="293"/>
      <c r="B118" s="414">
        <v>112</v>
      </c>
      <c r="C118" s="319" t="s">
        <v>221</v>
      </c>
      <c r="D118" s="396">
        <v>44974</v>
      </c>
      <c r="E118" s="395">
        <v>1440</v>
      </c>
      <c r="F118" s="395">
        <v>30</v>
      </c>
      <c r="G118" s="184">
        <v>321.048</v>
      </c>
      <c r="H118" s="319">
        <v>0.629</v>
      </c>
      <c r="I118" s="394">
        <v>295.95</v>
      </c>
      <c r="J118" s="182">
        <f t="shared" si="36"/>
        <v>22.789999999999964</v>
      </c>
      <c r="K118" s="251">
        <v>1.6734301364225268</v>
      </c>
      <c r="L118" s="251">
        <v>6.816984246558315E-2</v>
      </c>
      <c r="M118" s="392">
        <v>4.6402198832038843</v>
      </c>
      <c r="N118" s="393">
        <v>9.1474630611242187</v>
      </c>
      <c r="O118" s="253">
        <v>0.34602801959400326</v>
      </c>
      <c r="P118" s="392">
        <v>2.0287051584511722</v>
      </c>
      <c r="Q118" s="251">
        <v>0.12540654693185713</v>
      </c>
      <c r="R118" s="251">
        <v>1.9761465710786696</v>
      </c>
      <c r="S118" s="251">
        <v>1.5527832310172047</v>
      </c>
      <c r="T118" s="391">
        <f t="shared" si="37"/>
        <v>1.4691080203405066E-2</v>
      </c>
      <c r="U118" s="390">
        <f t="shared" si="38"/>
        <v>4.8361116489525111</v>
      </c>
      <c r="V118" s="389">
        <f t="shared" si="39"/>
        <v>0.50726850190019823</v>
      </c>
      <c r="W118" s="388">
        <f t="shared" si="40"/>
        <v>21.558352450289117</v>
      </c>
      <c r="X118" s="387">
        <f t="shared" si="41"/>
        <v>6.7149935368820607E-2</v>
      </c>
      <c r="Y118" s="253">
        <f t="shared" si="43"/>
        <v>1.1371005650366233</v>
      </c>
      <c r="Z118" s="319" t="s">
        <v>148</v>
      </c>
      <c r="AA118" s="386">
        <v>72.009189052134545</v>
      </c>
      <c r="AB118" s="386">
        <v>0.16273927181352049</v>
      </c>
      <c r="AC118" s="251">
        <v>1.0259576100315215</v>
      </c>
      <c r="AD118" s="251">
        <v>6.667010024696661E-2</v>
      </c>
      <c r="AE118" s="253">
        <v>11.064679098538052</v>
      </c>
      <c r="AF118" s="251">
        <v>0.22894420851739694</v>
      </c>
      <c r="AG118" s="225">
        <v>24.22</v>
      </c>
      <c r="AH118" s="182">
        <v>34.458662172664305</v>
      </c>
      <c r="AI118" s="385">
        <v>7.7287818435417169E-2</v>
      </c>
      <c r="AJ118" s="181">
        <v>31.795427347136048</v>
      </c>
      <c r="AK118" s="261">
        <v>-20.730748248597997</v>
      </c>
      <c r="AL118" s="414">
        <v>112</v>
      </c>
    </row>
    <row r="119" spans="1:38" ht="19.5" customHeight="1">
      <c r="A119" s="293"/>
      <c r="B119" s="414">
        <v>113</v>
      </c>
      <c r="C119" s="319" t="s">
        <v>222</v>
      </c>
      <c r="D119" s="396">
        <v>44982</v>
      </c>
      <c r="E119" s="395">
        <v>1440</v>
      </c>
      <c r="F119" s="395">
        <v>30</v>
      </c>
      <c r="G119" s="184">
        <v>119.92400000000002</v>
      </c>
      <c r="H119" s="319">
        <v>0.624</v>
      </c>
      <c r="I119" s="394">
        <v>299.75</v>
      </c>
      <c r="J119" s="176">
        <f t="shared" si="36"/>
        <v>26.589999999999975</v>
      </c>
      <c r="K119" s="413">
        <v>0.18405878813585622</v>
      </c>
      <c r="L119" s="413">
        <v>2.2303053833843518E-2</v>
      </c>
      <c r="M119" s="412">
        <v>1.4611404450841223</v>
      </c>
      <c r="N119" s="411">
        <v>14.423630710240518</v>
      </c>
      <c r="O119" s="253">
        <v>0.29115552567185582</v>
      </c>
      <c r="P119" s="392">
        <v>2.2249510896036306</v>
      </c>
      <c r="Q119" s="251">
        <v>8.9828341494728153E-2</v>
      </c>
      <c r="R119" s="251">
        <v>1.5324688740311103</v>
      </c>
      <c r="S119" s="251">
        <v>0.59959022612593871</v>
      </c>
      <c r="T119" s="391">
        <f t="shared" si="37"/>
        <v>1.5264141040568802E-2</v>
      </c>
      <c r="U119" s="390">
        <f t="shared" si="38"/>
        <v>0.63216656359562962</v>
      </c>
      <c r="V119" s="389">
        <f t="shared" si="39"/>
        <v>0.10130184794919485</v>
      </c>
      <c r="W119" s="388">
        <f t="shared" si="40"/>
        <v>20.829127054221605</v>
      </c>
      <c r="X119" s="387">
        <f t="shared" si="41"/>
        <v>0.17368605995648578</v>
      </c>
      <c r="Y119" s="253">
        <f t="shared" si="43"/>
        <v>1.3990413181698147</v>
      </c>
      <c r="Z119" s="319" t="s">
        <v>148</v>
      </c>
      <c r="AA119" s="386">
        <v>69.413049829748957</v>
      </c>
      <c r="AB119" s="386">
        <v>0.45832815937816285</v>
      </c>
      <c r="AC119" s="251">
        <v>2.0100237284474058</v>
      </c>
      <c r="AD119" s="251">
        <v>9.4331115179137545E-2</v>
      </c>
      <c r="AE119" s="253">
        <v>2.5369711195361702</v>
      </c>
      <c r="AF119" s="251">
        <v>0.19002616277224982</v>
      </c>
      <c r="AG119" s="225">
        <v>128.69999999999999</v>
      </c>
      <c r="AH119" s="182">
        <v>33.924594995829857</v>
      </c>
      <c r="AI119" s="385">
        <v>1.6994095251415434E-2</v>
      </c>
      <c r="AJ119" s="181">
        <v>33.348077197105034</v>
      </c>
      <c r="AK119" s="261">
        <v>-30.811106077568866</v>
      </c>
      <c r="AL119" s="414">
        <v>113</v>
      </c>
    </row>
    <row r="120" spans="1:38" ht="19.5" customHeight="1">
      <c r="A120" s="293"/>
      <c r="B120" s="243">
        <v>114</v>
      </c>
      <c r="C120" s="400" t="s">
        <v>223</v>
      </c>
      <c r="D120" s="410">
        <v>44990</v>
      </c>
      <c r="E120" s="409">
        <v>1440</v>
      </c>
      <c r="F120" s="400">
        <v>30</v>
      </c>
      <c r="G120" s="191">
        <v>144.92400000000004</v>
      </c>
      <c r="H120" s="400">
        <v>0.56600000000000006</v>
      </c>
      <c r="I120" s="408">
        <v>300.95</v>
      </c>
      <c r="J120" s="189">
        <f t="shared" si="36"/>
        <v>27.789999999999964</v>
      </c>
      <c r="K120" s="248">
        <v>0.35266087278158542</v>
      </c>
      <c r="L120" s="248">
        <v>3.1176894069403101E-2</v>
      </c>
      <c r="M120" s="406">
        <v>2.8939153170937311</v>
      </c>
      <c r="N120" s="407">
        <v>7.4935168922253519</v>
      </c>
      <c r="O120" s="255">
        <v>0.29384912467473789</v>
      </c>
      <c r="P120" s="406">
        <v>1.6825206352983322</v>
      </c>
      <c r="Q120" s="248">
        <v>0.13654704781883562</v>
      </c>
      <c r="R120" s="248">
        <v>2.80867599581949</v>
      </c>
      <c r="S120" s="248">
        <v>0.85710208592292603</v>
      </c>
      <c r="T120" s="405">
        <f t="shared" si="37"/>
        <v>1.0773257214973755E-2</v>
      </c>
      <c r="U120" s="404">
        <f t="shared" si="38"/>
        <v>1.2001426690378825</v>
      </c>
      <c r="V120" s="403">
        <f t="shared" si="39"/>
        <v>0.38618920310918581</v>
      </c>
      <c r="W120" s="402">
        <f t="shared" si="40"/>
        <v>16.549964865704393</v>
      </c>
      <c r="X120" s="401">
        <f t="shared" si="41"/>
        <v>0.11419754399343372</v>
      </c>
      <c r="Y120" s="255">
        <f t="shared" si="43"/>
        <v>0.76266338659376531</v>
      </c>
      <c r="Z120" s="400" t="s">
        <v>148</v>
      </c>
      <c r="AA120" s="399">
        <v>72.049177386990024</v>
      </c>
      <c r="AB120" s="399">
        <v>0.37939131556534234</v>
      </c>
      <c r="AC120" s="248">
        <v>1.6373539751021837</v>
      </c>
      <c r="AD120" s="248">
        <v>7.7835377941751341E-2</v>
      </c>
      <c r="AE120" s="255">
        <v>14.246209309651498</v>
      </c>
      <c r="AF120" s="248">
        <v>0.16161223595352225</v>
      </c>
      <c r="AG120" s="284">
        <v>131.30000000000001</v>
      </c>
      <c r="AH120" s="189">
        <v>33.758744210001666</v>
      </c>
      <c r="AI120" s="398">
        <v>1.2608966684879578E-2</v>
      </c>
      <c r="AJ120" s="188">
        <v>33.333081328934384</v>
      </c>
      <c r="AK120" s="285">
        <v>-19.086872019282886</v>
      </c>
      <c r="AL120" s="243">
        <v>114</v>
      </c>
    </row>
    <row r="121" spans="1:38" ht="19.5" customHeight="1">
      <c r="A121" s="293"/>
      <c r="B121" s="397">
        <v>115</v>
      </c>
      <c r="C121" s="319" t="s">
        <v>224</v>
      </c>
      <c r="D121" s="396">
        <v>44998</v>
      </c>
      <c r="E121" s="395">
        <v>1440</v>
      </c>
      <c r="F121" s="319">
        <v>30</v>
      </c>
      <c r="G121" s="184">
        <v>159.77199999999999</v>
      </c>
      <c r="H121" s="319">
        <v>0.55200000000000005</v>
      </c>
      <c r="I121" s="394">
        <v>301.95</v>
      </c>
      <c r="J121" s="182">
        <f t="shared" si="36"/>
        <v>28.789999999999964</v>
      </c>
      <c r="K121" s="251">
        <v>0.57387926999302075</v>
      </c>
      <c r="L121" s="251">
        <v>2.0847771110239156E-2</v>
      </c>
      <c r="M121" s="392">
        <v>2.6101322547015084</v>
      </c>
      <c r="N121" s="393">
        <v>9.7940286505618257</v>
      </c>
      <c r="O121" s="253">
        <v>0.28890886280245898</v>
      </c>
      <c r="P121" s="392">
        <v>2.1526908911897178</v>
      </c>
      <c r="Q121" s="251">
        <v>0.11245090689369919</v>
      </c>
      <c r="R121" s="251">
        <v>2.0447226835932892</v>
      </c>
      <c r="S121" s="251">
        <v>1.1987280709982411</v>
      </c>
      <c r="T121" s="391">
        <f t="shared" si="37"/>
        <v>7.9872470342018283E-3</v>
      </c>
      <c r="U121" s="390">
        <f t="shared" si="38"/>
        <v>1.9863678269552079</v>
      </c>
      <c r="V121" s="389">
        <f t="shared" si="39"/>
        <v>0.26650241160482829</v>
      </c>
      <c r="W121" s="388">
        <f t="shared" si="40"/>
        <v>18.796389361844</v>
      </c>
      <c r="X121" s="387">
        <f t="shared" si="41"/>
        <v>0.11764507774731493</v>
      </c>
      <c r="Y121" s="253">
        <f t="shared" si="43"/>
        <v>0.95815166800276097</v>
      </c>
      <c r="Z121" s="319" t="s">
        <v>148</v>
      </c>
      <c r="AA121" s="386">
        <v>70.499659358086987</v>
      </c>
      <c r="AB121" s="386">
        <v>8.3026007566974237E-3</v>
      </c>
      <c r="AC121" s="251">
        <v>1.7773787802179291</v>
      </c>
      <c r="AD121" s="251">
        <v>0.13828472633389713</v>
      </c>
      <c r="AE121" s="253">
        <v>10.714857709609797</v>
      </c>
      <c r="AF121" s="251">
        <v>0.16944825558055993</v>
      </c>
      <c r="AG121" s="225">
        <v>85.85</v>
      </c>
      <c r="AH121" s="182">
        <v>33.621542208975001</v>
      </c>
      <c r="AI121" s="385">
        <v>2.4297046407455097E-2</v>
      </c>
      <c r="AJ121" s="181">
        <v>32.804638037633325</v>
      </c>
      <c r="AK121" s="261">
        <v>-22.089780328023529</v>
      </c>
      <c r="AL121" s="397">
        <v>115</v>
      </c>
    </row>
    <row r="122" spans="1:38" ht="19.5" customHeight="1">
      <c r="A122" s="293"/>
      <c r="B122" s="397">
        <v>116</v>
      </c>
      <c r="C122" s="319" t="s">
        <v>225</v>
      </c>
      <c r="D122" s="396">
        <v>45006</v>
      </c>
      <c r="E122" s="395">
        <v>1440</v>
      </c>
      <c r="F122" s="319">
        <v>30</v>
      </c>
      <c r="G122" s="184">
        <v>64.244000000000028</v>
      </c>
      <c r="H122" s="319">
        <v>0.68099999999999994</v>
      </c>
      <c r="I122" s="394">
        <v>298.95</v>
      </c>
      <c r="J122" s="182">
        <f t="shared" si="36"/>
        <v>25.789999999999964</v>
      </c>
      <c r="K122" s="251">
        <v>0.64881857116090647</v>
      </c>
      <c r="L122" s="251">
        <v>1.719264240909333E-2</v>
      </c>
      <c r="M122" s="392">
        <v>0.90801177013111012</v>
      </c>
      <c r="N122" s="393">
        <v>4.4803237266718297</v>
      </c>
      <c r="O122" s="253">
        <v>0.12461490048920942</v>
      </c>
      <c r="P122" s="392">
        <v>0.8529610290740226</v>
      </c>
      <c r="Q122" s="251">
        <v>3.1701474359242671E-2</v>
      </c>
      <c r="R122" s="251">
        <v>0.6474827122301624</v>
      </c>
      <c r="S122" s="251">
        <v>0.35834764123244051</v>
      </c>
      <c r="T122" s="391">
        <f t="shared" si="37"/>
        <v>1.8934382763134052E-2</v>
      </c>
      <c r="U122" s="390">
        <f t="shared" si="38"/>
        <v>5.2065890083272066</v>
      </c>
      <c r="V122" s="389">
        <f t="shared" si="39"/>
        <v>0.20266655392011571</v>
      </c>
      <c r="W122" s="388">
        <f t="shared" si="40"/>
        <v>8.0694544677580176</v>
      </c>
      <c r="X122" s="387">
        <f t="shared" si="41"/>
        <v>0.12560635184232014</v>
      </c>
      <c r="Y122" s="253">
        <f t="shared" si="43"/>
        <v>1.3082675568582627</v>
      </c>
      <c r="Z122" s="319" t="s">
        <v>148</v>
      </c>
      <c r="AA122" s="386">
        <v>65.913381075843986</v>
      </c>
      <c r="AB122" s="386">
        <v>0.21218949478083768</v>
      </c>
      <c r="AC122" s="251">
        <v>1.6503739140236098</v>
      </c>
      <c r="AD122" s="251">
        <v>0.10395664350966885</v>
      </c>
      <c r="AE122" s="253">
        <v>13.978387053283319</v>
      </c>
      <c r="AF122" s="251">
        <v>0.14288915177965192</v>
      </c>
      <c r="AG122" s="225">
        <v>8.0630000000000006</v>
      </c>
      <c r="AH122" s="182">
        <v>34.035901889948157</v>
      </c>
      <c r="AI122" s="385">
        <v>9.5069705108643404E-2</v>
      </c>
      <c r="AJ122" s="181">
        <v>30.800118734164066</v>
      </c>
      <c r="AK122" s="261">
        <v>-16.821731680880745</v>
      </c>
      <c r="AL122" s="397">
        <v>116</v>
      </c>
    </row>
    <row r="123" spans="1:38" ht="19.5" customHeight="1">
      <c r="A123" s="293"/>
      <c r="B123" s="397">
        <v>117</v>
      </c>
      <c r="C123" s="319" t="s">
        <v>226</v>
      </c>
      <c r="D123" s="396">
        <v>45014</v>
      </c>
      <c r="E123" s="395">
        <v>1440</v>
      </c>
      <c r="F123" s="319">
        <v>30</v>
      </c>
      <c r="G123" s="184">
        <v>90.29200000000003</v>
      </c>
      <c r="H123" s="319">
        <v>0.75599999999999989</v>
      </c>
      <c r="I123" s="394">
        <v>299.64999999999998</v>
      </c>
      <c r="J123" s="182">
        <f t="shared" si="36"/>
        <v>26.489999999999952</v>
      </c>
      <c r="K123" s="251">
        <v>1.4143690305520442</v>
      </c>
      <c r="L123" s="251">
        <v>3.4943707258639503E-2</v>
      </c>
      <c r="M123" s="392">
        <v>1.1587636973029314</v>
      </c>
      <c r="N123" s="393">
        <v>5.8524962783838808</v>
      </c>
      <c r="O123" s="253">
        <v>0.21569960579871009</v>
      </c>
      <c r="P123" s="392">
        <v>0.80009761276329416</v>
      </c>
      <c r="Q123" s="251">
        <v>3.8147162334576205E-2</v>
      </c>
      <c r="R123" s="251">
        <v>1.1638571593651963</v>
      </c>
      <c r="S123" s="251">
        <v>0.55812537167335274</v>
      </c>
      <c r="T123" s="391">
        <f t="shared" si="37"/>
        <v>3.0156025201663092E-2</v>
      </c>
      <c r="U123" s="390">
        <f t="shared" si="38"/>
        <v>6.5571238543288164</v>
      </c>
      <c r="V123" s="389">
        <f t="shared" si="39"/>
        <v>0.19799477730260334</v>
      </c>
      <c r="W123" s="388">
        <f t="shared" si="40"/>
        <v>11.236499625432623</v>
      </c>
      <c r="X123" s="387">
        <f t="shared" si="41"/>
        <v>0.12444623693608094</v>
      </c>
      <c r="Y123" s="253">
        <f t="shared" si="43"/>
        <v>1.4039095812450928</v>
      </c>
      <c r="Z123" s="319" t="s">
        <v>148</v>
      </c>
      <c r="AA123" s="386">
        <v>67.602529499493258</v>
      </c>
      <c r="AB123" s="386">
        <v>0.17582253387882407</v>
      </c>
      <c r="AC123" s="251">
        <v>2.0108329574106985</v>
      </c>
      <c r="AD123" s="251">
        <v>0.14935878753984691</v>
      </c>
      <c r="AE123" s="253">
        <v>14.153818752078365</v>
      </c>
      <c r="AF123" s="251">
        <v>0.2298306385424897</v>
      </c>
      <c r="AG123" s="225">
        <v>7.0439999999999996</v>
      </c>
      <c r="AH123" s="182">
        <v>33.938475855164363</v>
      </c>
      <c r="AI123" s="385">
        <v>0.10168290322193113</v>
      </c>
      <c r="AJ123" s="181">
        <v>30.487513099283841</v>
      </c>
      <c r="AK123" s="261">
        <v>-16.333694347205476</v>
      </c>
      <c r="AL123" s="397">
        <v>117</v>
      </c>
    </row>
    <row r="124" spans="1:38" ht="19.5" customHeight="1">
      <c r="A124" s="293"/>
      <c r="B124" s="397">
        <v>118</v>
      </c>
      <c r="C124" s="319" t="s">
        <v>227</v>
      </c>
      <c r="D124" s="396">
        <v>45022</v>
      </c>
      <c r="E124" s="395">
        <v>1440</v>
      </c>
      <c r="F124" s="319">
        <v>30</v>
      </c>
      <c r="G124" s="184">
        <v>109.86399999999999</v>
      </c>
      <c r="H124" s="319">
        <v>0.59399999999999997</v>
      </c>
      <c r="I124" s="394">
        <v>302.95</v>
      </c>
      <c r="J124" s="182">
        <f t="shared" si="36"/>
        <v>29.789999999999964</v>
      </c>
      <c r="K124" s="251">
        <v>2.1434076911736959</v>
      </c>
      <c r="L124" s="251">
        <v>2.238766329451819E-2</v>
      </c>
      <c r="M124" s="392">
        <v>3.0910345015290153</v>
      </c>
      <c r="N124" s="393">
        <v>6.9710122498882585</v>
      </c>
      <c r="O124" s="253">
        <v>0.39478060385991398</v>
      </c>
      <c r="P124" s="392">
        <v>1.49546550598573</v>
      </c>
      <c r="Q124" s="251">
        <v>0.11663449898935435</v>
      </c>
      <c r="R124" s="251">
        <v>1.6703651776833481</v>
      </c>
      <c r="S124" s="251">
        <v>1.188688291585162</v>
      </c>
      <c r="T124" s="391">
        <f t="shared" si="37"/>
        <v>7.2427736679884606E-3</v>
      </c>
      <c r="U124" s="390">
        <f t="shared" si="38"/>
        <v>5.4293642347592987</v>
      </c>
      <c r="V124" s="389">
        <f t="shared" si="39"/>
        <v>0.44341257635554476</v>
      </c>
      <c r="W124" s="388">
        <f t="shared" si="40"/>
        <v>17.093776183988993</v>
      </c>
      <c r="X124" s="387">
        <f t="shared" si="41"/>
        <v>0.15559033153707305</v>
      </c>
      <c r="Y124" s="253">
        <f t="shared" si="43"/>
        <v>1.1467702313932859</v>
      </c>
      <c r="Z124" s="319" t="s">
        <v>148</v>
      </c>
      <c r="AA124" s="386">
        <v>71.043068858718044</v>
      </c>
      <c r="AB124" s="386">
        <v>0.24594624786648836</v>
      </c>
      <c r="AC124" s="251">
        <v>1.2576889339201427</v>
      </c>
      <c r="AD124" s="251">
        <v>0.21371433944853227</v>
      </c>
      <c r="AE124" s="253">
        <v>11.15919444795847</v>
      </c>
      <c r="AF124" s="251">
        <v>0.14433198470185343</v>
      </c>
      <c r="AG124" s="225">
        <v>69.69</v>
      </c>
      <c r="AH124" s="182">
        <v>33.485245981185017</v>
      </c>
      <c r="AI124" s="385">
        <v>2.0936847353833762E-2</v>
      </c>
      <c r="AJ124" s="181">
        <v>32.784170497471372</v>
      </c>
      <c r="AK124" s="261">
        <v>-21.624976049512902</v>
      </c>
      <c r="AL124" s="397">
        <v>118</v>
      </c>
    </row>
    <row r="125" spans="1:38" ht="19.5" customHeight="1">
      <c r="A125" s="293"/>
      <c r="B125" s="397">
        <v>119</v>
      </c>
      <c r="C125" s="319" t="s">
        <v>228</v>
      </c>
      <c r="D125" s="396">
        <v>45032</v>
      </c>
      <c r="E125" s="395">
        <v>1440</v>
      </c>
      <c r="F125" s="319">
        <v>30</v>
      </c>
      <c r="G125" s="184">
        <v>111.19200000000001</v>
      </c>
      <c r="H125" s="319">
        <v>0.498</v>
      </c>
      <c r="I125" s="394">
        <v>306.64999999999998</v>
      </c>
      <c r="J125" s="182">
        <f t="shared" si="36"/>
        <v>33.489999999999952</v>
      </c>
      <c r="K125" s="251">
        <v>0.81000234556993578</v>
      </c>
      <c r="L125" s="251">
        <v>0</v>
      </c>
      <c r="M125" s="392">
        <v>1.8996804323994512</v>
      </c>
      <c r="N125" s="393">
        <v>5.5040108524063269</v>
      </c>
      <c r="O125" s="253">
        <v>0.22237469081289574</v>
      </c>
      <c r="P125" s="392">
        <v>1.4097865116553778</v>
      </c>
      <c r="Q125" s="251">
        <v>9.0194646793426078E-2</v>
      </c>
      <c r="R125" s="251">
        <v>1.1431357785066523</v>
      </c>
      <c r="S125" s="251">
        <v>0.83211419049481672</v>
      </c>
      <c r="T125" s="391">
        <f t="shared" si="37"/>
        <v>0</v>
      </c>
      <c r="U125" s="390">
        <f t="shared" si="38"/>
        <v>3.6425113964586249</v>
      </c>
      <c r="V125" s="389">
        <f t="shared" si="39"/>
        <v>0.34514474686562802</v>
      </c>
      <c r="W125" s="388">
        <f t="shared" si="40"/>
        <v>11.911299448638882</v>
      </c>
      <c r="X125" s="387">
        <f t="shared" si="41"/>
        <v>0.10712370897761422</v>
      </c>
      <c r="Y125" s="253">
        <f t="shared" si="43"/>
        <v>0.96810684007836989</v>
      </c>
      <c r="Z125" s="319" t="s">
        <v>148</v>
      </c>
      <c r="AA125" s="386">
        <v>71.647462665214732</v>
      </c>
      <c r="AB125" s="386">
        <v>0.3114533724009021</v>
      </c>
      <c r="AC125" s="251">
        <v>1.8170024136796543</v>
      </c>
      <c r="AD125" s="251">
        <v>0.18669795057644967</v>
      </c>
      <c r="AE125" s="253">
        <v>10.670963345092296</v>
      </c>
      <c r="AF125" s="251">
        <v>0.13819455230979244</v>
      </c>
      <c r="AG125" s="225">
        <v>97.97</v>
      </c>
      <c r="AH125" s="182">
        <v>32.988679243437147</v>
      </c>
      <c r="AI125" s="385">
        <v>1.41858476571595E-2</v>
      </c>
      <c r="AJ125" s="181">
        <v>32.520706865278846</v>
      </c>
      <c r="AK125" s="261">
        <v>-21.84974352018655</v>
      </c>
      <c r="AL125" s="397">
        <v>119</v>
      </c>
    </row>
    <row r="126" spans="1:38" ht="19.5" customHeight="1">
      <c r="A126" s="293"/>
      <c r="B126" s="384" t="s">
        <v>170</v>
      </c>
      <c r="C126" s="377"/>
      <c r="D126" s="383"/>
      <c r="E126" s="381"/>
      <c r="F126" s="377"/>
      <c r="G126" s="382"/>
      <c r="H126" s="381"/>
      <c r="I126" s="377"/>
      <c r="J126" s="377"/>
      <c r="K126" s="374"/>
      <c r="L126" s="374"/>
      <c r="M126" s="380"/>
      <c r="N126" s="379"/>
      <c r="O126" s="375"/>
      <c r="P126" s="380"/>
      <c r="Q126" s="374"/>
      <c r="R126" s="374"/>
      <c r="S126" s="379"/>
      <c r="T126" s="374"/>
      <c r="U126" s="374"/>
      <c r="V126" s="374"/>
      <c r="W126" s="375"/>
      <c r="X126" s="374"/>
      <c r="Y126" s="378"/>
      <c r="Z126" s="377"/>
      <c r="AA126" s="376"/>
      <c r="AB126" s="376"/>
      <c r="AC126" s="374"/>
      <c r="AD126" s="374"/>
      <c r="AE126" s="375"/>
      <c r="AF126" s="374"/>
      <c r="AG126" s="373"/>
      <c r="AH126" s="372"/>
      <c r="AI126" s="371"/>
      <c r="AJ126" s="370"/>
      <c r="AK126" s="369"/>
      <c r="AL126" s="384" t="s">
        <v>170</v>
      </c>
    </row>
    <row r="127" spans="1:38" ht="19.5" customHeight="1">
      <c r="B127" s="449" t="s">
        <v>146</v>
      </c>
      <c r="C127" s="448"/>
      <c r="D127" s="440"/>
      <c r="E127" s="447"/>
      <c r="F127" s="446"/>
      <c r="G127" s="445"/>
      <c r="H127" s="435"/>
      <c r="I127" s="445"/>
      <c r="J127" s="537"/>
      <c r="K127" s="438"/>
      <c r="L127" s="438"/>
      <c r="M127" s="443"/>
      <c r="N127" s="443"/>
      <c r="O127" s="443"/>
      <c r="P127" s="443"/>
      <c r="Q127" s="443"/>
      <c r="R127" s="443"/>
      <c r="S127" s="443"/>
      <c r="T127" s="442"/>
      <c r="U127" s="443"/>
      <c r="V127" s="443"/>
      <c r="W127" s="443"/>
      <c r="X127" s="442"/>
      <c r="Y127" s="441"/>
      <c r="Z127" s="440"/>
      <c r="AA127" s="438"/>
      <c r="AB127" s="438"/>
      <c r="AC127" s="438"/>
      <c r="AD127" s="439"/>
      <c r="AE127" s="438"/>
      <c r="AF127" s="438"/>
      <c r="AG127" s="437"/>
      <c r="AH127" s="435"/>
      <c r="AI127" s="436"/>
      <c r="AJ127" s="435"/>
      <c r="AK127" s="434"/>
      <c r="AL127" s="449" t="s">
        <v>146</v>
      </c>
    </row>
    <row r="128" spans="1:38" ht="19.5" customHeight="1">
      <c r="A128" s="293"/>
      <c r="B128" s="332">
        <v>121</v>
      </c>
      <c r="C128" s="335" t="s">
        <v>58</v>
      </c>
      <c r="D128" s="367">
        <v>45050</v>
      </c>
      <c r="E128" s="329">
        <v>1440</v>
      </c>
      <c r="F128" s="328">
        <v>30</v>
      </c>
      <c r="G128" s="531">
        <v>56.333333333333336</v>
      </c>
      <c r="H128" s="524">
        <v>0.7</v>
      </c>
      <c r="I128" s="254">
        <f t="shared" ref="I128:I144" si="44">J128+273.16</f>
        <v>301.46000000000004</v>
      </c>
      <c r="J128" s="526">
        <v>28.3</v>
      </c>
      <c r="K128" s="327">
        <v>0.12554409088228352</v>
      </c>
      <c r="L128" s="325">
        <v>0</v>
      </c>
      <c r="M128" s="326">
        <v>0.60769220570889348</v>
      </c>
      <c r="N128" s="324">
        <v>7.7142260099374855</v>
      </c>
      <c r="O128" s="344">
        <v>0.10734854446803489</v>
      </c>
      <c r="P128" s="343">
        <v>2.012785607189195</v>
      </c>
      <c r="Q128" s="342">
        <v>3.5072344008020749E-2</v>
      </c>
      <c r="R128" s="342">
        <v>0.49557465115593291</v>
      </c>
      <c r="S128" s="341">
        <v>0.35493785851615939</v>
      </c>
      <c r="T128" s="323">
        <f t="shared" ref="T128:T144" si="45">L128/M128</f>
        <v>0</v>
      </c>
      <c r="U128" s="322">
        <f t="shared" ref="U128:U144" si="46">K128/O128</f>
        <v>1.169499703087886</v>
      </c>
      <c r="V128" s="321">
        <f t="shared" ref="V128:V144" si="47">M128/N128</f>
        <v>7.8775525234296068E-2</v>
      </c>
      <c r="W128" s="253">
        <f t="shared" ref="W128:W144" si="48">SUM(K128:S128)</f>
        <v>11.453181311866006</v>
      </c>
      <c r="X128" s="320">
        <f t="shared" ref="X128:X144" si="49">W128/G128</f>
        <v>0.20331091086152672</v>
      </c>
      <c r="Y128" s="199">
        <v>1.1357570474394212</v>
      </c>
      <c r="Z128" s="319" t="s">
        <v>148</v>
      </c>
      <c r="AA128" s="293"/>
      <c r="AB128" s="293"/>
      <c r="AC128" s="293"/>
      <c r="AD128" s="293"/>
      <c r="AE128" s="225">
        <v>15.510879545193626</v>
      </c>
      <c r="AF128" s="261">
        <v>9.637035441246776E-2</v>
      </c>
      <c r="AG128" s="293">
        <v>3.0249999999999999</v>
      </c>
      <c r="AH128" s="189">
        <v>33.690029424448504</v>
      </c>
      <c r="AI128" s="318">
        <v>0.39654311254372604</v>
      </c>
      <c r="AJ128" s="182">
        <v>20.330480294787982</v>
      </c>
      <c r="AK128" s="317">
        <v>-4.8196007495943558</v>
      </c>
      <c r="AL128" s="332">
        <v>121</v>
      </c>
    </row>
    <row r="129" spans="1:38" ht="19.5" customHeight="1">
      <c r="A129" s="293"/>
      <c r="B129" s="332">
        <v>122</v>
      </c>
      <c r="C129" s="335" t="s">
        <v>59</v>
      </c>
      <c r="D129" s="334">
        <v>45058</v>
      </c>
      <c r="E129" s="329">
        <v>1440</v>
      </c>
      <c r="F129" s="328">
        <v>30</v>
      </c>
      <c r="G129" s="532">
        <v>111.16666666666667</v>
      </c>
      <c r="H129" s="524">
        <v>0.59399999999999997</v>
      </c>
      <c r="I129" s="251">
        <f t="shared" si="44"/>
        <v>304.56</v>
      </c>
      <c r="J129" s="526">
        <v>31.4</v>
      </c>
      <c r="K129" s="327">
        <v>0.66633514057370291</v>
      </c>
      <c r="L129" s="325">
        <v>0</v>
      </c>
      <c r="M129" s="326">
        <v>1.4347199964841317</v>
      </c>
      <c r="N129" s="324">
        <v>1.9307123714551353</v>
      </c>
      <c r="O129" s="344">
        <v>0.27162406151902135</v>
      </c>
      <c r="P129" s="343">
        <v>0.38481944633746873</v>
      </c>
      <c r="Q129" s="342">
        <v>0.14667101327111748</v>
      </c>
      <c r="R129" s="342">
        <v>1.0000406074250039</v>
      </c>
      <c r="S129" s="341">
        <v>0.32864914358073161</v>
      </c>
      <c r="T129" s="323">
        <f t="shared" si="45"/>
        <v>0</v>
      </c>
      <c r="U129" s="322">
        <f t="shared" si="46"/>
        <v>2.4531521134295411</v>
      </c>
      <c r="V129" s="321">
        <f t="shared" si="47"/>
        <v>0.74310395359553993</v>
      </c>
      <c r="W129" s="253">
        <f t="shared" si="48"/>
        <v>6.1635717806463122</v>
      </c>
      <c r="X129" s="320">
        <f t="shared" si="49"/>
        <v>5.5444423813909849E-2</v>
      </c>
      <c r="Y129" s="199">
        <v>0.79354655663278761</v>
      </c>
      <c r="Z129" s="319" t="s">
        <v>148</v>
      </c>
      <c r="AA129" s="293"/>
      <c r="AB129" s="293"/>
      <c r="AC129" s="293"/>
      <c r="AD129" s="293"/>
      <c r="AE129" s="225">
        <v>14.936614246103128</v>
      </c>
      <c r="AF129" s="261">
        <v>0.12588952559324748</v>
      </c>
      <c r="AG129" s="293">
        <v>37.369999999999997</v>
      </c>
      <c r="AH129" s="182">
        <v>33.269033754720084</v>
      </c>
      <c r="AI129" s="318">
        <v>3.9640277944210273E-4</v>
      </c>
      <c r="AJ129" s="182">
        <v>33.255845817270362</v>
      </c>
      <c r="AK129" s="317">
        <v>-18.319231571167236</v>
      </c>
      <c r="AL129" s="332">
        <v>122</v>
      </c>
    </row>
    <row r="130" spans="1:38" ht="19.5" customHeight="1">
      <c r="A130" s="293"/>
      <c r="B130" s="332">
        <v>123</v>
      </c>
      <c r="C130" s="335" t="s">
        <v>60</v>
      </c>
      <c r="D130" s="334">
        <v>45066</v>
      </c>
      <c r="E130" s="329">
        <v>1440</v>
      </c>
      <c r="F130" s="328">
        <v>30</v>
      </c>
      <c r="G130" s="532">
        <v>57.583333333333336</v>
      </c>
      <c r="H130" s="524">
        <v>0.64</v>
      </c>
      <c r="I130" s="251">
        <f t="shared" si="44"/>
        <v>303.56</v>
      </c>
      <c r="J130" s="526">
        <v>30.4</v>
      </c>
      <c r="K130" s="327">
        <v>0.10452389048229276</v>
      </c>
      <c r="L130" s="325">
        <v>0</v>
      </c>
      <c r="M130" s="326">
        <v>0.48241379571579046</v>
      </c>
      <c r="N130" s="324">
        <v>7.3911939804859488</v>
      </c>
      <c r="O130" s="344">
        <v>0.22402338133491753</v>
      </c>
      <c r="P130" s="343">
        <v>1.6899104738244808</v>
      </c>
      <c r="Q130" s="342">
        <v>7.5765297518062172E-2</v>
      </c>
      <c r="R130" s="342">
        <v>0.38091526472340348</v>
      </c>
      <c r="S130" s="341">
        <v>0.33402473893756846</v>
      </c>
      <c r="T130" s="323">
        <f t="shared" si="45"/>
        <v>0</v>
      </c>
      <c r="U130" s="322">
        <f t="shared" si="46"/>
        <v>0.4665758094510159</v>
      </c>
      <c r="V130" s="321">
        <f t="shared" si="47"/>
        <v>6.5268723428102096E-2</v>
      </c>
      <c r="W130" s="253">
        <f t="shared" si="48"/>
        <v>10.682770823022466</v>
      </c>
      <c r="X130" s="320">
        <f t="shared" si="49"/>
        <v>0.18551845134047698</v>
      </c>
      <c r="Y130" s="199">
        <v>1.1977641888046748</v>
      </c>
      <c r="Z130" s="319" t="s">
        <v>148</v>
      </c>
      <c r="AA130" s="293"/>
      <c r="AB130" s="293"/>
      <c r="AC130" s="293"/>
      <c r="AD130" s="293"/>
      <c r="AE130" s="225">
        <v>16.128707629492784</v>
      </c>
      <c r="AF130" s="261">
        <v>7.8699631032389444E-2</v>
      </c>
      <c r="AG130" s="293">
        <v>17.829999999999998</v>
      </c>
      <c r="AH130" s="182">
        <v>33.403899291714716</v>
      </c>
      <c r="AI130" s="318">
        <v>9.4460077728490743E-2</v>
      </c>
      <c r="AJ130" s="182">
        <v>30.248564368184667</v>
      </c>
      <c r="AK130" s="317">
        <v>-14.119856738691883</v>
      </c>
      <c r="AL130" s="332">
        <v>123</v>
      </c>
    </row>
    <row r="131" spans="1:38" ht="19.5" customHeight="1">
      <c r="A131" s="293"/>
      <c r="B131" s="332">
        <v>124</v>
      </c>
      <c r="C131" s="335" t="s">
        <v>61</v>
      </c>
      <c r="D131" s="334">
        <v>45074</v>
      </c>
      <c r="E131" s="329">
        <v>1440</v>
      </c>
      <c r="F131" s="328">
        <v>50</v>
      </c>
      <c r="G131" s="532">
        <v>95.25</v>
      </c>
      <c r="H131" s="524">
        <v>0.65200000000000002</v>
      </c>
      <c r="I131" s="251">
        <f t="shared" si="44"/>
        <v>302.66000000000003</v>
      </c>
      <c r="J131" s="526">
        <v>29.5</v>
      </c>
      <c r="K131" s="327">
        <v>0.21295602176220804</v>
      </c>
      <c r="L131" s="325">
        <v>0</v>
      </c>
      <c r="M131" s="326">
        <v>1.0030738195918849</v>
      </c>
      <c r="N131" s="324">
        <v>5.9935679681233767</v>
      </c>
      <c r="O131" s="344">
        <v>0.10835254659117716</v>
      </c>
      <c r="P131" s="343">
        <v>2.3498231437249348</v>
      </c>
      <c r="Q131" s="342">
        <v>3.9536567734135407E-2</v>
      </c>
      <c r="R131" s="342">
        <v>0.87563328025477705</v>
      </c>
      <c r="S131" s="341">
        <v>0.35465976586459064</v>
      </c>
      <c r="T131" s="323">
        <f t="shared" si="45"/>
        <v>0</v>
      </c>
      <c r="U131" s="322">
        <f t="shared" si="46"/>
        <v>1.9653993234299161</v>
      </c>
      <c r="V131" s="321">
        <f t="shared" si="47"/>
        <v>0.16735837900340914</v>
      </c>
      <c r="W131" s="253">
        <f t="shared" si="48"/>
        <v>10.937603113647084</v>
      </c>
      <c r="X131" s="320">
        <f t="shared" si="49"/>
        <v>0.11483047888343395</v>
      </c>
      <c r="Y131" s="199">
        <v>0.76859127471505251</v>
      </c>
      <c r="Z131" s="319" t="s">
        <v>148</v>
      </c>
      <c r="AA131" s="293"/>
      <c r="AB131" s="293"/>
      <c r="AC131" s="293"/>
      <c r="AD131" s="293"/>
      <c r="AE131" s="225">
        <v>15.132033548628074</v>
      </c>
      <c r="AF131" s="261">
        <v>5.3777518525457556E-2</v>
      </c>
      <c r="AG131" s="293">
        <v>111.1</v>
      </c>
      <c r="AH131" s="182">
        <v>33.526040277548326</v>
      </c>
      <c r="AI131" s="318">
        <v>1.1124389062242552E-2</v>
      </c>
      <c r="AJ131" s="182">
        <v>33.153083561784463</v>
      </c>
      <c r="AK131" s="317">
        <v>-18.02105001315639</v>
      </c>
      <c r="AL131" s="332">
        <v>124</v>
      </c>
    </row>
    <row r="132" spans="1:38" ht="19.5" customHeight="1">
      <c r="A132" s="293"/>
      <c r="B132" s="366">
        <v>125</v>
      </c>
      <c r="C132" s="335" t="s">
        <v>62</v>
      </c>
      <c r="D132" s="334">
        <v>45082</v>
      </c>
      <c r="E132" s="329">
        <v>1440</v>
      </c>
      <c r="F132" s="328">
        <v>30</v>
      </c>
      <c r="G132" s="532">
        <v>79.041666666666671</v>
      </c>
      <c r="H132" s="524">
        <v>0.58299999999999996</v>
      </c>
      <c r="I132" s="251">
        <f t="shared" si="44"/>
        <v>306.06</v>
      </c>
      <c r="J132" s="526">
        <v>32.9</v>
      </c>
      <c r="K132" s="327">
        <v>0.22989289504935242</v>
      </c>
      <c r="L132" s="325">
        <v>0</v>
      </c>
      <c r="M132" s="326">
        <v>0.85206702442621163</v>
      </c>
      <c r="N132" s="324">
        <v>9.964371293970995</v>
      </c>
      <c r="O132" s="344">
        <v>0.25747250795077425</v>
      </c>
      <c r="P132" s="343">
        <v>1.9665628300339077</v>
      </c>
      <c r="Q132" s="342">
        <v>0.1068505560809989</v>
      </c>
      <c r="R132" s="342">
        <v>0.56186111539179695</v>
      </c>
      <c r="S132" s="341">
        <v>0.47319292984234484</v>
      </c>
      <c r="T132" s="323">
        <f t="shared" si="45"/>
        <v>0</v>
      </c>
      <c r="U132" s="322">
        <f t="shared" si="46"/>
        <v>0.89288327083567798</v>
      </c>
      <c r="V132" s="321">
        <f t="shared" si="47"/>
        <v>8.5511368383247632E-2</v>
      </c>
      <c r="W132" s="253">
        <f t="shared" si="48"/>
        <v>14.412271152746381</v>
      </c>
      <c r="X132" s="320">
        <f t="shared" si="49"/>
        <v>0.18233764241745554</v>
      </c>
      <c r="Y132" s="199">
        <v>1.3439358800969727</v>
      </c>
      <c r="Z132" s="319" t="s">
        <v>148</v>
      </c>
      <c r="AA132" s="293"/>
      <c r="AB132" s="293"/>
      <c r="AC132" s="293"/>
      <c r="AD132" s="293"/>
      <c r="AE132" s="225">
        <v>15.704066983066696</v>
      </c>
      <c r="AF132" s="261">
        <v>0.16981227158876205</v>
      </c>
      <c r="AG132" s="293">
        <v>56.43</v>
      </c>
      <c r="AH132" s="182">
        <v>33.068387943146554</v>
      </c>
      <c r="AI132" s="318">
        <v>4.3016969419522287E-2</v>
      </c>
      <c r="AJ132" s="182">
        <v>31.645886110243321</v>
      </c>
      <c r="AK132" s="317">
        <v>-15.941819127176625</v>
      </c>
      <c r="AL132" s="366">
        <v>125</v>
      </c>
    </row>
    <row r="133" spans="1:38" ht="19.5" customHeight="1">
      <c r="A133" s="293"/>
      <c r="B133" s="366">
        <v>126</v>
      </c>
      <c r="C133" s="335" t="s">
        <v>63</v>
      </c>
      <c r="D133" s="334">
        <v>45090</v>
      </c>
      <c r="E133" s="329">
        <v>1440</v>
      </c>
      <c r="F133" s="328">
        <v>30</v>
      </c>
      <c r="G133" s="532">
        <v>61.291666666666664</v>
      </c>
      <c r="H133" s="524">
        <v>0.71599999999999997</v>
      </c>
      <c r="I133" s="251">
        <f t="shared" si="44"/>
        <v>302.86</v>
      </c>
      <c r="J133" s="526">
        <v>29.7</v>
      </c>
      <c r="K133" s="327">
        <v>0.59378159692734134</v>
      </c>
      <c r="L133" s="325">
        <v>0</v>
      </c>
      <c r="M133" s="326">
        <v>1.0083022004895021</v>
      </c>
      <c r="N133" s="324">
        <v>4.3639976205178099</v>
      </c>
      <c r="O133" s="344">
        <v>0.13907740204057559</v>
      </c>
      <c r="P133" s="343">
        <v>0.6735607211901391</v>
      </c>
      <c r="Q133" s="342">
        <v>3.0827646142958236E-2</v>
      </c>
      <c r="R133" s="342">
        <v>0.81896572708775639</v>
      </c>
      <c r="S133" s="341">
        <v>0.27779902078910113</v>
      </c>
      <c r="T133" s="323">
        <f t="shared" si="45"/>
        <v>0</v>
      </c>
      <c r="U133" s="322">
        <f t="shared" si="46"/>
        <v>4.269432619643748</v>
      </c>
      <c r="V133" s="321">
        <f t="shared" si="47"/>
        <v>0.23105012609284192</v>
      </c>
      <c r="W133" s="253">
        <f t="shared" si="48"/>
        <v>7.9063119351851832</v>
      </c>
      <c r="X133" s="320">
        <f t="shared" si="49"/>
        <v>0.12899489221240273</v>
      </c>
      <c r="Y133" s="199">
        <v>1.3191844453337831</v>
      </c>
      <c r="Z133" s="319" t="s">
        <v>148</v>
      </c>
      <c r="AA133" s="293"/>
      <c r="AB133" s="293"/>
      <c r="AC133" s="293"/>
      <c r="AD133" s="293"/>
      <c r="AE133" s="225">
        <v>18.409629890042012</v>
      </c>
      <c r="AF133" s="261">
        <v>8.3390562717865685E-2</v>
      </c>
      <c r="AG133" s="293">
        <v>9.0790000000000006</v>
      </c>
      <c r="AH133" s="182">
        <v>33.498835099884438</v>
      </c>
      <c r="AI133" s="318">
        <v>6.1462447833478775E-2</v>
      </c>
      <c r="AJ133" s="182">
        <v>31.439914695075483</v>
      </c>
      <c r="AK133" s="317">
        <v>-13.030284805033471</v>
      </c>
      <c r="AL133" s="366">
        <v>126</v>
      </c>
    </row>
    <row r="134" spans="1:38" ht="19.5" customHeight="1">
      <c r="A134" s="293"/>
      <c r="B134" s="366">
        <v>127</v>
      </c>
      <c r="C134" s="335" t="s">
        <v>64</v>
      </c>
      <c r="D134" s="334">
        <v>45098</v>
      </c>
      <c r="E134" s="329">
        <v>1440</v>
      </c>
      <c r="F134" s="328">
        <v>30</v>
      </c>
      <c r="G134" s="532">
        <v>45.333333333333336</v>
      </c>
      <c r="H134" s="524">
        <v>0.78900000000000003</v>
      </c>
      <c r="I134" s="251">
        <f t="shared" si="44"/>
        <v>302.66000000000003</v>
      </c>
      <c r="J134" s="526">
        <v>29.5</v>
      </c>
      <c r="K134" s="327">
        <v>0.38528035549876877</v>
      </c>
      <c r="L134" s="325">
        <v>0</v>
      </c>
      <c r="M134" s="326">
        <v>0.6310372588055474</v>
      </c>
      <c r="N134" s="324">
        <v>5.4882103464132195</v>
      </c>
      <c r="O134" s="344">
        <v>0.25294829915850142</v>
      </c>
      <c r="P134" s="343">
        <v>0.97079963389916957</v>
      </c>
      <c r="Q134" s="342">
        <v>7.3958015043472825E-2</v>
      </c>
      <c r="R134" s="342">
        <v>0.523017070942284</v>
      </c>
      <c r="S134" s="341">
        <v>0.30015497472847874</v>
      </c>
      <c r="T134" s="323">
        <f t="shared" si="45"/>
        <v>0</v>
      </c>
      <c r="U134" s="322">
        <f t="shared" si="46"/>
        <v>1.523158514133143</v>
      </c>
      <c r="V134" s="321">
        <f t="shared" si="47"/>
        <v>0.11498051622929455</v>
      </c>
      <c r="W134" s="253">
        <f t="shared" si="48"/>
        <v>8.625405954489441</v>
      </c>
      <c r="X134" s="320">
        <f t="shared" si="49"/>
        <v>0.19026630781962001</v>
      </c>
      <c r="Y134" s="199">
        <v>1.2914234737970067</v>
      </c>
      <c r="Z134" s="319" t="s">
        <v>148</v>
      </c>
      <c r="AA134" s="293"/>
      <c r="AB134" s="293"/>
      <c r="AC134" s="293"/>
      <c r="AD134" s="293"/>
      <c r="AE134" s="225">
        <v>18.401943391380762</v>
      </c>
      <c r="AF134" s="261">
        <v>0.15021446710954264</v>
      </c>
      <c r="AG134" s="293">
        <v>17.82</v>
      </c>
      <c r="AH134" s="182">
        <v>33.526040277548326</v>
      </c>
      <c r="AI134" s="318">
        <v>6.0661630300643206E-2</v>
      </c>
      <c r="AJ134" s="182">
        <v>31.492296016787215</v>
      </c>
      <c r="AK134" s="317">
        <v>-13.090352625406453</v>
      </c>
      <c r="AL134" s="366">
        <v>127</v>
      </c>
    </row>
    <row r="135" spans="1:38" ht="19.5" customHeight="1">
      <c r="A135" s="293"/>
      <c r="B135" s="366">
        <v>128</v>
      </c>
      <c r="C135" s="335" t="s">
        <v>65</v>
      </c>
      <c r="D135" s="334">
        <v>45113</v>
      </c>
      <c r="E135" s="329">
        <v>1440</v>
      </c>
      <c r="F135" s="328">
        <v>30</v>
      </c>
      <c r="G135" s="532">
        <v>24.791666666666668</v>
      </c>
      <c r="H135" s="524">
        <v>0.78799999999999992</v>
      </c>
      <c r="I135" s="251">
        <f t="shared" si="44"/>
        <v>302.46000000000004</v>
      </c>
      <c r="J135" s="526">
        <v>29.3</v>
      </c>
      <c r="K135" s="327">
        <v>0.10105591980271617</v>
      </c>
      <c r="L135" s="325">
        <v>0</v>
      </c>
      <c r="M135" s="326">
        <v>0.37434875020913583</v>
      </c>
      <c r="N135" s="324">
        <v>2.3955648474302285</v>
      </c>
      <c r="O135" s="344">
        <v>0.13660537542924575</v>
      </c>
      <c r="P135" s="343">
        <v>0.45214845220652033</v>
      </c>
      <c r="Q135" s="342">
        <v>5.5343005555202579E-2</v>
      </c>
      <c r="R135" s="342">
        <v>0.33999923431556361</v>
      </c>
      <c r="S135" s="341">
        <v>0.18733774145525559</v>
      </c>
      <c r="T135" s="323">
        <f t="shared" si="45"/>
        <v>0</v>
      </c>
      <c r="U135" s="322">
        <f t="shared" si="46"/>
        <v>0.73976532391331629</v>
      </c>
      <c r="V135" s="321">
        <f t="shared" si="47"/>
        <v>0.15626742503368565</v>
      </c>
      <c r="W135" s="253">
        <f t="shared" si="48"/>
        <v>4.0424033264038686</v>
      </c>
      <c r="X135" s="320">
        <f t="shared" si="49"/>
        <v>0.16305492409024006</v>
      </c>
      <c r="Y135" s="199">
        <v>1.0236395520941992</v>
      </c>
      <c r="Z135" s="319" t="s">
        <v>148</v>
      </c>
      <c r="AA135" s="293"/>
      <c r="AB135" s="293"/>
      <c r="AC135" s="293"/>
      <c r="AD135" s="293"/>
      <c r="AE135" s="225">
        <v>24.180939873001932</v>
      </c>
      <c r="AF135" s="261">
        <v>9.5604785141620546E-2</v>
      </c>
      <c r="AG135" s="293">
        <v>14.14</v>
      </c>
      <c r="AH135" s="182">
        <v>33.553281434947927</v>
      </c>
      <c r="AI135" s="318">
        <v>2.1598757668370185E-2</v>
      </c>
      <c r="AJ135" s="182">
        <v>32.828572240255866</v>
      </c>
      <c r="AK135" s="317">
        <v>-8.6476323672539337</v>
      </c>
      <c r="AL135" s="366">
        <v>128</v>
      </c>
    </row>
    <row r="136" spans="1:38" ht="19.5" customHeight="1">
      <c r="A136" s="293"/>
      <c r="B136" s="366">
        <v>129</v>
      </c>
      <c r="C136" s="335" t="s">
        <v>66</v>
      </c>
      <c r="D136" s="334">
        <v>45121</v>
      </c>
      <c r="E136" s="329">
        <v>1440</v>
      </c>
      <c r="F136" s="328">
        <v>30</v>
      </c>
      <c r="G136" s="532">
        <v>34.1666666666667</v>
      </c>
      <c r="H136" s="524">
        <v>0.71200000000000008</v>
      </c>
      <c r="I136" s="251">
        <f t="shared" si="44"/>
        <v>303.46000000000004</v>
      </c>
      <c r="J136" s="526">
        <v>30.3</v>
      </c>
      <c r="K136" s="327">
        <v>0.21021374135999052</v>
      </c>
      <c r="L136" s="325">
        <v>0</v>
      </c>
      <c r="M136" s="326">
        <v>0.48743227361995745</v>
      </c>
      <c r="N136" s="324">
        <v>1.9122069056086342</v>
      </c>
      <c r="O136" s="344">
        <v>0.13699608970276006</v>
      </c>
      <c r="P136" s="343">
        <v>0.43063603287921676</v>
      </c>
      <c r="Q136" s="342">
        <v>1.9706728974994099E-2</v>
      </c>
      <c r="R136" s="342">
        <v>0.39584576565817403</v>
      </c>
      <c r="S136" s="341">
        <v>0.16508265068412359</v>
      </c>
      <c r="T136" s="323">
        <f t="shared" si="45"/>
        <v>0</v>
      </c>
      <c r="U136" s="322">
        <f t="shared" si="46"/>
        <v>1.5344506680160765</v>
      </c>
      <c r="V136" s="321">
        <f t="shared" si="47"/>
        <v>0.25490561308521853</v>
      </c>
      <c r="W136" s="253">
        <f t="shared" si="48"/>
        <v>3.758120188487851</v>
      </c>
      <c r="X136" s="320">
        <f t="shared" si="49"/>
        <v>0.10999376161427846</v>
      </c>
      <c r="Y136" s="199">
        <v>0.96683194734454414</v>
      </c>
      <c r="Z136" s="319" t="s">
        <v>148</v>
      </c>
      <c r="AA136" s="293"/>
      <c r="AB136" s="293"/>
      <c r="AC136" s="293"/>
      <c r="AD136" s="293"/>
      <c r="AE136" s="225">
        <v>19.872131098105118</v>
      </c>
      <c r="AF136" s="261">
        <v>0.12758466847666694</v>
      </c>
      <c r="AG136" s="293">
        <v>28.27</v>
      </c>
      <c r="AH136" s="182">
        <v>33.417434733893558</v>
      </c>
      <c r="AI136" s="318">
        <v>5.6501033847236766E-3</v>
      </c>
      <c r="AJ136" s="182">
        <v>33.2286227727948</v>
      </c>
      <c r="AK136" s="317">
        <v>-13.356491674689682</v>
      </c>
      <c r="AL136" s="366">
        <v>129</v>
      </c>
    </row>
    <row r="137" spans="1:38" ht="19.5" customHeight="1">
      <c r="A137" s="293"/>
      <c r="B137" s="366">
        <v>130</v>
      </c>
      <c r="C137" s="335" t="s">
        <v>67</v>
      </c>
      <c r="D137" s="334">
        <v>45129</v>
      </c>
      <c r="E137" s="329">
        <v>1440</v>
      </c>
      <c r="F137" s="328">
        <v>30</v>
      </c>
      <c r="G137" s="532">
        <v>35.125</v>
      </c>
      <c r="H137" s="524">
        <v>0.7</v>
      </c>
      <c r="I137" s="251">
        <f t="shared" si="44"/>
        <v>304.26000000000005</v>
      </c>
      <c r="J137" s="526">
        <v>31.1</v>
      </c>
      <c r="K137" s="327">
        <v>3.7139516237370801E-2</v>
      </c>
      <c r="L137" s="325">
        <v>0</v>
      </c>
      <c r="M137" s="326">
        <v>0.28380577037023219</v>
      </c>
      <c r="N137" s="324">
        <v>3.92965174290774</v>
      </c>
      <c r="O137" s="344">
        <v>7.7768044105342687E-2</v>
      </c>
      <c r="P137" s="343">
        <v>1.0737366157333432</v>
      </c>
      <c r="Q137" s="342">
        <v>3.2043210590646229E-2</v>
      </c>
      <c r="R137" s="342">
        <v>0.10070790635647306</v>
      </c>
      <c r="S137" s="341">
        <v>0.19610279596125429</v>
      </c>
      <c r="T137" s="323">
        <f t="shared" si="45"/>
        <v>0</v>
      </c>
      <c r="U137" s="322">
        <f t="shared" si="46"/>
        <v>0.47756783219419174</v>
      </c>
      <c r="V137" s="321">
        <f t="shared" si="47"/>
        <v>7.2221608666072412E-2</v>
      </c>
      <c r="W137" s="253">
        <f t="shared" si="48"/>
        <v>5.7309556022624015</v>
      </c>
      <c r="X137" s="320">
        <f t="shared" si="49"/>
        <v>0.16315887835622495</v>
      </c>
      <c r="Y137" s="199">
        <v>1.1549376769211293</v>
      </c>
      <c r="Z137" s="319" t="s">
        <v>148</v>
      </c>
      <c r="AA137" s="293"/>
      <c r="AB137" s="293"/>
      <c r="AC137" s="293"/>
      <c r="AD137" s="293"/>
      <c r="AE137" s="225">
        <v>19.576658926918689</v>
      </c>
      <c r="AF137" s="261">
        <v>0.14864756378165525</v>
      </c>
      <c r="AG137" s="293">
        <v>1.984</v>
      </c>
      <c r="AH137" s="182">
        <v>33.309400328677079</v>
      </c>
      <c r="AI137" s="318">
        <v>0.35453155294938954</v>
      </c>
      <c r="AJ137" s="182">
        <v>21.500166902338286</v>
      </c>
      <c r="AK137" s="317">
        <v>-1.9235079754195965</v>
      </c>
      <c r="AL137" s="366">
        <v>130</v>
      </c>
    </row>
    <row r="138" spans="1:38" ht="19.5" customHeight="1">
      <c r="A138" s="293"/>
      <c r="B138" s="366">
        <v>131</v>
      </c>
      <c r="C138" s="335" t="s">
        <v>68</v>
      </c>
      <c r="D138" s="334">
        <v>45137</v>
      </c>
      <c r="E138" s="329">
        <v>1440</v>
      </c>
      <c r="F138" s="328">
        <v>30</v>
      </c>
      <c r="G138" s="532">
        <v>46.333333333333336</v>
      </c>
      <c r="H138" s="524">
        <v>0.68</v>
      </c>
      <c r="I138" s="251">
        <f t="shared" si="44"/>
        <v>304.66000000000003</v>
      </c>
      <c r="J138" s="526">
        <v>31.5</v>
      </c>
      <c r="K138" s="327">
        <v>0.29356630974472642</v>
      </c>
      <c r="L138" s="325">
        <v>0</v>
      </c>
      <c r="M138" s="326">
        <v>0.90542997278077209</v>
      </c>
      <c r="N138" s="324">
        <v>1.3923154477750324</v>
      </c>
      <c r="O138" s="344">
        <v>0.10371922759733995</v>
      </c>
      <c r="P138" s="343">
        <v>0.47146758962318369</v>
      </c>
      <c r="Q138" s="342">
        <v>3.601908807179522E-2</v>
      </c>
      <c r="R138" s="342">
        <v>0.36527931066384611</v>
      </c>
      <c r="S138" s="341">
        <v>0.10040723107212521</v>
      </c>
      <c r="T138" s="323">
        <f t="shared" si="45"/>
        <v>0</v>
      </c>
      <c r="U138" s="322">
        <f t="shared" si="46"/>
        <v>2.8303942918319169</v>
      </c>
      <c r="V138" s="321">
        <f t="shared" si="47"/>
        <v>0.65030519788290797</v>
      </c>
      <c r="W138" s="253">
        <f t="shared" si="48"/>
        <v>3.6682041773288208</v>
      </c>
      <c r="X138" s="320">
        <f t="shared" si="49"/>
        <v>7.9169874330837858E-2</v>
      </c>
      <c r="Y138" s="199">
        <v>0.95335020171133866</v>
      </c>
      <c r="Z138" s="319" t="s">
        <v>148</v>
      </c>
      <c r="AA138" s="293"/>
      <c r="AB138" s="293"/>
      <c r="AC138" s="293"/>
      <c r="AD138" s="293"/>
      <c r="AE138" s="225">
        <v>21.733005329399177</v>
      </c>
      <c r="AF138" s="261">
        <v>0.10366133845873926</v>
      </c>
      <c r="AG138" s="293">
        <v>41.41</v>
      </c>
      <c r="AH138" s="182">
        <v>33.255595896930906</v>
      </c>
      <c r="AI138" s="318">
        <v>1.4821657683166173E-3</v>
      </c>
      <c r="AJ138" s="182">
        <v>33.206305591087506</v>
      </c>
      <c r="AK138" s="317">
        <v>-11.47330026168833</v>
      </c>
      <c r="AL138" s="366">
        <v>131</v>
      </c>
    </row>
    <row r="139" spans="1:38" ht="19.5" customHeight="1">
      <c r="A139" s="293"/>
      <c r="B139" s="366">
        <v>132</v>
      </c>
      <c r="C139" s="335" t="s">
        <v>69</v>
      </c>
      <c r="D139" s="334">
        <v>45145</v>
      </c>
      <c r="E139" s="329">
        <v>1440</v>
      </c>
      <c r="F139" s="328">
        <v>30</v>
      </c>
      <c r="G139" s="532">
        <v>44.416666666666664</v>
      </c>
      <c r="H139" s="524">
        <v>0.91200000000000003</v>
      </c>
      <c r="I139" s="251">
        <f t="shared" si="44"/>
        <v>300.96000000000004</v>
      </c>
      <c r="J139" s="526">
        <v>27.8</v>
      </c>
      <c r="K139" s="327">
        <v>0.56766586380491113</v>
      </c>
      <c r="L139" s="325">
        <v>0</v>
      </c>
      <c r="M139" s="326">
        <v>0.81579630259157077</v>
      </c>
      <c r="N139" s="324">
        <v>0.69862468936930955</v>
      </c>
      <c r="O139" s="344">
        <v>8.6596576874860706E-2</v>
      </c>
      <c r="P139" s="343">
        <v>0.28880665967189156</v>
      </c>
      <c r="Q139" s="342">
        <v>1.8265417339139868E-2</v>
      </c>
      <c r="R139" s="342">
        <v>0.16494977412632408</v>
      </c>
      <c r="S139" s="341">
        <v>0.15211370564931589</v>
      </c>
      <c r="T139" s="323">
        <f t="shared" si="45"/>
        <v>0</v>
      </c>
      <c r="U139" s="322">
        <f t="shared" si="46"/>
        <v>6.5552921869560246</v>
      </c>
      <c r="V139" s="321">
        <f t="shared" si="47"/>
        <v>1.1677175384798368</v>
      </c>
      <c r="W139" s="253">
        <f t="shared" si="48"/>
        <v>2.7928189894273232</v>
      </c>
      <c r="X139" s="320">
        <f t="shared" si="49"/>
        <v>6.2877725840765258E-2</v>
      </c>
      <c r="Y139" s="199">
        <v>1.3121839582903727</v>
      </c>
      <c r="Z139" s="319" t="s">
        <v>148</v>
      </c>
      <c r="AA139" s="293"/>
      <c r="AB139" s="293"/>
      <c r="AC139" s="293"/>
      <c r="AD139" s="293"/>
      <c r="AE139" s="225">
        <v>16.115807375763833</v>
      </c>
      <c r="AF139" s="261">
        <v>0.12897354766798111</v>
      </c>
      <c r="AG139" s="293">
        <v>13.12</v>
      </c>
      <c r="AH139" s="182">
        <v>33.758744210001666</v>
      </c>
      <c r="AI139" s="318">
        <v>1.2702920886355959E-2</v>
      </c>
      <c r="AJ139" s="182">
        <v>33.32990955307929</v>
      </c>
      <c r="AK139" s="317">
        <v>-17.214102177315457</v>
      </c>
      <c r="AL139" s="366">
        <v>132</v>
      </c>
    </row>
    <row r="140" spans="1:38" ht="19.5" customHeight="1">
      <c r="A140" s="293"/>
      <c r="B140" s="366">
        <v>133</v>
      </c>
      <c r="C140" s="335" t="s">
        <v>70</v>
      </c>
      <c r="D140" s="334">
        <v>45153</v>
      </c>
      <c r="E140" s="329">
        <v>1440</v>
      </c>
      <c r="F140" s="328">
        <v>30</v>
      </c>
      <c r="G140" s="532">
        <v>79.916666666666671</v>
      </c>
      <c r="H140" s="524">
        <v>0.8</v>
      </c>
      <c r="I140" s="251">
        <f t="shared" si="44"/>
        <v>302.46000000000004</v>
      </c>
      <c r="J140" s="526">
        <v>29.3</v>
      </c>
      <c r="K140" s="327">
        <v>0.4493766954394311</v>
      </c>
      <c r="L140" s="325">
        <v>0</v>
      </c>
      <c r="M140" s="326">
        <v>0.83309402841755698</v>
      </c>
      <c r="N140" s="324">
        <v>1.1798075525352878</v>
      </c>
      <c r="O140" s="344">
        <v>8.5827019539018917E-2</v>
      </c>
      <c r="P140" s="343">
        <v>0.39422436655490123</v>
      </c>
      <c r="Q140" s="342">
        <v>2.6138442054286365E-2</v>
      </c>
      <c r="R140" s="342">
        <v>0.30908346526312508</v>
      </c>
      <c r="S140" s="341">
        <v>0.12372185511557175</v>
      </c>
      <c r="T140" s="323">
        <f t="shared" si="45"/>
        <v>0</v>
      </c>
      <c r="U140" s="322">
        <f t="shared" si="46"/>
        <v>5.2358417879713768</v>
      </c>
      <c r="V140" s="321">
        <f t="shared" si="47"/>
        <v>0.70612705150710531</v>
      </c>
      <c r="W140" s="253">
        <f t="shared" si="48"/>
        <v>3.4012734249191792</v>
      </c>
      <c r="X140" s="320">
        <f t="shared" si="49"/>
        <v>4.2560251406705052E-2</v>
      </c>
      <c r="Y140" s="199">
        <v>1.0951374380129779</v>
      </c>
      <c r="Z140" s="319" t="s">
        <v>148</v>
      </c>
      <c r="AA140" s="293"/>
      <c r="AB140" s="293"/>
      <c r="AC140" s="293"/>
      <c r="AD140" s="293"/>
      <c r="AE140" s="225">
        <v>16.85020897675648</v>
      </c>
      <c r="AF140" s="261">
        <v>0.13487458348169057</v>
      </c>
      <c r="AG140" s="293">
        <v>30.3</v>
      </c>
      <c r="AH140" s="182">
        <v>33.553281434947927</v>
      </c>
      <c r="AI140" s="318">
        <v>3.1000747187542328E-3</v>
      </c>
      <c r="AJ140" s="182">
        <v>33.449263755440199</v>
      </c>
      <c r="AK140" s="317">
        <v>-16.599054778683719</v>
      </c>
      <c r="AL140" s="366">
        <v>133</v>
      </c>
    </row>
    <row r="141" spans="1:38" ht="19.5" customHeight="1">
      <c r="A141" s="293"/>
      <c r="B141" s="366">
        <v>135</v>
      </c>
      <c r="C141" s="335" t="s">
        <v>71</v>
      </c>
      <c r="D141" s="334">
        <v>45170</v>
      </c>
      <c r="E141" s="329">
        <v>1440</v>
      </c>
      <c r="F141" s="328">
        <v>30</v>
      </c>
      <c r="G141" s="532">
        <v>88.208333333333329</v>
      </c>
      <c r="H141" s="524">
        <v>0.78200000000000003</v>
      </c>
      <c r="I141" s="251">
        <f t="shared" si="44"/>
        <v>303.26000000000005</v>
      </c>
      <c r="J141" s="526">
        <v>30.1</v>
      </c>
      <c r="K141" s="327">
        <v>0.48804184633757958</v>
      </c>
      <c r="L141" s="325">
        <v>4.7724165207006362E-2</v>
      </c>
      <c r="M141" s="326">
        <v>1.7562674472753006</v>
      </c>
      <c r="N141" s="324">
        <v>2.653199317807855</v>
      </c>
      <c r="O141" s="344">
        <v>0.14632195466206649</v>
      </c>
      <c r="P141" s="343">
        <v>0.99038414910651074</v>
      </c>
      <c r="Q141" s="342">
        <v>2.5586516012031137E-2</v>
      </c>
      <c r="R141" s="342">
        <v>0.74386218493453637</v>
      </c>
      <c r="S141" s="341">
        <v>0.14048559470099078</v>
      </c>
      <c r="T141" s="323">
        <f t="shared" si="45"/>
        <v>2.7173631943726077E-2</v>
      </c>
      <c r="U141" s="322">
        <f t="shared" si="46"/>
        <v>3.3353972578122133</v>
      </c>
      <c r="V141" s="321">
        <f t="shared" si="47"/>
        <v>0.66194327560975563</v>
      </c>
      <c r="W141" s="253">
        <f t="shared" si="48"/>
        <v>6.9918731760438764</v>
      </c>
      <c r="X141" s="320">
        <f t="shared" si="49"/>
        <v>7.9265449326902715E-2</v>
      </c>
      <c r="Y141" s="199">
        <v>0.94554626192367375</v>
      </c>
      <c r="Z141" s="319" t="s">
        <v>148</v>
      </c>
      <c r="AA141" s="293"/>
      <c r="AB141" s="293"/>
      <c r="AC141" s="293"/>
      <c r="AD141" s="293"/>
      <c r="AE141" s="225">
        <v>17.118818910961025</v>
      </c>
      <c r="AF141" s="261">
        <v>7.6734055880877464E-2</v>
      </c>
      <c r="AG141" s="293">
        <v>60.59</v>
      </c>
      <c r="AH141" s="182">
        <v>33.444532399010718</v>
      </c>
      <c r="AI141" s="318">
        <v>6.5647094159575472E-3</v>
      </c>
      <c r="AJ141" s="182">
        <v>33.224978762258637</v>
      </c>
      <c r="AK141" s="317">
        <v>-16.106159851297612</v>
      </c>
      <c r="AL141" s="366">
        <v>135</v>
      </c>
    </row>
    <row r="142" spans="1:38" ht="19.5" customHeight="1">
      <c r="A142" s="293"/>
      <c r="B142" s="366">
        <v>136</v>
      </c>
      <c r="C142" s="335" t="s">
        <v>72</v>
      </c>
      <c r="D142" s="334">
        <v>45178</v>
      </c>
      <c r="E142" s="329">
        <v>1440</v>
      </c>
      <c r="F142" s="328">
        <v>30</v>
      </c>
      <c r="G142" s="532">
        <v>54.541666666666664</v>
      </c>
      <c r="H142" s="524">
        <v>0.752</v>
      </c>
      <c r="I142" s="251">
        <f t="shared" si="44"/>
        <v>302.76000000000005</v>
      </c>
      <c r="J142" s="526">
        <v>29.6</v>
      </c>
      <c r="K142" s="327">
        <v>0.3325691294674451</v>
      </c>
      <c r="L142" s="325">
        <v>4.856621222576079E-2</v>
      </c>
      <c r="M142" s="326">
        <v>1.6287143561128803</v>
      </c>
      <c r="N142" s="324">
        <v>2.0343174685951873</v>
      </c>
      <c r="O142" s="344">
        <v>7.5780645966029722E-2</v>
      </c>
      <c r="P142" s="343">
        <v>1.0059037509731068</v>
      </c>
      <c r="Q142" s="342">
        <v>2.9059287641542812E-2</v>
      </c>
      <c r="R142" s="342">
        <v>0.70458837093064386</v>
      </c>
      <c r="S142" s="341">
        <v>0.22955253542993626</v>
      </c>
      <c r="T142" s="323">
        <f t="shared" si="45"/>
        <v>2.9818741416186574E-2</v>
      </c>
      <c r="U142" s="322">
        <f t="shared" si="46"/>
        <v>4.3885760701555148</v>
      </c>
      <c r="V142" s="321">
        <f t="shared" si="47"/>
        <v>0.80061955975711152</v>
      </c>
      <c r="W142" s="253">
        <f t="shared" si="48"/>
        <v>6.0890517573425322</v>
      </c>
      <c r="X142" s="320">
        <f t="shared" si="49"/>
        <v>0.11164036835463773</v>
      </c>
      <c r="Y142" s="199">
        <v>0.77161748621928017</v>
      </c>
      <c r="Z142" s="319" t="s">
        <v>148</v>
      </c>
      <c r="AA142" s="293"/>
      <c r="AB142" s="293"/>
      <c r="AC142" s="293"/>
      <c r="AD142" s="293"/>
      <c r="AE142" s="225">
        <v>17.295605161760069</v>
      </c>
      <c r="AF142" s="261">
        <v>0.15810751300853473</v>
      </c>
      <c r="AG142" s="293">
        <v>81.81</v>
      </c>
      <c r="AH142" s="182">
        <v>33.512433195706031</v>
      </c>
      <c r="AI142" s="318">
        <v>2.3888981404070826E-3</v>
      </c>
      <c r="AJ142" s="182">
        <v>33.432375406364294</v>
      </c>
      <c r="AK142" s="317">
        <v>-16.136770244604225</v>
      </c>
      <c r="AL142" s="366">
        <v>136</v>
      </c>
    </row>
    <row r="143" spans="1:38" ht="19.5" customHeight="1">
      <c r="A143" s="293"/>
      <c r="B143" s="366">
        <v>137</v>
      </c>
      <c r="C143" s="335" t="s">
        <v>73</v>
      </c>
      <c r="D143" s="334">
        <v>45186</v>
      </c>
      <c r="E143" s="329">
        <v>1440</v>
      </c>
      <c r="F143" s="328">
        <v>30</v>
      </c>
      <c r="G143" s="532">
        <v>40.375</v>
      </c>
      <c r="H143" s="524">
        <v>0.69799999999999995</v>
      </c>
      <c r="I143" s="251">
        <f t="shared" si="44"/>
        <v>304.16000000000003</v>
      </c>
      <c r="J143" s="526">
        <v>31</v>
      </c>
      <c r="K143" s="327">
        <v>0.2169589006096769</v>
      </c>
      <c r="L143" s="325">
        <v>0</v>
      </c>
      <c r="M143" s="326">
        <v>1.4174563313215258</v>
      </c>
      <c r="N143" s="324">
        <v>12.13522747453132</v>
      </c>
      <c r="O143" s="344">
        <v>0.13191495331887568</v>
      </c>
      <c r="P143" s="343">
        <v>2.4018201434926585</v>
      </c>
      <c r="Q143" s="342">
        <v>0.1223664866351644</v>
      </c>
      <c r="R143" s="342">
        <v>0.7842787675379117</v>
      </c>
      <c r="S143" s="341">
        <v>0.23850779160821975</v>
      </c>
      <c r="T143" s="323">
        <f t="shared" si="45"/>
        <v>0</v>
      </c>
      <c r="U143" s="322">
        <f t="shared" si="46"/>
        <v>1.6446876957552037</v>
      </c>
      <c r="V143" s="321">
        <f t="shared" si="47"/>
        <v>0.11680508950461764</v>
      </c>
      <c r="W143" s="253">
        <f t="shared" si="48"/>
        <v>17.448530849055356</v>
      </c>
      <c r="X143" s="320">
        <f t="shared" si="49"/>
        <v>0.43216175477536484</v>
      </c>
      <c r="Y143" s="199">
        <v>1.4477820450882228</v>
      </c>
      <c r="Z143" s="319" t="s">
        <v>148</v>
      </c>
      <c r="AA143" s="293"/>
      <c r="AB143" s="293"/>
      <c r="AC143" s="293"/>
      <c r="AD143" s="293"/>
      <c r="AE143" s="225">
        <v>14.27524128639403</v>
      </c>
      <c r="AF143" s="261">
        <v>0.1448166704756956</v>
      </c>
      <c r="AG143" s="293">
        <v>108.9</v>
      </c>
      <c r="AH143" s="182">
        <v>33.322873549235581</v>
      </c>
      <c r="AI143" s="318">
        <v>3.1154478984612634E-2</v>
      </c>
      <c r="AJ143" s="182">
        <v>32.284716785539018</v>
      </c>
      <c r="AK143" s="317">
        <v>-18.00947549914499</v>
      </c>
      <c r="AL143" s="366">
        <v>137</v>
      </c>
    </row>
    <row r="144" spans="1:38" ht="19.5" customHeight="1">
      <c r="A144" s="293"/>
      <c r="B144" s="365">
        <v>138</v>
      </c>
      <c r="C144" s="364" t="s">
        <v>74</v>
      </c>
      <c r="D144" s="363">
        <v>45202</v>
      </c>
      <c r="E144" s="362">
        <v>1440</v>
      </c>
      <c r="F144" s="361">
        <v>50</v>
      </c>
      <c r="G144" s="533">
        <v>24.166666666666668</v>
      </c>
      <c r="H144" s="524">
        <v>0.78599999999999992</v>
      </c>
      <c r="I144" s="311">
        <f t="shared" si="44"/>
        <v>301.36</v>
      </c>
      <c r="J144" s="526">
        <v>28.2</v>
      </c>
      <c r="K144" s="360">
        <v>0.50883186173036088</v>
      </c>
      <c r="L144" s="359">
        <v>0.1536541582625619</v>
      </c>
      <c r="M144" s="358">
        <v>2.7342683059094126</v>
      </c>
      <c r="N144" s="357">
        <v>7.3975533815463539</v>
      </c>
      <c r="O144" s="356">
        <v>0.14920587107808442</v>
      </c>
      <c r="P144" s="355">
        <v>3.4960628851144135</v>
      </c>
      <c r="Q144" s="354">
        <v>4.7654243630573238E-2</v>
      </c>
      <c r="R144" s="354">
        <v>1.3597037404163717</v>
      </c>
      <c r="S144" s="353">
        <v>0.32640427754187301</v>
      </c>
      <c r="T144" s="352">
        <f t="shared" si="45"/>
        <v>5.619571346764992E-2</v>
      </c>
      <c r="U144" s="351">
        <f t="shared" si="46"/>
        <v>3.4102670226969298</v>
      </c>
      <c r="V144" s="350">
        <f t="shared" si="47"/>
        <v>0.36961792161313917</v>
      </c>
      <c r="W144" s="252">
        <f t="shared" si="48"/>
        <v>16.173338725230007</v>
      </c>
      <c r="X144" s="349">
        <f t="shared" si="49"/>
        <v>0.66924160242331054</v>
      </c>
      <c r="Y144" s="279">
        <v>0.76945643033492261</v>
      </c>
      <c r="Z144" s="348" t="s">
        <v>148</v>
      </c>
      <c r="AA144" s="347"/>
      <c r="AB144" s="347"/>
      <c r="AC144" s="347"/>
      <c r="AD144" s="347"/>
      <c r="AE144" s="280">
        <v>13.52775005075708</v>
      </c>
      <c r="AF144" s="281">
        <v>0.10804390887182103</v>
      </c>
      <c r="AG144" s="347">
        <v>151.5</v>
      </c>
      <c r="AH144" s="176">
        <v>33.703754139704671</v>
      </c>
      <c r="AI144" s="346">
        <v>1.3004000543052263E-2</v>
      </c>
      <c r="AJ144" s="176">
        <v>33.265470502569052</v>
      </c>
      <c r="AK144" s="345">
        <v>-19.737720451811974</v>
      </c>
      <c r="AL144" s="365">
        <v>138</v>
      </c>
    </row>
    <row r="145" spans="1:38" ht="19.5" customHeight="1">
      <c r="A145" s="293"/>
      <c r="B145" s="446" t="s">
        <v>239</v>
      </c>
      <c r="C145" s="448"/>
      <c r="D145" s="440"/>
      <c r="E145" s="447"/>
      <c r="F145" s="446"/>
      <c r="G145" s="528"/>
      <c r="H145" s="529"/>
      <c r="I145" s="528"/>
      <c r="J145" s="530"/>
      <c r="K145" s="444"/>
      <c r="L145" s="438"/>
      <c r="M145" s="443"/>
      <c r="N145" s="443"/>
      <c r="O145" s="443"/>
      <c r="P145" s="443"/>
      <c r="Q145" s="443"/>
      <c r="R145" s="443"/>
      <c r="S145" s="443"/>
      <c r="T145" s="442"/>
      <c r="U145" s="443"/>
      <c r="V145" s="443"/>
      <c r="W145" s="443"/>
      <c r="X145" s="442"/>
      <c r="Y145" s="441"/>
      <c r="Z145" s="440"/>
      <c r="AA145" s="438"/>
      <c r="AB145" s="438"/>
      <c r="AC145" s="438"/>
      <c r="AD145" s="439"/>
      <c r="AE145" s="438"/>
      <c r="AF145" s="438"/>
      <c r="AG145" s="437"/>
      <c r="AH145" s="435"/>
      <c r="AI145" s="436"/>
      <c r="AJ145" s="435"/>
      <c r="AK145" s="434"/>
      <c r="AL145" s="446" t="s">
        <v>239</v>
      </c>
    </row>
    <row r="146" spans="1:38" ht="19.5" customHeight="1">
      <c r="A146" s="293"/>
      <c r="B146" s="333">
        <v>139</v>
      </c>
      <c r="C146" s="340" t="s">
        <v>23</v>
      </c>
      <c r="D146" s="334">
        <v>45293</v>
      </c>
      <c r="E146" s="329">
        <v>1440</v>
      </c>
      <c r="F146" s="328">
        <v>30</v>
      </c>
      <c r="G146" s="532">
        <v>208.54166666666666</v>
      </c>
      <c r="H146" s="525">
        <v>0.82200000000000006</v>
      </c>
      <c r="I146" s="311">
        <f t="shared" ref="I146:I162" si="50">J146+273.16</f>
        <v>290.66000000000003</v>
      </c>
      <c r="J146" s="527">
        <v>17.5</v>
      </c>
      <c r="K146" s="327">
        <v>1.4310973769718383</v>
      </c>
      <c r="L146" s="325">
        <v>0</v>
      </c>
      <c r="M146" s="326">
        <v>5.0987019907043081</v>
      </c>
      <c r="N146" s="324">
        <v>7.4580667648254693</v>
      </c>
      <c r="O146" s="339">
        <v>0.19190236186116663</v>
      </c>
      <c r="P146" s="338">
        <v>3.10044140189998</v>
      </c>
      <c r="Q146" s="337">
        <v>9.5893353906691875E-2</v>
      </c>
      <c r="R146" s="337">
        <v>1.0438685623870494</v>
      </c>
      <c r="S146" s="336">
        <v>0.39560491727435648</v>
      </c>
      <c r="T146" s="323">
        <f t="shared" ref="T146:T162" si="51">L146/M146</f>
        <v>0</v>
      </c>
      <c r="U146" s="322">
        <f t="shared" ref="U146:U162" si="52">K146/O146</f>
        <v>7.4574245105288366</v>
      </c>
      <c r="V146" s="321">
        <f t="shared" ref="V146:V162" si="53">M146/N146</f>
        <v>0.6836492822444753</v>
      </c>
      <c r="W146" s="253">
        <f t="shared" ref="W146:W162" si="54">SUM(K146:S146)</f>
        <v>18.815576729830859</v>
      </c>
      <c r="X146" s="320">
        <f t="shared" ref="X146:X162" si="55">W146/G146</f>
        <v>9.0224543759428705E-2</v>
      </c>
      <c r="Y146" s="199">
        <v>1.1099298177850956</v>
      </c>
      <c r="Z146" s="319" t="s">
        <v>148</v>
      </c>
      <c r="AA146" s="293"/>
      <c r="AB146" s="293"/>
      <c r="AC146" s="293"/>
      <c r="AD146" s="293"/>
      <c r="AE146" s="225">
        <v>11.530807126863506</v>
      </c>
      <c r="AF146" s="261">
        <v>5.9956772631975352E-2</v>
      </c>
      <c r="AG146" s="293">
        <v>6.048</v>
      </c>
      <c r="AH146" s="182">
        <v>35.226866987786003</v>
      </c>
      <c r="AI146" s="318">
        <v>0.33541685145763311</v>
      </c>
      <c r="AJ146" s="182">
        <v>23.411182176025985</v>
      </c>
      <c r="AK146" s="317">
        <v>-11.880375049162479</v>
      </c>
      <c r="AL146" s="333">
        <v>139</v>
      </c>
    </row>
    <row r="147" spans="1:38" ht="19.5" customHeight="1">
      <c r="A147" s="293"/>
      <c r="B147" s="333">
        <v>140</v>
      </c>
      <c r="C147" s="335" t="s">
        <v>7</v>
      </c>
      <c r="D147" s="334">
        <v>45300</v>
      </c>
      <c r="E147" s="329">
        <v>1440</v>
      </c>
      <c r="F147" s="328">
        <v>30</v>
      </c>
      <c r="G147" s="532">
        <v>215.58333333333334</v>
      </c>
      <c r="H147" s="525">
        <v>0.79900000000000004</v>
      </c>
      <c r="I147" s="311">
        <f t="shared" si="50"/>
        <v>292.16000000000003</v>
      </c>
      <c r="J147" s="527">
        <v>19</v>
      </c>
      <c r="K147" s="327">
        <v>0.9980894253408078</v>
      </c>
      <c r="L147" s="325">
        <v>0</v>
      </c>
      <c r="M147" s="326">
        <v>4.9719760632154193</v>
      </c>
      <c r="N147" s="324">
        <v>11.541744738854739</v>
      </c>
      <c r="O147" s="327">
        <v>0.32826796775821188</v>
      </c>
      <c r="P147" s="326">
        <v>3.687013234043143</v>
      </c>
      <c r="Q147" s="325">
        <v>0.19761255465744446</v>
      </c>
      <c r="R147" s="325">
        <v>0.87188406198487234</v>
      </c>
      <c r="S147" s="324">
        <v>0.47726151992933985</v>
      </c>
      <c r="T147" s="323">
        <f t="shared" si="51"/>
        <v>0</v>
      </c>
      <c r="U147" s="322">
        <f t="shared" si="52"/>
        <v>3.0404715761848493</v>
      </c>
      <c r="V147" s="321">
        <f t="shared" si="53"/>
        <v>0.43078201569278313</v>
      </c>
      <c r="W147" s="253">
        <f t="shared" si="54"/>
        <v>23.073849565783974</v>
      </c>
      <c r="X147" s="320">
        <f t="shared" si="55"/>
        <v>0.10702983950112395</v>
      </c>
      <c r="Y147" s="199">
        <v>1.1982012816729968</v>
      </c>
      <c r="Z147" s="319" t="s">
        <v>148</v>
      </c>
      <c r="AA147" s="293"/>
      <c r="AB147" s="293"/>
      <c r="AC147" s="293"/>
      <c r="AD147" s="293"/>
      <c r="AE147" s="225">
        <v>10.191756720401537</v>
      </c>
      <c r="AF147" s="261">
        <v>0.22439581608231401</v>
      </c>
      <c r="AG147" s="293">
        <v>62.37</v>
      </c>
      <c r="AH147" s="182">
        <v>35.006622591134693</v>
      </c>
      <c r="AI147" s="318">
        <v>6.4735441350361064E-2</v>
      </c>
      <c r="AJ147" s="182">
        <v>32.740453427512072</v>
      </c>
      <c r="AK147" s="317">
        <v>-22.548696707110537</v>
      </c>
      <c r="AL147" s="333">
        <v>140</v>
      </c>
    </row>
    <row r="148" spans="1:38" ht="19.5" customHeight="1">
      <c r="A148" s="293"/>
      <c r="B148" s="333">
        <v>141</v>
      </c>
      <c r="C148" s="335" t="s">
        <v>8</v>
      </c>
      <c r="D148" s="334">
        <v>45305</v>
      </c>
      <c r="E148" s="329">
        <v>1440</v>
      </c>
      <c r="F148" s="328">
        <v>30</v>
      </c>
      <c r="G148" s="532">
        <v>164.33333333333334</v>
      </c>
      <c r="H148" s="525">
        <v>0.85499999999999998</v>
      </c>
      <c r="I148" s="311">
        <f t="shared" si="50"/>
        <v>289.06</v>
      </c>
      <c r="J148" s="527">
        <v>15.9</v>
      </c>
      <c r="K148" s="327">
        <v>1.3054652615354256</v>
      </c>
      <c r="L148" s="325">
        <v>3.0293732163442333E-2</v>
      </c>
      <c r="M148" s="326">
        <v>3.6216721834586005</v>
      </c>
      <c r="N148" s="324">
        <v>7.7200224205787062</v>
      </c>
      <c r="O148" s="327">
        <v>0.56435215534913741</v>
      </c>
      <c r="P148" s="326">
        <v>2.8146264369192511</v>
      </c>
      <c r="Q148" s="325">
        <v>0.18483130402229198</v>
      </c>
      <c r="R148" s="325">
        <v>0.84999792018041276</v>
      </c>
      <c r="S148" s="324">
        <v>0.38275108747066094</v>
      </c>
      <c r="T148" s="323">
        <f t="shared" si="51"/>
        <v>8.3645704605193241E-3</v>
      </c>
      <c r="U148" s="322">
        <f t="shared" si="52"/>
        <v>2.3132103761131155</v>
      </c>
      <c r="V148" s="321">
        <f t="shared" si="53"/>
        <v>0.46912715872489835</v>
      </c>
      <c r="W148" s="253">
        <f t="shared" si="54"/>
        <v>17.474012501677933</v>
      </c>
      <c r="X148" s="320">
        <f t="shared" si="55"/>
        <v>0.10633273327593062</v>
      </c>
      <c r="Y148" s="199">
        <v>1.0346451832783616</v>
      </c>
      <c r="Z148" s="319" t="s">
        <v>148</v>
      </c>
      <c r="AA148" s="293"/>
      <c r="AB148" s="293"/>
      <c r="AC148" s="293"/>
      <c r="AD148" s="293"/>
      <c r="AE148" s="225">
        <v>10.189272528411665</v>
      </c>
      <c r="AF148" s="261">
        <v>0.44315680505703903</v>
      </c>
      <c r="AG148" s="293">
        <v>15.15</v>
      </c>
      <c r="AH148" s="182">
        <v>35.464313890330402</v>
      </c>
      <c r="AI148" s="318">
        <v>0.14957520699940396</v>
      </c>
      <c r="AJ148" s="182">
        <v>30.159731799092395</v>
      </c>
      <c r="AK148" s="317">
        <v>-19.970459270680728</v>
      </c>
      <c r="AL148" s="333">
        <v>141</v>
      </c>
    </row>
    <row r="149" spans="1:38" ht="19.5" customHeight="1">
      <c r="A149" s="293"/>
      <c r="B149" s="333">
        <v>142</v>
      </c>
      <c r="C149" s="335" t="s">
        <v>9</v>
      </c>
      <c r="D149" s="334">
        <v>45310</v>
      </c>
      <c r="E149" s="329">
        <v>1440</v>
      </c>
      <c r="F149" s="328">
        <v>30</v>
      </c>
      <c r="G149" s="532">
        <v>179.33333333333334</v>
      </c>
      <c r="H149" s="525">
        <v>0.73299999999999998</v>
      </c>
      <c r="I149" s="311">
        <f t="shared" si="50"/>
        <v>292.56</v>
      </c>
      <c r="J149" s="527">
        <v>19.399999999999999</v>
      </c>
      <c r="K149" s="327">
        <v>0.94150049732990226</v>
      </c>
      <c r="L149" s="325">
        <v>0</v>
      </c>
      <c r="M149" s="326">
        <v>3.1340246874192235</v>
      </c>
      <c r="N149" s="324">
        <v>5.4746985264047821</v>
      </c>
      <c r="O149" s="327">
        <v>0.14555167906752373</v>
      </c>
      <c r="P149" s="326">
        <v>2.1140656404960931</v>
      </c>
      <c r="Q149" s="325">
        <v>8.7583266245997465E-2</v>
      </c>
      <c r="R149" s="325">
        <v>0.49555697640711338</v>
      </c>
      <c r="S149" s="324">
        <v>0.30589710741206266</v>
      </c>
      <c r="T149" s="323">
        <f t="shared" si="51"/>
        <v>0</v>
      </c>
      <c r="U149" s="322">
        <f t="shared" si="52"/>
        <v>6.4684962987828216</v>
      </c>
      <c r="V149" s="321">
        <f t="shared" si="53"/>
        <v>0.57245612197706308</v>
      </c>
      <c r="W149" s="253">
        <f t="shared" si="54"/>
        <v>12.6988783807827</v>
      </c>
      <c r="X149" s="320">
        <f t="shared" si="55"/>
        <v>7.08115894839184E-2</v>
      </c>
      <c r="Y149" s="199">
        <v>1.1698792687293862</v>
      </c>
      <c r="Z149" s="319" t="s">
        <v>148</v>
      </c>
      <c r="AA149" s="293"/>
      <c r="AB149" s="293"/>
      <c r="AC149" s="293"/>
      <c r="AD149" s="293"/>
      <c r="AE149" s="225">
        <v>10.26411735102309</v>
      </c>
      <c r="AF149" s="261">
        <v>0.24966383645461671</v>
      </c>
      <c r="AG149" s="293">
        <v>9.0839999999999996</v>
      </c>
      <c r="AH149" s="182">
        <v>34.948272192787563</v>
      </c>
      <c r="AI149" s="318">
        <v>0.18265733766221295</v>
      </c>
      <c r="AJ149" s="182">
        <v>28.564713838158639</v>
      </c>
      <c r="AK149" s="317">
        <v>-18.30059648713555</v>
      </c>
      <c r="AL149" s="333">
        <v>142</v>
      </c>
    </row>
    <row r="150" spans="1:38" ht="19.5" customHeight="1">
      <c r="A150" s="293"/>
      <c r="B150" s="333">
        <v>143</v>
      </c>
      <c r="C150" s="335" t="s">
        <v>10</v>
      </c>
      <c r="D150" s="334">
        <v>45315</v>
      </c>
      <c r="E150" s="329">
        <v>1440</v>
      </c>
      <c r="F150" s="328">
        <v>30</v>
      </c>
      <c r="G150" s="532">
        <v>259.75</v>
      </c>
      <c r="H150" s="525">
        <v>0.80799999999999994</v>
      </c>
      <c r="I150" s="311">
        <f t="shared" si="50"/>
        <v>290.06</v>
      </c>
      <c r="J150" s="527">
        <v>16.899999999999999</v>
      </c>
      <c r="K150" s="327">
        <v>3.0247598645560863</v>
      </c>
      <c r="L150" s="325">
        <v>8.2693701311018261E-2</v>
      </c>
      <c r="M150" s="326">
        <v>16.118872737377526</v>
      </c>
      <c r="N150" s="324">
        <v>11.889599478047176</v>
      </c>
      <c r="O150" s="327">
        <v>0.81500920959736178</v>
      </c>
      <c r="P150" s="326">
        <v>5.1404392517698314</v>
      </c>
      <c r="Q150" s="325">
        <v>0.13754976131126354</v>
      </c>
      <c r="R150" s="325">
        <v>1.1029361406093683</v>
      </c>
      <c r="S150" s="324">
        <v>1.1862819505876832</v>
      </c>
      <c r="T150" s="323">
        <f t="shared" si="51"/>
        <v>5.1302409702176349E-3</v>
      </c>
      <c r="U150" s="322">
        <f t="shared" si="52"/>
        <v>3.7113198586435674</v>
      </c>
      <c r="V150" s="321">
        <f t="shared" si="53"/>
        <v>1.3557120041881339</v>
      </c>
      <c r="W150" s="253">
        <f t="shared" si="54"/>
        <v>39.498142095167317</v>
      </c>
      <c r="X150" s="320">
        <f t="shared" si="55"/>
        <v>0.15206214473596658</v>
      </c>
      <c r="Y150" s="199">
        <v>1.4256535038787723</v>
      </c>
      <c r="Z150" s="319" t="s">
        <v>148</v>
      </c>
      <c r="AA150" s="293"/>
      <c r="AB150" s="293"/>
      <c r="AC150" s="293"/>
      <c r="AD150" s="293"/>
      <c r="AE150" s="225">
        <v>10.130501055480954</v>
      </c>
      <c r="AF150" s="261">
        <v>0.21779828584560035</v>
      </c>
      <c r="AG150" s="293">
        <v>247.5</v>
      </c>
      <c r="AH150" s="182">
        <v>35.315602585761084</v>
      </c>
      <c r="AI150" s="318">
        <v>2.9946014336952407E-2</v>
      </c>
      <c r="AJ150" s="182">
        <v>34.258041044409765</v>
      </c>
      <c r="AK150" s="317">
        <v>-24.12753998892881</v>
      </c>
      <c r="AL150" s="333">
        <v>143</v>
      </c>
    </row>
    <row r="151" spans="1:38" ht="19.5" customHeight="1">
      <c r="A151" s="293"/>
      <c r="B151" s="333">
        <v>144</v>
      </c>
      <c r="C151" s="335" t="s">
        <v>11</v>
      </c>
      <c r="D151" s="334">
        <v>45320</v>
      </c>
      <c r="E151" s="329">
        <v>1440</v>
      </c>
      <c r="F151" s="328">
        <v>30</v>
      </c>
      <c r="G151" s="532">
        <v>275.75</v>
      </c>
      <c r="H151" s="525">
        <v>0.58700000000000008</v>
      </c>
      <c r="I151" s="311">
        <f t="shared" si="50"/>
        <v>291.36</v>
      </c>
      <c r="J151" s="527">
        <v>18.2</v>
      </c>
      <c r="K151" s="327">
        <v>1.125471278897233</v>
      </c>
      <c r="L151" s="325">
        <v>0</v>
      </c>
      <c r="M151" s="326">
        <v>3.6396324661725021</v>
      </c>
      <c r="N151" s="324">
        <v>6.5757940406925766</v>
      </c>
      <c r="O151" s="327">
        <v>0.16416634595645108</v>
      </c>
      <c r="P151" s="326">
        <v>2.2329975064516421</v>
      </c>
      <c r="Q151" s="325">
        <v>0.11688023560901958</v>
      </c>
      <c r="R151" s="325">
        <v>1.0405843092724001</v>
      </c>
      <c r="S151" s="324">
        <v>0.36086467663580474</v>
      </c>
      <c r="T151" s="323">
        <f t="shared" si="51"/>
        <v>0</v>
      </c>
      <c r="U151" s="322">
        <f t="shared" si="52"/>
        <v>6.8556760055790624</v>
      </c>
      <c r="V151" s="321">
        <f t="shared" si="53"/>
        <v>0.55348942555828107</v>
      </c>
      <c r="W151" s="253">
        <f t="shared" si="54"/>
        <v>15.256390859687631</v>
      </c>
      <c r="X151" s="320">
        <f t="shared" si="55"/>
        <v>5.5326893416818242E-2</v>
      </c>
      <c r="Y151" s="199">
        <v>1.1267981514088514</v>
      </c>
      <c r="Z151" s="319" t="s">
        <v>148</v>
      </c>
      <c r="AA151" s="293"/>
      <c r="AB151" s="293"/>
      <c r="AC151" s="293"/>
      <c r="AD151" s="293"/>
      <c r="AE151" s="225">
        <v>12.469819133382408</v>
      </c>
      <c r="AF151" s="261">
        <v>0.2196948561200941</v>
      </c>
      <c r="AG151" s="293">
        <v>17.149999999999999</v>
      </c>
      <c r="AH151" s="182">
        <v>35.123804050111552</v>
      </c>
      <c r="AI151" s="318">
        <v>0.10830332119332463</v>
      </c>
      <c r="AJ151" s="182">
        <v>31.319779418540925</v>
      </c>
      <c r="AK151" s="317">
        <v>-18.849960285158517</v>
      </c>
      <c r="AL151" s="333">
        <v>144</v>
      </c>
    </row>
    <row r="152" spans="1:38" ht="19.5" customHeight="1">
      <c r="A152" s="293"/>
      <c r="B152" s="333">
        <v>145</v>
      </c>
      <c r="C152" s="335" t="s">
        <v>12</v>
      </c>
      <c r="D152" s="334">
        <v>45327</v>
      </c>
      <c r="E152" s="329">
        <v>1440</v>
      </c>
      <c r="F152" s="328">
        <v>30</v>
      </c>
      <c r="G152" s="532">
        <v>153.04166666666666</v>
      </c>
      <c r="H152" s="525">
        <v>0.59899999999999998</v>
      </c>
      <c r="I152" s="311">
        <f t="shared" si="50"/>
        <v>294.16000000000003</v>
      </c>
      <c r="J152" s="527">
        <v>21</v>
      </c>
      <c r="K152" s="327">
        <v>2.2242952530843758</v>
      </c>
      <c r="L152" s="325">
        <v>0</v>
      </c>
      <c r="M152" s="326">
        <v>6.2297338536168869</v>
      </c>
      <c r="N152" s="324">
        <v>7.2747974087091345</v>
      </c>
      <c r="O152" s="327">
        <v>0.29498573206707029</v>
      </c>
      <c r="P152" s="326">
        <v>3.2437013942139514</v>
      </c>
      <c r="Q152" s="325">
        <v>0.15324692942995707</v>
      </c>
      <c r="R152" s="325">
        <v>1.233969860797131</v>
      </c>
      <c r="S152" s="324">
        <v>0.96110682848253148</v>
      </c>
      <c r="T152" s="323">
        <f t="shared" si="51"/>
        <v>0</v>
      </c>
      <c r="U152" s="322">
        <f t="shared" si="52"/>
        <v>7.5403486043136567</v>
      </c>
      <c r="V152" s="321">
        <f t="shared" si="53"/>
        <v>0.8563446517643043</v>
      </c>
      <c r="W152" s="253">
        <f t="shared" si="54"/>
        <v>21.615837260401037</v>
      </c>
      <c r="X152" s="320">
        <f t="shared" si="55"/>
        <v>0.14124151762853931</v>
      </c>
      <c r="Y152" s="199">
        <v>1.0802522757588513</v>
      </c>
      <c r="Z152" s="319" t="s">
        <v>148</v>
      </c>
      <c r="AA152" s="293"/>
      <c r="AB152" s="293"/>
      <c r="AC152" s="293"/>
      <c r="AD152" s="293"/>
      <c r="AE152" s="225">
        <v>11.72258395820247</v>
      </c>
      <c r="AF152" s="261">
        <v>0.14008336074800565</v>
      </c>
      <c r="AG152" s="293">
        <v>38.369999999999997</v>
      </c>
      <c r="AH152" s="182">
        <v>34.716457555668882</v>
      </c>
      <c r="AI152" s="318">
        <v>6.9676127434505727E-2</v>
      </c>
      <c r="AJ152" s="182">
        <v>32.297549234945492</v>
      </c>
      <c r="AK152" s="317">
        <v>-20.574965276743022</v>
      </c>
      <c r="AL152" s="333">
        <v>145</v>
      </c>
    </row>
    <row r="153" spans="1:38" ht="19.5" customHeight="1">
      <c r="A153" s="293"/>
      <c r="B153" s="333">
        <v>146</v>
      </c>
      <c r="C153" s="331" t="s">
        <v>13</v>
      </c>
      <c r="D153" s="330">
        <v>45337</v>
      </c>
      <c r="E153" s="329">
        <v>1440</v>
      </c>
      <c r="F153" s="328">
        <v>30</v>
      </c>
      <c r="G153" s="532">
        <v>179.66666666666666</v>
      </c>
      <c r="H153" s="525">
        <v>0.62</v>
      </c>
      <c r="I153" s="311">
        <f t="shared" si="50"/>
        <v>297.06</v>
      </c>
      <c r="J153" s="527">
        <v>23.9</v>
      </c>
      <c r="K153" s="327">
        <v>2.6595743022142373</v>
      </c>
      <c r="L153" s="325">
        <v>0</v>
      </c>
      <c r="M153" s="326">
        <v>10.893728091618867</v>
      </c>
      <c r="N153" s="324">
        <v>10.52481547385095</v>
      </c>
      <c r="O153" s="327">
        <v>0.44846088477525697</v>
      </c>
      <c r="P153" s="326">
        <v>3.7197617581031883</v>
      </c>
      <c r="Q153" s="325">
        <v>0.22829024378520646</v>
      </c>
      <c r="R153" s="325">
        <v>1.5587035959648901</v>
      </c>
      <c r="S153" s="324">
        <v>1.2993727648327764</v>
      </c>
      <c r="T153" s="323">
        <f t="shared" si="51"/>
        <v>0</v>
      </c>
      <c r="U153" s="322">
        <f t="shared" si="52"/>
        <v>5.9304487693437622</v>
      </c>
      <c r="V153" s="321">
        <f t="shared" si="53"/>
        <v>1.0350516946054289</v>
      </c>
      <c r="W153" s="253">
        <f t="shared" si="54"/>
        <v>31.332707115145372</v>
      </c>
      <c r="X153" s="320">
        <f t="shared" si="55"/>
        <v>0.17439354609542879</v>
      </c>
      <c r="Y153" s="199">
        <v>1.3213318226297748</v>
      </c>
      <c r="Z153" s="319" t="s">
        <v>148</v>
      </c>
      <c r="AA153" s="293"/>
      <c r="AB153" s="293"/>
      <c r="AC153" s="293"/>
      <c r="AD153" s="293"/>
      <c r="AE153" s="225">
        <v>11.894188479362873</v>
      </c>
      <c r="AF153" s="261">
        <v>0.15601288208051456</v>
      </c>
      <c r="AG153" s="293">
        <v>12.07</v>
      </c>
      <c r="AH153" s="182">
        <v>34.302658575997313</v>
      </c>
      <c r="AI153" s="318">
        <v>0.23217665854393865</v>
      </c>
      <c r="AJ153" s="182">
        <v>26.338381928648676</v>
      </c>
      <c r="AK153" s="317">
        <v>-14.444193449285804</v>
      </c>
      <c r="AL153" s="333">
        <v>146</v>
      </c>
    </row>
    <row r="154" spans="1:38" ht="19.5" customHeight="1">
      <c r="A154" s="293"/>
      <c r="B154" s="333">
        <v>147</v>
      </c>
      <c r="C154" s="331" t="s">
        <v>14</v>
      </c>
      <c r="D154" s="330">
        <v>45340</v>
      </c>
      <c r="E154" s="329">
        <v>1440</v>
      </c>
      <c r="F154" s="328">
        <v>30</v>
      </c>
      <c r="G154" s="532">
        <v>284.25</v>
      </c>
      <c r="H154" s="525">
        <v>0.61199999999999999</v>
      </c>
      <c r="I154" s="311">
        <f t="shared" si="50"/>
        <v>295.56</v>
      </c>
      <c r="J154" s="527">
        <v>22.4</v>
      </c>
      <c r="K154" s="327">
        <v>2.2583315427563759</v>
      </c>
      <c r="L154" s="325">
        <v>0</v>
      </c>
      <c r="M154" s="326">
        <v>9.251040575136825</v>
      </c>
      <c r="N154" s="324">
        <v>8.9780071856598482</v>
      </c>
      <c r="O154" s="327">
        <v>0.29361182591771673</v>
      </c>
      <c r="P154" s="326">
        <v>3.2565640859997962</v>
      </c>
      <c r="Q154" s="325">
        <v>0.17166798063623664</v>
      </c>
      <c r="R154" s="325">
        <v>1.3551916667861539</v>
      </c>
      <c r="S154" s="324">
        <v>0.98652588742075475</v>
      </c>
      <c r="T154" s="323">
        <f t="shared" si="51"/>
        <v>0</v>
      </c>
      <c r="U154" s="322">
        <f t="shared" si="52"/>
        <v>7.6915551194087879</v>
      </c>
      <c r="V154" s="321">
        <f t="shared" si="53"/>
        <v>1.0304113578693812</v>
      </c>
      <c r="W154" s="253">
        <f t="shared" si="54"/>
        <v>26.550940750313703</v>
      </c>
      <c r="X154" s="320">
        <f t="shared" si="55"/>
        <v>9.3407003519133516E-2</v>
      </c>
      <c r="Y154" s="199">
        <v>1.3312746825387876</v>
      </c>
      <c r="Z154" s="319" t="s">
        <v>148</v>
      </c>
      <c r="AA154" s="293"/>
      <c r="AB154" s="293"/>
      <c r="AC154" s="293"/>
      <c r="AD154" s="293"/>
      <c r="AE154" s="225">
        <v>12.9157218419671</v>
      </c>
      <c r="AF154" s="261">
        <v>0.18264447554974506</v>
      </c>
      <c r="AG154" s="293">
        <v>10.08</v>
      </c>
      <c r="AH154" s="182">
        <v>34.515678666892242</v>
      </c>
      <c r="AI154" s="318">
        <v>0.23962197635770138</v>
      </c>
      <c r="AJ154" s="182">
        <v>26.244963529404171</v>
      </c>
      <c r="AK154" s="317">
        <v>-13.32924168743707</v>
      </c>
      <c r="AL154" s="333">
        <v>147</v>
      </c>
    </row>
    <row r="155" spans="1:38" ht="19.5" customHeight="1">
      <c r="A155" s="293"/>
      <c r="B155" s="333">
        <v>148</v>
      </c>
      <c r="C155" s="331" t="s">
        <v>15</v>
      </c>
      <c r="D155" s="330">
        <v>45347</v>
      </c>
      <c r="E155" s="329">
        <v>1440</v>
      </c>
      <c r="F155" s="328">
        <v>30</v>
      </c>
      <c r="G155" s="532">
        <v>65.208333333333329</v>
      </c>
      <c r="H155" s="525">
        <v>0.59699999999999998</v>
      </c>
      <c r="I155" s="311">
        <f t="shared" si="50"/>
        <v>295.36</v>
      </c>
      <c r="J155" s="527">
        <v>22.2</v>
      </c>
      <c r="K155" s="327">
        <v>1.9641729714936689</v>
      </c>
      <c r="L155" s="325">
        <v>0</v>
      </c>
      <c r="M155" s="326">
        <v>8.9588949492245877</v>
      </c>
      <c r="N155" s="324">
        <v>8.8335427335030712</v>
      </c>
      <c r="O155" s="327">
        <v>0.24274271905100681</v>
      </c>
      <c r="P155" s="326">
        <v>3.4447948504656503</v>
      </c>
      <c r="Q155" s="325">
        <v>0.1894213867004384</v>
      </c>
      <c r="R155" s="325">
        <v>1.3360972547670591</v>
      </c>
      <c r="S155" s="324">
        <v>0.77337180935638339</v>
      </c>
      <c r="T155" s="323">
        <f t="shared" si="51"/>
        <v>0</v>
      </c>
      <c r="U155" s="322">
        <f t="shared" si="52"/>
        <v>8.0915834640582691</v>
      </c>
      <c r="V155" s="321">
        <f t="shared" si="53"/>
        <v>1.0141904804791504</v>
      </c>
      <c r="W155" s="253">
        <f t="shared" si="54"/>
        <v>25.743038674561863</v>
      </c>
      <c r="X155" s="320">
        <f t="shared" si="55"/>
        <v>0.39478142376324904</v>
      </c>
      <c r="Y155" s="199">
        <v>1.2638334736454233</v>
      </c>
      <c r="Z155" s="319" t="s">
        <v>148</v>
      </c>
      <c r="AA155" s="293"/>
      <c r="AB155" s="293"/>
      <c r="AC155" s="293"/>
      <c r="AD155" s="293"/>
      <c r="AE155" s="225">
        <v>14.390228739826766</v>
      </c>
      <c r="AF155" s="261">
        <v>0.11868015679459276</v>
      </c>
      <c r="AG155" s="293">
        <v>13.12</v>
      </c>
      <c r="AH155" s="182">
        <v>34.544244828169973</v>
      </c>
      <c r="AI155" s="318">
        <v>0.20217916250694393</v>
      </c>
      <c r="AJ155" s="182">
        <v>27.560118339375741</v>
      </c>
      <c r="AK155" s="317">
        <v>-13.169889599548975</v>
      </c>
      <c r="AL155" s="333">
        <v>148</v>
      </c>
    </row>
    <row r="156" spans="1:38" ht="19.5" customHeight="1">
      <c r="A156" s="293"/>
      <c r="B156" s="332">
        <v>149</v>
      </c>
      <c r="C156" s="331" t="s">
        <v>16</v>
      </c>
      <c r="D156" s="330">
        <v>45356</v>
      </c>
      <c r="E156" s="329">
        <v>1440</v>
      </c>
      <c r="F156" s="328">
        <v>30</v>
      </c>
      <c r="G156" s="532">
        <v>116.16666666666667</v>
      </c>
      <c r="H156" s="525">
        <v>0.55600000000000005</v>
      </c>
      <c r="I156" s="311">
        <f t="shared" si="50"/>
        <v>298.56</v>
      </c>
      <c r="J156" s="527">
        <v>25.4</v>
      </c>
      <c r="K156" s="327">
        <v>2.6013414289886452</v>
      </c>
      <c r="L156" s="325">
        <v>0</v>
      </c>
      <c r="M156" s="326">
        <v>4.5068275544336629</v>
      </c>
      <c r="N156" s="324">
        <v>6.5144287866482138</v>
      </c>
      <c r="O156" s="327">
        <v>0.38400676874429712</v>
      </c>
      <c r="P156" s="326">
        <v>2.6165159160519966</v>
      </c>
      <c r="Q156" s="325">
        <v>0.19224279986525861</v>
      </c>
      <c r="R156" s="325">
        <v>1.2799427822464458</v>
      </c>
      <c r="S156" s="324">
        <v>0.75844255857245313</v>
      </c>
      <c r="T156" s="323">
        <f t="shared" si="51"/>
        <v>0</v>
      </c>
      <c r="U156" s="322">
        <f t="shared" si="52"/>
        <v>6.7742072294585762</v>
      </c>
      <c r="V156" s="321">
        <f t="shared" si="53"/>
        <v>0.69182236878093251</v>
      </c>
      <c r="W156" s="253">
        <f t="shared" si="54"/>
        <v>18.853748595550975</v>
      </c>
      <c r="X156" s="320">
        <f t="shared" si="55"/>
        <v>0.16229912707791369</v>
      </c>
      <c r="Y156" s="199">
        <v>1.0811001351039784</v>
      </c>
      <c r="Z156" s="319" t="s">
        <v>148</v>
      </c>
      <c r="AA156" s="293"/>
      <c r="AB156" s="293"/>
      <c r="AC156" s="293"/>
      <c r="AD156" s="293"/>
      <c r="AE156" s="225">
        <v>13.096569389965621</v>
      </c>
      <c r="AF156" s="261">
        <v>0.13314047499038545</v>
      </c>
      <c r="AG156" s="293">
        <v>69.69</v>
      </c>
      <c r="AH156" s="182">
        <v>34.091779031987947</v>
      </c>
      <c r="AI156" s="318">
        <v>2.6900441768351806E-2</v>
      </c>
      <c r="AJ156" s="182">
        <v>33.174695115358439</v>
      </c>
      <c r="AK156" s="317">
        <v>-20.078125725392816</v>
      </c>
      <c r="AL156" s="332">
        <v>149</v>
      </c>
    </row>
    <row r="157" spans="1:38" ht="19.5" customHeight="1">
      <c r="A157" s="293"/>
      <c r="B157" s="332">
        <v>150</v>
      </c>
      <c r="C157" s="331" t="s">
        <v>17</v>
      </c>
      <c r="D157" s="330">
        <v>45361</v>
      </c>
      <c r="E157" s="329">
        <v>1440</v>
      </c>
      <c r="F157" s="328">
        <v>30</v>
      </c>
      <c r="G157" s="532">
        <v>115.29166666666667</v>
      </c>
      <c r="H157" s="525">
        <v>0.436</v>
      </c>
      <c r="I157" s="311">
        <f t="shared" si="50"/>
        <v>297.06</v>
      </c>
      <c r="J157" s="527">
        <v>23.9</v>
      </c>
      <c r="K157" s="327">
        <v>2.0606908694777912</v>
      </c>
      <c r="L157" s="325">
        <v>0</v>
      </c>
      <c r="M157" s="326">
        <v>7.7663811780189445</v>
      </c>
      <c r="N157" s="324">
        <v>6.9652067545769265</v>
      </c>
      <c r="O157" s="327">
        <v>0.29238391953051157</v>
      </c>
      <c r="P157" s="326">
        <v>3.0716125203441247</v>
      </c>
      <c r="Q157" s="325">
        <v>0.2076067215368847</v>
      </c>
      <c r="R157" s="325">
        <v>1.3086760021283479</v>
      </c>
      <c r="S157" s="324">
        <v>1.430647743047599</v>
      </c>
      <c r="T157" s="323">
        <f t="shared" si="51"/>
        <v>0</v>
      </c>
      <c r="U157" s="322">
        <f t="shared" si="52"/>
        <v>7.0478939908415477</v>
      </c>
      <c r="V157" s="321">
        <f t="shared" si="53"/>
        <v>1.1150252177245932</v>
      </c>
      <c r="W157" s="253">
        <f t="shared" si="54"/>
        <v>23.103205708661129</v>
      </c>
      <c r="X157" s="320">
        <f t="shared" si="55"/>
        <v>0.20038920744772934</v>
      </c>
      <c r="Y157" s="199">
        <v>1.0874393131768831</v>
      </c>
      <c r="Z157" s="319" t="s">
        <v>148</v>
      </c>
      <c r="AA157" s="293"/>
      <c r="AB157" s="293"/>
      <c r="AC157" s="293"/>
      <c r="AD157" s="293"/>
      <c r="AE157" s="225">
        <v>12.7212744241846</v>
      </c>
      <c r="AF157" s="261">
        <v>0.20233122295092631</v>
      </c>
      <c r="AG157" s="293">
        <v>82.81</v>
      </c>
      <c r="AH157" s="182">
        <v>34.302658575997313</v>
      </c>
      <c r="AI157" s="318">
        <v>2.6584808414243766E-2</v>
      </c>
      <c r="AJ157" s="182">
        <v>33.390728969655207</v>
      </c>
      <c r="AK157" s="317">
        <v>-20.669454545470607</v>
      </c>
      <c r="AL157" s="332">
        <v>150</v>
      </c>
    </row>
    <row r="158" spans="1:38" ht="19.5" customHeight="1">
      <c r="A158" s="293"/>
      <c r="B158" s="332">
        <v>151</v>
      </c>
      <c r="C158" s="331" t="s">
        <v>18</v>
      </c>
      <c r="D158" s="330">
        <v>45369</v>
      </c>
      <c r="E158" s="329">
        <v>1440</v>
      </c>
      <c r="F158" s="328">
        <v>30</v>
      </c>
      <c r="G158" s="532">
        <v>172.95833333333334</v>
      </c>
      <c r="H158" s="525">
        <v>0.60399999999999998</v>
      </c>
      <c r="I158" s="311">
        <f t="shared" si="50"/>
        <v>301.06</v>
      </c>
      <c r="J158" s="527">
        <v>27.9</v>
      </c>
      <c r="K158" s="327">
        <v>1.7985544587939006</v>
      </c>
      <c r="L158" s="325">
        <v>0</v>
      </c>
      <c r="M158" s="326">
        <v>4.7228719401471828</v>
      </c>
      <c r="N158" s="324">
        <v>12.48422885631593</v>
      </c>
      <c r="O158" s="327">
        <v>0.83004135923146438</v>
      </c>
      <c r="P158" s="326">
        <v>3.1682642919620077</v>
      </c>
      <c r="Q158" s="325">
        <v>0.31173891745647514</v>
      </c>
      <c r="R158" s="325">
        <v>1.2602245386864317</v>
      </c>
      <c r="S158" s="324">
        <v>0.80812627377222912</v>
      </c>
      <c r="T158" s="323">
        <f t="shared" si="51"/>
        <v>0</v>
      </c>
      <c r="U158" s="322">
        <f t="shared" si="52"/>
        <v>2.1668251091236983</v>
      </c>
      <c r="V158" s="321">
        <f t="shared" si="53"/>
        <v>0.37830706201431269</v>
      </c>
      <c r="W158" s="253">
        <f t="shared" si="54"/>
        <v>25.384050636365622</v>
      </c>
      <c r="X158" s="320">
        <f>W158/G158</f>
        <v>0.146763964170748</v>
      </c>
      <c r="Y158" s="199">
        <v>1.2045797007838888</v>
      </c>
      <c r="Z158" s="319" t="s">
        <v>148</v>
      </c>
      <c r="AA158" s="293"/>
      <c r="AB158" s="293"/>
      <c r="AC158" s="293"/>
      <c r="AD158" s="293"/>
      <c r="AE158" s="225">
        <v>13.595039846049028</v>
      </c>
      <c r="AF158" s="261">
        <v>0.16530595591788322</v>
      </c>
      <c r="AG158" s="293">
        <v>25.24</v>
      </c>
      <c r="AH158" s="182">
        <v>33.744982992858333</v>
      </c>
      <c r="AI158" s="318">
        <v>0.10395614943152914</v>
      </c>
      <c r="AJ158" s="182">
        <v>30.236984498288344</v>
      </c>
      <c r="AK158" s="317">
        <v>-16.641944652239317</v>
      </c>
      <c r="AL158" s="332">
        <v>151</v>
      </c>
    </row>
    <row r="159" spans="1:38" ht="19.5" customHeight="1">
      <c r="A159" s="293"/>
      <c r="B159" s="332">
        <v>152</v>
      </c>
      <c r="C159" s="331" t="s">
        <v>19</v>
      </c>
      <c r="D159" s="330">
        <v>45376</v>
      </c>
      <c r="E159" s="329">
        <v>1440</v>
      </c>
      <c r="F159" s="328">
        <v>30</v>
      </c>
      <c r="G159" s="532">
        <v>63.458333333333336</v>
      </c>
      <c r="H159" s="525">
        <v>0.75099999999999989</v>
      </c>
      <c r="I159" s="311">
        <f t="shared" si="50"/>
        <v>299.76000000000005</v>
      </c>
      <c r="J159" s="527">
        <v>26.6</v>
      </c>
      <c r="K159" s="327">
        <v>0.73713575980228141</v>
      </c>
      <c r="L159" s="325">
        <v>4.8743545713609539E-2</v>
      </c>
      <c r="M159" s="326">
        <v>1.3689674574960087</v>
      </c>
      <c r="N159" s="324">
        <v>5.3877580462680044</v>
      </c>
      <c r="O159" s="327">
        <v>0.10656677875436589</v>
      </c>
      <c r="P159" s="326">
        <v>1.1457861367838142</v>
      </c>
      <c r="Q159" s="325">
        <v>4.8494226230523414E-2</v>
      </c>
      <c r="R159" s="325">
        <v>0.43465819706316461</v>
      </c>
      <c r="S159" s="324">
        <v>0.21352399659651364</v>
      </c>
      <c r="T159" s="323">
        <f t="shared" si="51"/>
        <v>3.5606066051246256E-2</v>
      </c>
      <c r="U159" s="322">
        <f t="shared" si="52"/>
        <v>6.9171252844318705</v>
      </c>
      <c r="V159" s="321">
        <f t="shared" si="53"/>
        <v>0.25408851803288862</v>
      </c>
      <c r="W159" s="253">
        <f t="shared" si="54"/>
        <v>9.4916341447082875</v>
      </c>
      <c r="X159" s="320">
        <f t="shared" si="55"/>
        <v>0.14957269827511419</v>
      </c>
      <c r="Y159" s="199">
        <v>1.5722154108491968</v>
      </c>
      <c r="Z159" s="319" t="s">
        <v>148</v>
      </c>
      <c r="AA159" s="293"/>
      <c r="AB159" s="293"/>
      <c r="AC159" s="293"/>
      <c r="AD159" s="293"/>
      <c r="AE159" s="225">
        <v>16.448997955937539</v>
      </c>
      <c r="AF159" s="261">
        <v>0.39372403209094481</v>
      </c>
      <c r="AG159" s="293">
        <v>60.39</v>
      </c>
      <c r="AH159" s="182">
        <v>33.924594995829857</v>
      </c>
      <c r="AI159" s="318">
        <v>2.8252698146247594E-2</v>
      </c>
      <c r="AJ159" s="182">
        <v>32.966133653678973</v>
      </c>
      <c r="AK159" s="317">
        <v>-16.517135697741434</v>
      </c>
      <c r="AL159" s="332">
        <v>152</v>
      </c>
    </row>
    <row r="160" spans="1:38" ht="19.5" customHeight="1">
      <c r="A160" s="293"/>
      <c r="B160" s="332">
        <v>153</v>
      </c>
      <c r="C160" s="331" t="s">
        <v>20</v>
      </c>
      <c r="D160" s="330">
        <v>45384</v>
      </c>
      <c r="E160" s="329">
        <v>1440</v>
      </c>
      <c r="F160" s="328">
        <v>30</v>
      </c>
      <c r="G160" s="532">
        <v>67.291666666666671</v>
      </c>
      <c r="H160" s="525">
        <v>0.67299999999999993</v>
      </c>
      <c r="I160" s="311">
        <f t="shared" si="50"/>
        <v>303.06</v>
      </c>
      <c r="J160" s="527">
        <v>29.9</v>
      </c>
      <c r="K160" s="327">
        <v>0.41014988973396804</v>
      </c>
      <c r="L160" s="325">
        <v>0</v>
      </c>
      <c r="M160" s="326">
        <v>1.0882445761670516</v>
      </c>
      <c r="N160" s="324">
        <v>7.7741910521852473</v>
      </c>
      <c r="O160" s="327">
        <v>0.37323831043702527</v>
      </c>
      <c r="P160" s="326">
        <v>1.6747481298387314</v>
      </c>
      <c r="Q160" s="325">
        <v>0.17794714145819454</v>
      </c>
      <c r="R160" s="325">
        <v>0.71073375641056302</v>
      </c>
      <c r="S160" s="324">
        <v>0.35138750952826298</v>
      </c>
      <c r="T160" s="323">
        <f t="shared" si="51"/>
        <v>0</v>
      </c>
      <c r="U160" s="322">
        <f t="shared" si="52"/>
        <v>1.098895473119367</v>
      </c>
      <c r="V160" s="321">
        <f t="shared" si="53"/>
        <v>0.13998171242024685</v>
      </c>
      <c r="W160" s="253">
        <f t="shared" si="54"/>
        <v>12.560640365759044</v>
      </c>
      <c r="X160" s="320">
        <f t="shared" si="55"/>
        <v>0.18665967107010342</v>
      </c>
      <c r="Y160" s="199">
        <v>1.1339403102991881</v>
      </c>
      <c r="Z160" s="319" t="s">
        <v>148</v>
      </c>
      <c r="AA160" s="293"/>
      <c r="AB160" s="293"/>
      <c r="AC160" s="293"/>
      <c r="AD160" s="293"/>
      <c r="AE160" s="225">
        <v>15.989856899554132</v>
      </c>
      <c r="AF160" s="261">
        <v>0.16281203245446413</v>
      </c>
      <c r="AG160" s="293">
        <v>15.14</v>
      </c>
      <c r="AH160" s="182">
        <v>33.471665830721008</v>
      </c>
      <c r="AI160" s="318">
        <v>9.2040258592714058E-2</v>
      </c>
      <c r="AJ160" s="182">
        <v>30.390925052132538</v>
      </c>
      <c r="AK160" s="317">
        <v>-14.401068152578405</v>
      </c>
      <c r="AL160" s="332">
        <v>153</v>
      </c>
    </row>
    <row r="161" spans="1:38" ht="19.5" customHeight="1">
      <c r="A161" s="293"/>
      <c r="B161" s="332">
        <v>154</v>
      </c>
      <c r="C161" s="331" t="s">
        <v>21</v>
      </c>
      <c r="D161" s="330">
        <v>45398</v>
      </c>
      <c r="E161" s="329">
        <v>1440</v>
      </c>
      <c r="F161" s="328">
        <v>30</v>
      </c>
      <c r="G161" s="532">
        <v>71.666666666666671</v>
      </c>
      <c r="H161" s="525">
        <v>0.60099999999999998</v>
      </c>
      <c r="I161" s="311">
        <f t="shared" si="50"/>
        <v>303.66000000000003</v>
      </c>
      <c r="J161" s="527">
        <v>30.5</v>
      </c>
      <c r="K161" s="327">
        <v>0.49203879461835842</v>
      </c>
      <c r="L161" s="325">
        <v>1.7491992605008059E-2</v>
      </c>
      <c r="M161" s="326">
        <v>1.3594894491720868</v>
      </c>
      <c r="N161" s="324">
        <v>7.0874343419833092</v>
      </c>
      <c r="O161" s="327">
        <v>0.21416856802281994</v>
      </c>
      <c r="P161" s="326">
        <v>1.2565316585659292</v>
      </c>
      <c r="Q161" s="325">
        <v>7.8876593724949817E-2</v>
      </c>
      <c r="R161" s="325">
        <v>0.63735825411524316</v>
      </c>
      <c r="S161" s="324">
        <v>0.29450231385152115</v>
      </c>
      <c r="T161" s="323">
        <f t="shared" si="51"/>
        <v>1.2866589450665085E-2</v>
      </c>
      <c r="U161" s="322">
        <f t="shared" si="52"/>
        <v>2.297437010298967</v>
      </c>
      <c r="V161" s="321">
        <f t="shared" si="53"/>
        <v>0.19181686680594415</v>
      </c>
      <c r="W161" s="253">
        <f t="shared" si="54"/>
        <v>11.437891966659226</v>
      </c>
      <c r="X161" s="320">
        <f t="shared" si="55"/>
        <v>0.15959849255803571</v>
      </c>
      <c r="Y161" s="199">
        <v>1.4709937113338403</v>
      </c>
      <c r="Z161" s="319" t="s">
        <v>148</v>
      </c>
      <c r="AA161" s="293"/>
      <c r="AB161" s="293"/>
      <c r="AC161" s="293"/>
      <c r="AD161" s="293"/>
      <c r="AE161" s="225">
        <v>18.178674418165127</v>
      </c>
      <c r="AF161" s="261">
        <v>0.2633109534343902</v>
      </c>
      <c r="AG161" s="293">
        <v>43.56</v>
      </c>
      <c r="AH161" s="182">
        <v>33.390372764696203</v>
      </c>
      <c r="AI161" s="318">
        <v>3.7487001243605461E-2</v>
      </c>
      <c r="AJ161" s="182">
        <v>32.138667819341585</v>
      </c>
      <c r="AK161" s="317">
        <v>-13.959993401176458</v>
      </c>
      <c r="AL161" s="332">
        <v>154</v>
      </c>
    </row>
    <row r="162" spans="1:38" ht="19.5" customHeight="1" thickBot="1">
      <c r="A162" s="293"/>
      <c r="B162" s="316">
        <v>155</v>
      </c>
      <c r="C162" s="315" t="s">
        <v>22</v>
      </c>
      <c r="D162" s="314">
        <v>45406</v>
      </c>
      <c r="E162" s="313">
        <v>1440</v>
      </c>
      <c r="F162" s="312">
        <v>30</v>
      </c>
      <c r="G162" s="534">
        <v>78.625</v>
      </c>
      <c r="H162" s="525">
        <v>0.52600000000000002</v>
      </c>
      <c r="I162" s="311">
        <f t="shared" si="50"/>
        <v>306.36</v>
      </c>
      <c r="J162" s="527">
        <v>33.200000000000003</v>
      </c>
      <c r="K162" s="310">
        <v>0.53030359889666867</v>
      </c>
      <c r="L162" s="308">
        <v>0</v>
      </c>
      <c r="M162" s="309">
        <v>1.4463003000465371</v>
      </c>
      <c r="N162" s="307">
        <v>8.6119768005676125</v>
      </c>
      <c r="O162" s="310">
        <v>0.17731829418951797</v>
      </c>
      <c r="P162" s="309">
        <v>2.1110092733556973</v>
      </c>
      <c r="Q162" s="308">
        <v>0.10837275541030679</v>
      </c>
      <c r="R162" s="308">
        <v>0.60175857219259976</v>
      </c>
      <c r="S162" s="307">
        <v>0.371968039462936</v>
      </c>
      <c r="T162" s="306">
        <f t="shared" si="51"/>
        <v>0</v>
      </c>
      <c r="U162" s="305">
        <f t="shared" si="52"/>
        <v>2.9906874602001281</v>
      </c>
      <c r="V162" s="304">
        <f t="shared" si="53"/>
        <v>0.16794057085142308</v>
      </c>
      <c r="W162" s="303">
        <f t="shared" si="54"/>
        <v>13.959007634121877</v>
      </c>
      <c r="X162" s="302">
        <f t="shared" si="55"/>
        <v>0.17753904781077109</v>
      </c>
      <c r="Y162" s="301">
        <v>1.2548352658302409</v>
      </c>
      <c r="Z162" s="300" t="s">
        <v>148</v>
      </c>
      <c r="AA162" s="297"/>
      <c r="AB162" s="297"/>
      <c r="AC162" s="297"/>
      <c r="AD162" s="297"/>
      <c r="AE162" s="299">
        <v>13.095394899294021</v>
      </c>
      <c r="AF162" s="298">
        <v>0.2533668609306905</v>
      </c>
      <c r="AG162" s="297">
        <v>7.06</v>
      </c>
      <c r="AH162" s="295">
        <v>33.028494565039992</v>
      </c>
      <c r="AI162" s="296">
        <v>0.22511329006696162</v>
      </c>
      <c r="AJ162" s="295">
        <v>25.593341487545079</v>
      </c>
      <c r="AK162" s="294">
        <v>-12.497946588251057</v>
      </c>
      <c r="AL162" s="316">
        <v>155</v>
      </c>
    </row>
    <row r="163" spans="1:38" ht="19.5" customHeight="1">
      <c r="G163" s="183"/>
      <c r="H163" s="293"/>
      <c r="I163" s="293"/>
      <c r="J163" s="171"/>
    </row>
    <row r="164" spans="1:38" ht="19.5" customHeight="1">
      <c r="B164" s="245" t="s">
        <v>0</v>
      </c>
      <c r="C164" s="246" t="s">
        <v>1</v>
      </c>
      <c r="D164" s="245" t="s">
        <v>1</v>
      </c>
      <c r="E164" s="611" t="s">
        <v>384</v>
      </c>
      <c r="F164" s="610" t="s">
        <v>382</v>
      </c>
      <c r="G164" s="244" t="s">
        <v>78</v>
      </c>
      <c r="H164" s="244" t="s">
        <v>79</v>
      </c>
      <c r="I164" s="244" t="s">
        <v>80</v>
      </c>
      <c r="J164" s="244" t="s">
        <v>80</v>
      </c>
      <c r="K164" s="639" t="s">
        <v>26</v>
      </c>
      <c r="L164" s="635"/>
      <c r="M164" s="635"/>
      <c r="N164" s="636"/>
      <c r="O164" s="640" t="s">
        <v>243</v>
      </c>
      <c r="P164" s="637"/>
      <c r="Q164" s="637"/>
      <c r="R164" s="637"/>
      <c r="S164" s="638"/>
      <c r="T164" s="243"/>
      <c r="U164" s="243"/>
      <c r="V164" s="243"/>
      <c r="W164" s="243"/>
      <c r="X164" s="243"/>
      <c r="Y164" s="242"/>
      <c r="Z164" s="241" t="s">
        <v>81</v>
      </c>
      <c r="AA164" s="221" t="s">
        <v>52</v>
      </c>
      <c r="AB164" s="211"/>
      <c r="AC164" s="211"/>
      <c r="AD164" s="211"/>
      <c r="AE164" s="258" t="s">
        <v>40</v>
      </c>
      <c r="AF164" s="240"/>
      <c r="AG164" s="222" t="s">
        <v>82</v>
      </c>
      <c r="AH164" s="238"/>
      <c r="AI164" s="239"/>
      <c r="AJ164" s="238"/>
      <c r="AK164" s="205"/>
      <c r="AL164" s="245" t="s">
        <v>0</v>
      </c>
    </row>
    <row r="165" spans="1:38" ht="19.5" customHeight="1">
      <c r="B165" s="237"/>
      <c r="C165" s="236"/>
      <c r="D165" s="237"/>
      <c r="E165" s="236" t="s">
        <v>383</v>
      </c>
      <c r="F165" s="237" t="s">
        <v>381</v>
      </c>
      <c r="G165" s="235" t="s">
        <v>83</v>
      </c>
      <c r="H165" s="235" t="s">
        <v>84</v>
      </c>
      <c r="I165" s="257" t="s">
        <v>85</v>
      </c>
      <c r="J165" s="235" t="s">
        <v>86</v>
      </c>
      <c r="K165" s="221" t="s">
        <v>32</v>
      </c>
      <c r="L165" s="220" t="s">
        <v>33</v>
      </c>
      <c r="M165" s="219" t="s">
        <v>87</v>
      </c>
      <c r="N165" s="218" t="s">
        <v>88</v>
      </c>
      <c r="O165" s="217" t="s">
        <v>39</v>
      </c>
      <c r="P165" s="217" t="s">
        <v>40</v>
      </c>
      <c r="Q165" s="217" t="s">
        <v>41</v>
      </c>
      <c r="R165" s="217" t="s">
        <v>42</v>
      </c>
      <c r="S165" s="289" t="s">
        <v>43</v>
      </c>
      <c r="T165" s="214" t="s">
        <v>244</v>
      </c>
      <c r="U165" s="214" t="s">
        <v>89</v>
      </c>
      <c r="V165" s="214" t="s">
        <v>90</v>
      </c>
      <c r="W165" s="214" t="s">
        <v>91</v>
      </c>
      <c r="X165" s="214" t="s">
        <v>92</v>
      </c>
      <c r="Y165" s="213" t="s">
        <v>44</v>
      </c>
      <c r="Z165" s="212"/>
      <c r="AA165" s="233" t="s">
        <v>55</v>
      </c>
      <c r="AB165" s="233" t="s">
        <v>46</v>
      </c>
      <c r="AC165" s="234" t="s">
        <v>56</v>
      </c>
      <c r="AD165" s="288" t="s">
        <v>46</v>
      </c>
      <c r="AE165" s="232" t="s">
        <v>56</v>
      </c>
      <c r="AF165" s="231" t="s">
        <v>46</v>
      </c>
      <c r="AG165" s="256" t="s">
        <v>93</v>
      </c>
      <c r="AH165" s="229" t="s">
        <v>94</v>
      </c>
      <c r="AI165" s="230" t="s">
        <v>95</v>
      </c>
      <c r="AJ165" s="229" t="s">
        <v>96</v>
      </c>
      <c r="AK165" s="228" t="s">
        <v>97</v>
      </c>
      <c r="AL165" s="237"/>
    </row>
    <row r="166" spans="1:38" ht="19.5" customHeight="1">
      <c r="B166" s="400">
        <v>156</v>
      </c>
      <c r="C166" s="410">
        <v>45417</v>
      </c>
      <c r="D166" s="479">
        <v>45417</v>
      </c>
      <c r="E166" s="497">
        <v>1440</v>
      </c>
      <c r="F166" s="400">
        <v>30</v>
      </c>
      <c r="G166" s="184"/>
      <c r="H166" s="184"/>
      <c r="I166" s="184"/>
      <c r="J166" s="184"/>
      <c r="K166" s="253">
        <v>1.3648150482206158</v>
      </c>
      <c r="L166" s="251">
        <v>2.436746271729141E-2</v>
      </c>
      <c r="M166" s="392">
        <v>1.2950561346781404</v>
      </c>
      <c r="N166" s="389">
        <v>6.0778940554061807</v>
      </c>
      <c r="O166" s="388"/>
      <c r="P166" s="388"/>
      <c r="Q166" s="388"/>
      <c r="R166" s="388"/>
      <c r="S166" s="389"/>
      <c r="T166" s="450"/>
      <c r="U166" s="388"/>
      <c r="V166" s="388"/>
      <c r="W166" s="388"/>
      <c r="X166" s="387"/>
      <c r="Y166" s="390"/>
      <c r="Z166" s="479"/>
      <c r="AA166" s="251"/>
      <c r="AB166" s="251"/>
      <c r="AC166" s="251"/>
      <c r="AD166" s="393"/>
      <c r="AE166" s="251"/>
      <c r="AF166" s="393"/>
      <c r="AG166" s="409"/>
      <c r="AH166" s="191"/>
      <c r="AI166" s="226"/>
      <c r="AJ166" s="191"/>
      <c r="AK166" s="287"/>
      <c r="AL166" s="400"/>
    </row>
    <row r="167" spans="1:38" ht="19.5" customHeight="1">
      <c r="B167" s="613">
        <v>157</v>
      </c>
      <c r="C167" s="331" t="s">
        <v>379</v>
      </c>
      <c r="D167" s="330">
        <v>45425</v>
      </c>
      <c r="E167" s="329">
        <v>1440</v>
      </c>
      <c r="F167" s="328">
        <v>30</v>
      </c>
      <c r="G167" s="532"/>
      <c r="H167" s="525"/>
      <c r="I167" s="311"/>
      <c r="J167" s="527"/>
      <c r="K167" s="327">
        <v>0.67024219239397076</v>
      </c>
      <c r="L167" s="325">
        <v>0</v>
      </c>
      <c r="M167" s="326">
        <v>1.2323223464170057</v>
      </c>
      <c r="N167" s="324">
        <v>4.9023637950103165</v>
      </c>
      <c r="O167" s="327"/>
      <c r="P167" s="326"/>
      <c r="Q167" s="325"/>
      <c r="R167" s="325"/>
      <c r="S167" s="324"/>
      <c r="T167" s="323"/>
      <c r="U167" s="322"/>
      <c r="V167" s="321"/>
      <c r="W167" s="253"/>
      <c r="X167" s="320"/>
      <c r="Y167" s="199"/>
      <c r="Z167" s="319"/>
      <c r="AA167" s="293"/>
      <c r="AB167" s="293"/>
      <c r="AC167" s="293"/>
      <c r="AD167" s="293"/>
      <c r="AE167" s="225"/>
      <c r="AF167" s="261"/>
      <c r="AG167" s="293"/>
      <c r="AH167" s="182"/>
      <c r="AI167" s="318"/>
      <c r="AJ167" s="182"/>
      <c r="AK167" s="317"/>
      <c r="AL167" s="613"/>
    </row>
    <row r="168" spans="1:38" ht="19.5" customHeight="1">
      <c r="B168" s="613">
        <v>158</v>
      </c>
      <c r="C168" s="340" t="s">
        <v>15</v>
      </c>
      <c r="D168" s="330">
        <v>45437</v>
      </c>
      <c r="E168" s="329">
        <v>1440</v>
      </c>
      <c r="F168" s="400">
        <v>30</v>
      </c>
      <c r="G168" s="532"/>
      <c r="H168" s="525"/>
      <c r="I168" s="311"/>
      <c r="J168" s="527"/>
      <c r="K168" s="327">
        <v>0.1269249609071168</v>
      </c>
      <c r="L168" s="325">
        <v>8.7896919087372585E-2</v>
      </c>
      <c r="M168" s="326">
        <v>0.43336789362002354</v>
      </c>
      <c r="N168" s="324">
        <v>0.99917859995409086</v>
      </c>
      <c r="O168" s="327"/>
      <c r="P168" s="326"/>
      <c r="Q168" s="325"/>
      <c r="R168" s="325"/>
      <c r="S168" s="324"/>
      <c r="T168" s="323"/>
      <c r="U168" s="322"/>
      <c r="V168" s="321"/>
      <c r="W168" s="253"/>
      <c r="X168" s="320"/>
      <c r="Y168" s="199"/>
      <c r="Z168" s="319"/>
      <c r="AA168" s="293"/>
      <c r="AB168" s="293"/>
      <c r="AC168" s="293"/>
      <c r="AD168" s="293"/>
      <c r="AE168" s="225"/>
      <c r="AF168" s="261"/>
      <c r="AG168" s="293"/>
      <c r="AH168" s="182"/>
      <c r="AI168" s="318"/>
      <c r="AJ168" s="182"/>
      <c r="AK168" s="317"/>
      <c r="AL168" s="613"/>
    </row>
    <row r="169" spans="1:38" ht="19.5" customHeight="1">
      <c r="B169" s="613">
        <v>159</v>
      </c>
      <c r="C169" s="340">
        <v>45571</v>
      </c>
      <c r="D169" s="330">
        <v>45453</v>
      </c>
      <c r="E169" s="329">
        <v>1440</v>
      </c>
      <c r="F169" s="328">
        <v>30</v>
      </c>
      <c r="G169" s="532"/>
      <c r="H169" s="525"/>
      <c r="I169" s="311"/>
      <c r="J169" s="527"/>
      <c r="K169" s="327">
        <v>0.33382571365311625</v>
      </c>
      <c r="L169" s="325">
        <v>2.0958918825289326E-2</v>
      </c>
      <c r="M169" s="326">
        <v>0.52462432379809842</v>
      </c>
      <c r="N169" s="324">
        <v>3.6695539018032934</v>
      </c>
      <c r="O169" s="327"/>
      <c r="P169" s="326"/>
      <c r="Q169" s="325"/>
      <c r="R169" s="325"/>
      <c r="S169" s="324"/>
      <c r="T169" s="323"/>
      <c r="U169" s="322"/>
      <c r="V169" s="321"/>
      <c r="W169" s="253"/>
      <c r="X169" s="320"/>
      <c r="Y169" s="199"/>
      <c r="Z169" s="319"/>
      <c r="AA169" s="293"/>
      <c r="AB169" s="293"/>
      <c r="AC169" s="293"/>
      <c r="AD169" s="293"/>
      <c r="AE169" s="225"/>
      <c r="AF169" s="261"/>
      <c r="AG169" s="293"/>
      <c r="AH169" s="182"/>
      <c r="AI169" s="318"/>
      <c r="AJ169" s="182"/>
      <c r="AK169" s="317"/>
      <c r="AL169" s="613"/>
    </row>
    <row r="170" spans="1:38" ht="19.5" customHeight="1">
      <c r="B170" s="613">
        <v>160</v>
      </c>
      <c r="C170" s="340" t="s">
        <v>380</v>
      </c>
      <c r="D170" s="330">
        <v>45461</v>
      </c>
      <c r="E170" s="329">
        <v>1440</v>
      </c>
      <c r="F170" s="400">
        <v>30</v>
      </c>
      <c r="G170" s="532"/>
      <c r="H170" s="525"/>
      <c r="I170" s="311"/>
      <c r="J170" s="527"/>
      <c r="K170" s="327">
        <v>1.1529355208277452</v>
      </c>
      <c r="L170" s="325">
        <v>0</v>
      </c>
      <c r="M170" s="326">
        <v>1.3833881928619221</v>
      </c>
      <c r="N170" s="324">
        <v>4.5305475997386999</v>
      </c>
      <c r="O170" s="327"/>
      <c r="P170" s="326"/>
      <c r="Q170" s="325"/>
      <c r="R170" s="325"/>
      <c r="S170" s="324"/>
      <c r="T170" s="323"/>
      <c r="U170" s="322"/>
      <c r="V170" s="321"/>
      <c r="W170" s="253"/>
      <c r="X170" s="320"/>
      <c r="Y170" s="199"/>
      <c r="Z170" s="319"/>
      <c r="AA170" s="293"/>
      <c r="AB170" s="293"/>
      <c r="AC170" s="293"/>
      <c r="AD170" s="293"/>
      <c r="AE170" s="225"/>
      <c r="AF170" s="261"/>
      <c r="AG170" s="293"/>
      <c r="AH170" s="182"/>
      <c r="AI170" s="318"/>
      <c r="AJ170" s="182"/>
      <c r="AK170" s="317"/>
      <c r="AL170" s="613"/>
    </row>
    <row r="171" spans="1:38" ht="19.5" customHeight="1">
      <c r="B171" s="613">
        <v>161</v>
      </c>
      <c r="C171" s="340" t="s">
        <v>262</v>
      </c>
      <c r="D171" s="330">
        <v>45469</v>
      </c>
      <c r="E171" s="329">
        <v>1440</v>
      </c>
      <c r="F171" s="328">
        <v>30</v>
      </c>
      <c r="G171" s="532"/>
      <c r="H171" s="525"/>
      <c r="I171" s="311"/>
      <c r="J171" s="527"/>
      <c r="K171" s="327">
        <v>0.29000799108223546</v>
      </c>
      <c r="L171" s="325">
        <v>0.10290901665427532</v>
      </c>
      <c r="M171" s="326">
        <v>0.42856070678008978</v>
      </c>
      <c r="N171" s="324">
        <v>2.279033299718169</v>
      </c>
      <c r="O171" s="327"/>
      <c r="P171" s="326"/>
      <c r="Q171" s="325"/>
      <c r="R171" s="325"/>
      <c r="S171" s="324"/>
      <c r="T171" s="323"/>
      <c r="U171" s="322"/>
      <c r="V171" s="321"/>
      <c r="W171" s="253"/>
      <c r="X171" s="320"/>
      <c r="Y171" s="199"/>
      <c r="Z171" s="319"/>
      <c r="AA171" s="293"/>
      <c r="AB171" s="293"/>
      <c r="AC171" s="293"/>
      <c r="AD171" s="293"/>
      <c r="AE171" s="225"/>
      <c r="AF171" s="261"/>
      <c r="AG171" s="293"/>
      <c r="AH171" s="182"/>
      <c r="AI171" s="318"/>
      <c r="AJ171" s="182"/>
      <c r="AK171" s="317"/>
      <c r="AL171" s="613"/>
    </row>
    <row r="172" spans="1:38" ht="19.5" customHeight="1">
      <c r="B172" s="613">
        <v>162</v>
      </c>
      <c r="C172" s="340" t="s">
        <v>264</v>
      </c>
      <c r="D172" s="330">
        <v>45517</v>
      </c>
      <c r="E172" s="329">
        <v>1440</v>
      </c>
      <c r="F172" s="400">
        <v>30</v>
      </c>
      <c r="G172" s="532"/>
      <c r="H172" s="525"/>
      <c r="I172" s="311"/>
      <c r="J172" s="527"/>
      <c r="K172" s="327">
        <v>1.0073570512889116</v>
      </c>
      <c r="L172" s="325">
        <v>0.1344561782079115</v>
      </c>
      <c r="M172" s="326">
        <v>1.2418165404258745</v>
      </c>
      <c r="N172" s="324">
        <v>3.1702595535914959</v>
      </c>
      <c r="O172" s="327"/>
      <c r="P172" s="326"/>
      <c r="Q172" s="325"/>
      <c r="R172" s="325"/>
      <c r="S172" s="324"/>
      <c r="T172" s="323"/>
      <c r="U172" s="322"/>
      <c r="V172" s="321"/>
      <c r="W172" s="253"/>
      <c r="X172" s="320"/>
      <c r="Y172" s="199"/>
      <c r="Z172" s="319"/>
      <c r="AA172" s="293"/>
      <c r="AB172" s="293"/>
      <c r="AC172" s="293"/>
      <c r="AD172" s="293"/>
      <c r="AE172" s="225"/>
      <c r="AF172" s="261"/>
      <c r="AG172" s="293"/>
      <c r="AH172" s="182"/>
      <c r="AI172" s="318"/>
      <c r="AJ172" s="182"/>
      <c r="AK172" s="317"/>
      <c r="AL172" s="613"/>
    </row>
    <row r="173" spans="1:38" ht="19.5" customHeight="1">
      <c r="B173" s="613">
        <v>163</v>
      </c>
      <c r="C173" s="340" t="s">
        <v>266</v>
      </c>
      <c r="D173" s="330">
        <v>45526</v>
      </c>
      <c r="E173" s="329">
        <v>1440</v>
      </c>
      <c r="F173" s="328">
        <v>30</v>
      </c>
      <c r="G173" s="532"/>
      <c r="H173" s="525"/>
      <c r="I173" s="311"/>
      <c r="J173" s="527"/>
      <c r="K173" s="327">
        <v>0.45525374689581399</v>
      </c>
      <c r="L173" s="325">
        <v>0</v>
      </c>
      <c r="M173" s="326">
        <v>1.0814968593140855</v>
      </c>
      <c r="N173" s="324">
        <v>2.5050253422511788</v>
      </c>
      <c r="O173" s="327"/>
      <c r="P173" s="326"/>
      <c r="Q173" s="325"/>
      <c r="R173" s="325"/>
      <c r="S173" s="324"/>
      <c r="T173" s="323"/>
      <c r="U173" s="322"/>
      <c r="V173" s="321"/>
      <c r="W173" s="253"/>
      <c r="X173" s="320"/>
      <c r="Y173" s="199"/>
      <c r="Z173" s="319"/>
      <c r="AA173" s="293"/>
      <c r="AB173" s="293"/>
      <c r="AC173" s="293"/>
      <c r="AD173" s="293"/>
      <c r="AE173" s="225"/>
      <c r="AF173" s="261"/>
      <c r="AG173" s="293"/>
      <c r="AH173" s="182"/>
      <c r="AI173" s="318"/>
      <c r="AJ173" s="182"/>
      <c r="AK173" s="317"/>
      <c r="AL173" s="613"/>
    </row>
    <row r="174" spans="1:38" ht="19.5" customHeight="1">
      <c r="B174" s="613">
        <v>164</v>
      </c>
      <c r="C174" s="340" t="s">
        <v>268</v>
      </c>
      <c r="D174" s="330">
        <v>45534</v>
      </c>
      <c r="E174" s="329">
        <v>1440</v>
      </c>
      <c r="F174" s="400">
        <v>30</v>
      </c>
      <c r="G174" s="532"/>
      <c r="H174" s="525"/>
      <c r="I174" s="311"/>
      <c r="J174" s="527"/>
      <c r="K174" s="327">
        <v>0.77303924539701918</v>
      </c>
      <c r="L174" s="325">
        <v>9.6164451080739288E-2</v>
      </c>
      <c r="M174" s="326">
        <v>0.93487766069610745</v>
      </c>
      <c r="N174" s="324">
        <v>2.3259306303925995</v>
      </c>
      <c r="O174" s="327"/>
      <c r="P174" s="326"/>
      <c r="Q174" s="325"/>
      <c r="R174" s="325"/>
      <c r="S174" s="324"/>
      <c r="T174" s="323"/>
      <c r="U174" s="322"/>
      <c r="V174" s="321"/>
      <c r="W174" s="253"/>
      <c r="X174" s="320"/>
      <c r="Y174" s="199"/>
      <c r="Z174" s="319"/>
      <c r="AA174" s="293"/>
      <c r="AB174" s="293"/>
      <c r="AC174" s="293"/>
      <c r="AD174" s="293"/>
      <c r="AE174" s="225"/>
      <c r="AF174" s="261"/>
      <c r="AG174" s="293"/>
      <c r="AH174" s="182"/>
      <c r="AI174" s="318"/>
      <c r="AJ174" s="182"/>
      <c r="AK174" s="317"/>
      <c r="AL174" s="613"/>
    </row>
    <row r="175" spans="1:38" ht="19.5" customHeight="1">
      <c r="B175" s="613">
        <v>165</v>
      </c>
      <c r="C175" s="340">
        <v>45513</v>
      </c>
      <c r="D175" s="330">
        <v>45543</v>
      </c>
      <c r="E175" s="329">
        <v>1440</v>
      </c>
      <c r="F175" s="328">
        <v>30</v>
      </c>
      <c r="G175" s="532"/>
      <c r="H175" s="525"/>
      <c r="I175" s="311"/>
      <c r="J175" s="527"/>
      <c r="K175" s="327">
        <v>0.28689907297694933</v>
      </c>
      <c r="L175" s="325">
        <v>0.11433126480300564</v>
      </c>
      <c r="M175" s="326">
        <v>0.66122854983288126</v>
      </c>
      <c r="N175" s="324">
        <v>2.1558614425506084</v>
      </c>
      <c r="O175" s="327"/>
      <c r="P175" s="326"/>
      <c r="Q175" s="325"/>
      <c r="R175" s="325"/>
      <c r="S175" s="324"/>
      <c r="T175" s="323"/>
      <c r="U175" s="322"/>
      <c r="V175" s="321"/>
      <c r="W175" s="253"/>
      <c r="X175" s="320"/>
      <c r="Y175" s="199"/>
      <c r="Z175" s="319"/>
      <c r="AA175" s="293"/>
      <c r="AB175" s="293"/>
      <c r="AC175" s="293"/>
      <c r="AD175" s="293"/>
      <c r="AE175" s="225"/>
      <c r="AF175" s="261"/>
      <c r="AG175" s="293"/>
      <c r="AH175" s="182"/>
      <c r="AI175" s="318"/>
      <c r="AJ175" s="182"/>
      <c r="AK175" s="317"/>
      <c r="AL175" s="613"/>
    </row>
    <row r="176" spans="1:38" ht="19.5" customHeight="1">
      <c r="B176" s="613">
        <v>166</v>
      </c>
      <c r="C176" s="340" t="s">
        <v>271</v>
      </c>
      <c r="D176" s="330">
        <v>45552</v>
      </c>
      <c r="E176" s="329">
        <v>1440</v>
      </c>
      <c r="F176" s="400">
        <v>30</v>
      </c>
      <c r="G176" s="532"/>
      <c r="H176" s="525"/>
      <c r="I176" s="311"/>
      <c r="J176" s="527"/>
      <c r="K176" s="327">
        <v>0.6737566215564682</v>
      </c>
      <c r="L176" s="325">
        <v>8.4742202932008973E-2</v>
      </c>
      <c r="M176" s="326">
        <v>0.88512327690279358</v>
      </c>
      <c r="N176" s="324">
        <v>3.0477070951309555</v>
      </c>
      <c r="O176" s="327"/>
      <c r="P176" s="326"/>
      <c r="Q176" s="325"/>
      <c r="R176" s="325"/>
      <c r="S176" s="324"/>
      <c r="T176" s="323"/>
      <c r="U176" s="322"/>
      <c r="V176" s="321"/>
      <c r="W176" s="253"/>
      <c r="X176" s="320"/>
      <c r="Y176" s="199"/>
      <c r="Z176" s="319"/>
      <c r="AA176" s="293"/>
      <c r="AB176" s="293"/>
      <c r="AC176" s="293"/>
      <c r="AD176" s="293"/>
      <c r="AE176" s="225"/>
      <c r="AF176" s="261"/>
      <c r="AG176" s="293"/>
      <c r="AH176" s="182"/>
      <c r="AI176" s="318"/>
      <c r="AJ176" s="182"/>
      <c r="AK176" s="317"/>
      <c r="AL176" s="613"/>
    </row>
    <row r="177" spans="2:38" ht="19.5" customHeight="1">
      <c r="B177" s="613">
        <v>167</v>
      </c>
      <c r="C177" s="340" t="s">
        <v>273</v>
      </c>
      <c r="D177" s="330">
        <v>45560</v>
      </c>
      <c r="E177" s="329">
        <v>1440</v>
      </c>
      <c r="F177" s="328">
        <v>30</v>
      </c>
      <c r="G177" s="532"/>
      <c r="H177" s="525"/>
      <c r="I177" s="311"/>
      <c r="J177" s="527"/>
      <c r="K177" s="327">
        <v>0.23506124283011304</v>
      </c>
      <c r="L177" s="325">
        <v>0</v>
      </c>
      <c r="M177" s="326">
        <v>1.4003335264726884</v>
      </c>
      <c r="N177" s="324">
        <v>5.4797318754832576</v>
      </c>
      <c r="O177" s="327"/>
      <c r="P177" s="326"/>
      <c r="Q177" s="325"/>
      <c r="R177" s="325"/>
      <c r="S177" s="324"/>
      <c r="T177" s="323"/>
      <c r="U177" s="322"/>
      <c r="V177" s="321"/>
      <c r="W177" s="253"/>
      <c r="X177" s="320"/>
      <c r="Y177" s="199"/>
      <c r="Z177" s="319"/>
      <c r="AA177" s="293"/>
      <c r="AB177" s="293"/>
      <c r="AC177" s="293"/>
      <c r="AD177" s="293"/>
      <c r="AE177" s="225"/>
      <c r="AF177" s="261"/>
      <c r="AG177" s="293"/>
      <c r="AH177" s="182"/>
      <c r="AI177" s="318"/>
      <c r="AJ177" s="182"/>
      <c r="AK177" s="317"/>
      <c r="AL177" s="613"/>
    </row>
    <row r="178" spans="2:38" ht="19.5" customHeight="1">
      <c r="B178" s="613">
        <v>168</v>
      </c>
      <c r="C178" s="340">
        <v>45361</v>
      </c>
      <c r="D178" s="330">
        <v>45568</v>
      </c>
      <c r="E178" s="329">
        <v>1440</v>
      </c>
      <c r="F178" s="400">
        <v>30</v>
      </c>
      <c r="G178" s="532"/>
      <c r="H178" s="525"/>
      <c r="I178" s="311"/>
      <c r="J178" s="527"/>
      <c r="K178" s="327">
        <v>0.81075177371766416</v>
      </c>
      <c r="L178" s="325">
        <v>9.1160418558438372E-2</v>
      </c>
      <c r="M178" s="326">
        <v>1.632039932157493</v>
      </c>
      <c r="N178" s="324">
        <v>3.7779781707084541</v>
      </c>
      <c r="O178" s="327"/>
      <c r="P178" s="326"/>
      <c r="Q178" s="325"/>
      <c r="R178" s="325"/>
      <c r="S178" s="324"/>
      <c r="T178" s="323"/>
      <c r="U178" s="322"/>
      <c r="V178" s="321"/>
      <c r="W178" s="253"/>
      <c r="X178" s="320"/>
      <c r="Y178" s="199"/>
      <c r="Z178" s="319"/>
      <c r="AA178" s="293"/>
      <c r="AB178" s="293"/>
      <c r="AC178" s="293"/>
      <c r="AD178" s="293"/>
      <c r="AE178" s="225"/>
      <c r="AF178" s="261"/>
      <c r="AG178" s="293"/>
      <c r="AH178" s="182"/>
      <c r="AI178" s="318"/>
      <c r="AJ178" s="182"/>
      <c r="AK178" s="317"/>
      <c r="AL178" s="613"/>
    </row>
    <row r="179" spans="2:38" ht="19.5" customHeight="1">
      <c r="B179" s="613">
        <v>169</v>
      </c>
      <c r="C179" s="340" t="s">
        <v>276</v>
      </c>
      <c r="D179" s="330">
        <v>45579</v>
      </c>
      <c r="E179" s="329">
        <v>1440</v>
      </c>
      <c r="F179" s="328">
        <v>30</v>
      </c>
      <c r="G179" s="532"/>
      <c r="H179" s="525"/>
      <c r="I179" s="311"/>
      <c r="J179" s="527"/>
      <c r="K179" s="327">
        <v>1.21518146810967</v>
      </c>
      <c r="L179" s="325">
        <v>0.1174859809583693</v>
      </c>
      <c r="M179" s="326">
        <v>3.5505881999750346</v>
      </c>
      <c r="N179" s="324">
        <v>12.837480630653518</v>
      </c>
      <c r="O179" s="327"/>
      <c r="P179" s="326"/>
      <c r="Q179" s="325"/>
      <c r="R179" s="325"/>
      <c r="S179" s="324"/>
      <c r="T179" s="323"/>
      <c r="U179" s="322"/>
      <c r="V179" s="321"/>
      <c r="W179" s="253"/>
      <c r="X179" s="320"/>
      <c r="Y179" s="199"/>
      <c r="Z179" s="319"/>
      <c r="AA179" s="293"/>
      <c r="AB179" s="293"/>
      <c r="AC179" s="293"/>
      <c r="AD179" s="293"/>
      <c r="AE179" s="225"/>
      <c r="AF179" s="261"/>
      <c r="AG179" s="293"/>
      <c r="AH179" s="182"/>
      <c r="AI179" s="318"/>
      <c r="AJ179" s="182"/>
      <c r="AK179" s="317"/>
      <c r="AL179" s="613"/>
    </row>
    <row r="180" spans="2:38" ht="19.5" customHeight="1">
      <c r="B180" s="613">
        <v>170</v>
      </c>
      <c r="C180" s="340" t="s">
        <v>278</v>
      </c>
      <c r="D180" s="330">
        <v>45587</v>
      </c>
      <c r="E180" s="329">
        <v>1440</v>
      </c>
      <c r="F180" s="400">
        <v>30</v>
      </c>
      <c r="G180" s="532"/>
      <c r="H180" s="525"/>
      <c r="I180" s="311"/>
      <c r="J180" s="527"/>
      <c r="K180" s="327">
        <v>0.24154941974549277</v>
      </c>
      <c r="L180" s="325">
        <v>0.16339254018469504</v>
      </c>
      <c r="M180" s="326">
        <v>1.5356558360168224</v>
      </c>
      <c r="N180" s="324">
        <v>8.9273050787609129</v>
      </c>
      <c r="O180" s="327"/>
      <c r="P180" s="326"/>
      <c r="Q180" s="325"/>
      <c r="R180" s="325"/>
      <c r="S180" s="324"/>
      <c r="T180" s="323"/>
      <c r="U180" s="322"/>
      <c r="V180" s="321"/>
      <c r="W180" s="253"/>
      <c r="X180" s="320"/>
      <c r="Y180" s="199"/>
      <c r="Z180" s="319"/>
      <c r="AA180" s="293"/>
      <c r="AB180" s="293"/>
      <c r="AC180" s="293"/>
      <c r="AD180" s="293"/>
      <c r="AE180" s="225"/>
      <c r="AF180" s="261"/>
      <c r="AG180" s="293"/>
      <c r="AH180" s="182"/>
      <c r="AI180" s="318"/>
      <c r="AJ180" s="182"/>
      <c r="AK180" s="317"/>
      <c r="AL180" s="613"/>
    </row>
    <row r="181" spans="2:38" ht="19.5" customHeight="1">
      <c r="B181" s="613">
        <v>171</v>
      </c>
      <c r="C181" s="340" t="s">
        <v>280</v>
      </c>
      <c r="D181" s="330">
        <v>45595</v>
      </c>
      <c r="E181" s="329">
        <v>1440</v>
      </c>
      <c r="F181" s="328">
        <v>30</v>
      </c>
      <c r="G181" s="532"/>
      <c r="H181" s="525"/>
      <c r="I181" s="311"/>
      <c r="J181" s="527"/>
      <c r="K181" s="327">
        <v>0.19153638935610701</v>
      </c>
      <c r="L181" s="325">
        <v>0</v>
      </c>
      <c r="M181" s="326">
        <v>0.8083284671348524</v>
      </c>
      <c r="N181" s="324">
        <v>9.7523441565125903</v>
      </c>
      <c r="O181" s="327"/>
      <c r="P181" s="326"/>
      <c r="Q181" s="325"/>
      <c r="R181" s="325"/>
      <c r="S181" s="324"/>
      <c r="T181" s="323"/>
      <c r="U181" s="322"/>
      <c r="V181" s="321"/>
      <c r="W181" s="253"/>
      <c r="X181" s="320"/>
      <c r="Y181" s="199"/>
      <c r="Z181" s="319"/>
      <c r="AA181" s="293"/>
      <c r="AB181" s="293"/>
      <c r="AC181" s="293"/>
      <c r="AD181" s="293"/>
      <c r="AE181" s="225"/>
      <c r="AF181" s="261"/>
      <c r="AG181" s="293"/>
      <c r="AH181" s="182"/>
      <c r="AI181" s="318"/>
      <c r="AJ181" s="182"/>
      <c r="AK181" s="317"/>
      <c r="AL181" s="613"/>
    </row>
    <row r="182" spans="2:38" ht="19.5" customHeight="1">
      <c r="B182" s="613">
        <v>172</v>
      </c>
      <c r="C182" s="340">
        <v>45515</v>
      </c>
      <c r="D182" s="330">
        <v>45604</v>
      </c>
      <c r="E182" s="329">
        <v>1440</v>
      </c>
      <c r="F182" s="400">
        <v>30</v>
      </c>
      <c r="G182" s="532"/>
      <c r="H182" s="525"/>
      <c r="I182" s="311"/>
      <c r="J182" s="527"/>
      <c r="K182" s="327">
        <v>0.16348854123232992</v>
      </c>
      <c r="L182" s="325">
        <v>0</v>
      </c>
      <c r="M182" s="326">
        <v>1.0994036302928385</v>
      </c>
      <c r="N182" s="324">
        <v>8.6432665288270982</v>
      </c>
      <c r="O182" s="327"/>
      <c r="P182" s="326"/>
      <c r="Q182" s="325"/>
      <c r="R182" s="325"/>
      <c r="S182" s="324"/>
      <c r="T182" s="323"/>
      <c r="U182" s="322"/>
      <c r="V182" s="321"/>
      <c r="W182" s="253"/>
      <c r="X182" s="320"/>
      <c r="Y182" s="199"/>
      <c r="Z182" s="319"/>
      <c r="AA182" s="293"/>
      <c r="AB182" s="293"/>
      <c r="AC182" s="293"/>
      <c r="AD182" s="293"/>
      <c r="AE182" s="225"/>
      <c r="AF182" s="261"/>
      <c r="AG182" s="293"/>
      <c r="AH182" s="182"/>
      <c r="AI182" s="318"/>
      <c r="AJ182" s="182"/>
      <c r="AK182" s="317"/>
      <c r="AL182" s="613"/>
    </row>
    <row r="183" spans="2:38" ht="19.5" customHeight="1">
      <c r="B183" s="613">
        <v>173</v>
      </c>
      <c r="C183" s="340" t="s">
        <v>283</v>
      </c>
      <c r="D183" s="330">
        <v>45615</v>
      </c>
      <c r="E183" s="329">
        <v>1440</v>
      </c>
      <c r="F183" s="328">
        <v>30</v>
      </c>
      <c r="G183" s="532"/>
      <c r="H183" s="525"/>
      <c r="I183" s="311"/>
      <c r="J183" s="527"/>
      <c r="K183" s="327">
        <v>0.52411022119731165</v>
      </c>
      <c r="L183" s="325">
        <v>0</v>
      </c>
      <c r="M183" s="326">
        <v>3.3382388680492761</v>
      </c>
      <c r="N183" s="324">
        <v>2.4788214229551544</v>
      </c>
      <c r="O183" s="327"/>
      <c r="P183" s="326"/>
      <c r="Q183" s="325"/>
      <c r="R183" s="325"/>
      <c r="S183" s="324"/>
      <c r="T183" s="323"/>
      <c r="U183" s="322"/>
      <c r="V183" s="321"/>
      <c r="W183" s="253"/>
      <c r="X183" s="320"/>
      <c r="Y183" s="199"/>
      <c r="Z183" s="319"/>
      <c r="AA183" s="293"/>
      <c r="AB183" s="293"/>
      <c r="AC183" s="293"/>
      <c r="AD183" s="293"/>
      <c r="AE183" s="225"/>
      <c r="AF183" s="261"/>
      <c r="AG183" s="293"/>
      <c r="AH183" s="182"/>
      <c r="AI183" s="318"/>
      <c r="AJ183" s="182"/>
      <c r="AK183" s="317"/>
      <c r="AL183" s="613"/>
    </row>
    <row r="184" spans="2:38" ht="19.5" customHeight="1">
      <c r="B184" s="613">
        <v>174</v>
      </c>
      <c r="C184" s="340" t="s">
        <v>285</v>
      </c>
      <c r="D184" s="330">
        <v>45623</v>
      </c>
      <c r="E184" s="329">
        <v>1440</v>
      </c>
      <c r="F184" s="400">
        <v>30</v>
      </c>
      <c r="G184" s="532"/>
      <c r="H184" s="525"/>
      <c r="I184" s="311"/>
      <c r="J184" s="527"/>
      <c r="K184" s="327">
        <v>1.2603087284812569</v>
      </c>
      <c r="L184" s="325">
        <v>0.14592177988994365</v>
      </c>
      <c r="M184" s="326">
        <v>9.4393861037472888</v>
      </c>
      <c r="N184" s="324">
        <v>6.6901030754019972</v>
      </c>
      <c r="O184" s="327"/>
      <c r="P184" s="326"/>
      <c r="Q184" s="325"/>
      <c r="R184" s="325"/>
      <c r="S184" s="324"/>
      <c r="T184" s="323"/>
      <c r="U184" s="322"/>
      <c r="V184" s="321"/>
      <c r="W184" s="253"/>
      <c r="X184" s="320"/>
      <c r="Y184" s="199"/>
      <c r="Z184" s="319"/>
      <c r="AA184" s="293"/>
      <c r="AB184" s="293"/>
      <c r="AC184" s="293"/>
      <c r="AD184" s="293"/>
      <c r="AE184" s="225"/>
      <c r="AF184" s="261"/>
      <c r="AG184" s="293"/>
      <c r="AH184" s="182"/>
      <c r="AI184" s="318"/>
      <c r="AJ184" s="182"/>
      <c r="AK184" s="317"/>
      <c r="AL184" s="613"/>
    </row>
    <row r="185" spans="2:38" ht="19.5" customHeight="1">
      <c r="B185" s="613">
        <v>175</v>
      </c>
      <c r="C185" s="340">
        <v>45424</v>
      </c>
      <c r="D185" s="330">
        <v>45631</v>
      </c>
      <c r="E185" s="329">
        <v>1440</v>
      </c>
      <c r="F185" s="328">
        <v>30</v>
      </c>
      <c r="G185" s="532"/>
      <c r="H185" s="525"/>
      <c r="I185" s="311"/>
      <c r="J185" s="527"/>
      <c r="K185" s="327">
        <v>0.91719288709529556</v>
      </c>
      <c r="L185" s="325">
        <v>0</v>
      </c>
      <c r="M185" s="326">
        <v>4.2575558667745019</v>
      </c>
      <c r="N185" s="324">
        <v>3.25512489484053</v>
      </c>
      <c r="O185" s="327"/>
      <c r="P185" s="326"/>
      <c r="Q185" s="325"/>
      <c r="R185" s="325"/>
      <c r="S185" s="324"/>
      <c r="T185" s="323"/>
      <c r="U185" s="322"/>
      <c r="V185" s="321"/>
      <c r="W185" s="253"/>
      <c r="X185" s="320"/>
      <c r="Y185" s="199"/>
      <c r="Z185" s="319"/>
      <c r="AA185" s="293"/>
      <c r="AB185" s="293"/>
      <c r="AC185" s="293"/>
      <c r="AD185" s="293"/>
      <c r="AE185" s="225"/>
      <c r="AF185" s="261"/>
      <c r="AG185" s="293"/>
      <c r="AH185" s="182"/>
      <c r="AI185" s="318"/>
      <c r="AJ185" s="182"/>
      <c r="AK185" s="317"/>
      <c r="AL185" s="613"/>
    </row>
    <row r="186" spans="2:38" ht="19.5" customHeight="1">
      <c r="B186" s="613">
        <v>176</v>
      </c>
      <c r="C186" s="340" t="s">
        <v>288</v>
      </c>
      <c r="D186" s="330">
        <v>45639</v>
      </c>
      <c r="E186" s="329">
        <v>1440</v>
      </c>
      <c r="F186" s="400">
        <v>30</v>
      </c>
      <c r="G186" s="532"/>
      <c r="H186" s="525"/>
      <c r="I186" s="311"/>
      <c r="J186" s="527"/>
      <c r="K186" s="327">
        <v>1.8312918531681746</v>
      </c>
      <c r="L186" s="325">
        <v>0</v>
      </c>
      <c r="M186" s="326">
        <v>8.3468365129914517</v>
      </c>
      <c r="N186" s="324">
        <v>9.7737585224797261</v>
      </c>
      <c r="O186" s="327"/>
      <c r="P186" s="326"/>
      <c r="Q186" s="325"/>
      <c r="R186" s="325"/>
      <c r="S186" s="324"/>
      <c r="T186" s="323"/>
      <c r="U186" s="322"/>
      <c r="V186" s="321"/>
      <c r="W186" s="253"/>
      <c r="X186" s="320"/>
      <c r="Y186" s="199"/>
      <c r="Z186" s="319"/>
      <c r="AA186" s="293"/>
      <c r="AB186" s="293"/>
      <c r="AC186" s="293"/>
      <c r="AD186" s="293"/>
      <c r="AE186" s="225"/>
      <c r="AF186" s="261"/>
      <c r="AG186" s="293"/>
      <c r="AH186" s="182"/>
      <c r="AI186" s="318"/>
      <c r="AJ186" s="182"/>
      <c r="AK186" s="317"/>
      <c r="AL186" s="613"/>
    </row>
    <row r="187" spans="2:38" ht="19.5" customHeight="1">
      <c r="B187" s="613">
        <v>177</v>
      </c>
      <c r="C187" s="340" t="s">
        <v>290</v>
      </c>
      <c r="D187" s="330">
        <v>45646</v>
      </c>
      <c r="E187" s="329">
        <v>1440</v>
      </c>
      <c r="F187" s="328">
        <v>30</v>
      </c>
      <c r="G187" s="532"/>
      <c r="H187" s="525"/>
      <c r="I187" s="311"/>
      <c r="J187" s="527"/>
      <c r="K187" s="327">
        <v>3.8649261412023712</v>
      </c>
      <c r="L187" s="325">
        <v>0</v>
      </c>
      <c r="M187" s="326">
        <v>8.6902721922635795</v>
      </c>
      <c r="N187" s="324">
        <v>9.4024742700480459</v>
      </c>
      <c r="O187" s="327"/>
      <c r="P187" s="326"/>
      <c r="Q187" s="325"/>
      <c r="R187" s="325"/>
      <c r="S187" s="324"/>
      <c r="T187" s="323"/>
      <c r="U187" s="322"/>
      <c r="V187" s="321"/>
      <c r="W187" s="253"/>
      <c r="X187" s="320"/>
      <c r="Y187" s="199"/>
      <c r="Z187" s="319"/>
      <c r="AA187" s="293"/>
      <c r="AB187" s="293"/>
      <c r="AC187" s="293"/>
      <c r="AD187" s="293"/>
      <c r="AE187" s="225"/>
      <c r="AF187" s="261"/>
      <c r="AG187" s="293"/>
      <c r="AH187" s="182"/>
      <c r="AI187" s="318"/>
      <c r="AJ187" s="182"/>
      <c r="AK187" s="317"/>
      <c r="AL187" s="613"/>
    </row>
    <row r="188" spans="2:38" ht="19.5" customHeight="1">
      <c r="B188" s="613">
        <v>178</v>
      </c>
      <c r="C188" s="340">
        <v>45748</v>
      </c>
      <c r="D188" s="330">
        <v>45661</v>
      </c>
      <c r="E188" s="329">
        <v>1440</v>
      </c>
      <c r="F188" s="400">
        <v>30</v>
      </c>
      <c r="G188" s="532"/>
      <c r="H188" s="525"/>
      <c r="I188" s="311"/>
      <c r="J188" s="527"/>
      <c r="K188" s="327">
        <v>0.90636416351683857</v>
      </c>
      <c r="L188" s="325">
        <v>0</v>
      </c>
      <c r="M188" s="326">
        <v>5.8874294433041294</v>
      </c>
      <c r="N188" s="324">
        <v>3.6162287726087596</v>
      </c>
      <c r="O188" s="327"/>
      <c r="P188" s="326"/>
      <c r="Q188" s="325"/>
      <c r="R188" s="325"/>
      <c r="S188" s="324"/>
      <c r="T188" s="323"/>
      <c r="U188" s="322"/>
      <c r="V188" s="321"/>
      <c r="W188" s="253"/>
      <c r="X188" s="320"/>
      <c r="Y188" s="199"/>
      <c r="Z188" s="319"/>
      <c r="AA188" s="293"/>
      <c r="AB188" s="293"/>
      <c r="AC188" s="293"/>
      <c r="AD188" s="293"/>
      <c r="AE188" s="225"/>
      <c r="AF188" s="261"/>
      <c r="AG188" s="293"/>
      <c r="AH188" s="182"/>
      <c r="AI188" s="318"/>
      <c r="AJ188" s="182"/>
      <c r="AK188" s="317"/>
      <c r="AL188" s="613"/>
    </row>
    <row r="189" spans="2:38" ht="19.5" customHeight="1">
      <c r="B189" s="613">
        <v>179</v>
      </c>
      <c r="C189" s="340">
        <v>45992</v>
      </c>
      <c r="D189" s="330">
        <v>45669</v>
      </c>
      <c r="E189" s="329">
        <v>1440</v>
      </c>
      <c r="F189" s="328">
        <v>30</v>
      </c>
      <c r="G189" s="532"/>
      <c r="H189" s="525"/>
      <c r="I189" s="311"/>
      <c r="J189" s="527"/>
      <c r="K189" s="327">
        <v>0.64374183406407304</v>
      </c>
      <c r="L189" s="325">
        <v>0</v>
      </c>
      <c r="M189" s="326">
        <v>1.0450873490601149</v>
      </c>
      <c r="N189" s="324">
        <v>1.0045301718568196</v>
      </c>
      <c r="O189" s="327"/>
      <c r="P189" s="326"/>
      <c r="Q189" s="325"/>
      <c r="R189" s="325"/>
      <c r="S189" s="324"/>
      <c r="T189" s="323"/>
      <c r="U189" s="322"/>
      <c r="V189" s="321"/>
      <c r="W189" s="253"/>
      <c r="X189" s="320"/>
      <c r="Y189" s="199"/>
      <c r="Z189" s="319"/>
      <c r="AA189" s="293"/>
      <c r="AB189" s="293"/>
      <c r="AC189" s="293"/>
      <c r="AD189" s="293"/>
      <c r="AE189" s="225"/>
      <c r="AF189" s="261"/>
      <c r="AG189" s="293"/>
      <c r="AH189" s="182"/>
      <c r="AI189" s="318"/>
      <c r="AJ189" s="182"/>
      <c r="AK189" s="317"/>
      <c r="AL189" s="613"/>
    </row>
    <row r="190" spans="2:38" ht="19.5" customHeight="1">
      <c r="B190" s="613">
        <v>180</v>
      </c>
      <c r="C190" s="340" t="s">
        <v>294</v>
      </c>
      <c r="D190" s="330">
        <v>45677</v>
      </c>
      <c r="E190" s="329">
        <v>1440</v>
      </c>
      <c r="F190" s="400">
        <v>30</v>
      </c>
      <c r="G190" s="532"/>
      <c r="H190" s="525"/>
      <c r="I190" s="311"/>
      <c r="J190" s="527"/>
      <c r="K190" s="327">
        <v>1.1362424954823653</v>
      </c>
      <c r="L190" s="325">
        <v>0</v>
      </c>
      <c r="M190" s="326">
        <v>4.8904469581677237</v>
      </c>
      <c r="N190" s="324">
        <v>10.249840749388087</v>
      </c>
      <c r="O190" s="327"/>
      <c r="P190" s="326"/>
      <c r="Q190" s="325"/>
      <c r="R190" s="325"/>
      <c r="S190" s="324"/>
      <c r="T190" s="323"/>
      <c r="U190" s="322"/>
      <c r="V190" s="321"/>
      <c r="W190" s="253"/>
      <c r="X190" s="320"/>
      <c r="Y190" s="199"/>
      <c r="Z190" s="319"/>
      <c r="AA190" s="293"/>
      <c r="AB190" s="293"/>
      <c r="AC190" s="293"/>
      <c r="AD190" s="293"/>
      <c r="AE190" s="225"/>
      <c r="AF190" s="261"/>
      <c r="AG190" s="293"/>
      <c r="AH190" s="182"/>
      <c r="AI190" s="318"/>
      <c r="AJ190" s="182"/>
      <c r="AK190" s="317"/>
      <c r="AL190" s="613"/>
    </row>
    <row r="191" spans="2:38" ht="19.5" customHeight="1">
      <c r="B191" s="613">
        <v>181</v>
      </c>
      <c r="C191" s="340">
        <v>45842</v>
      </c>
      <c r="D191" s="330">
        <v>45754</v>
      </c>
      <c r="E191" s="329">
        <v>1440</v>
      </c>
      <c r="F191" s="328">
        <v>30</v>
      </c>
      <c r="G191" s="532"/>
      <c r="H191" s="525"/>
      <c r="I191" s="311"/>
      <c r="J191" s="527"/>
      <c r="K191" s="327">
        <v>1.5133914681149054</v>
      </c>
      <c r="L191" s="325">
        <v>0</v>
      </c>
      <c r="M191" s="326">
        <v>4.5511424217898089</v>
      </c>
      <c r="N191" s="324">
        <v>7.7564474176009366</v>
      </c>
      <c r="O191" s="327"/>
      <c r="P191" s="326"/>
      <c r="Q191" s="325"/>
      <c r="R191" s="325"/>
      <c r="S191" s="324"/>
      <c r="T191" s="323"/>
      <c r="U191" s="322"/>
      <c r="V191" s="321"/>
      <c r="W191" s="253"/>
      <c r="X191" s="320"/>
      <c r="Y191" s="199"/>
      <c r="Z191" s="319"/>
      <c r="AA191" s="293"/>
      <c r="AB191" s="293"/>
      <c r="AC191" s="293"/>
      <c r="AD191" s="293"/>
      <c r="AE191" s="225"/>
      <c r="AF191" s="261"/>
      <c r="AG191" s="293"/>
      <c r="AH191" s="182"/>
      <c r="AI191" s="318"/>
      <c r="AJ191" s="182"/>
      <c r="AK191" s="317"/>
      <c r="AL191" s="613"/>
    </row>
    <row r="192" spans="2:38" ht="19.5" customHeight="1">
      <c r="B192" s="613">
        <v>182</v>
      </c>
      <c r="C192" s="340" t="s">
        <v>297</v>
      </c>
      <c r="D192" s="330">
        <v>45762</v>
      </c>
      <c r="E192" s="329">
        <v>1440</v>
      </c>
      <c r="F192" s="400">
        <v>30</v>
      </c>
      <c r="G192" s="532"/>
      <c r="H192" s="525"/>
      <c r="I192" s="311"/>
      <c r="J192" s="527"/>
      <c r="K192" s="327">
        <v>1.0565740291551471</v>
      </c>
      <c r="L192" s="325">
        <v>0.13738246746953389</v>
      </c>
      <c r="M192" s="326">
        <v>4.0113397502794896</v>
      </c>
      <c r="N192" s="324">
        <v>8.2838307482055047</v>
      </c>
      <c r="O192" s="327"/>
      <c r="P192" s="326"/>
      <c r="Q192" s="325"/>
      <c r="R192" s="325"/>
      <c r="S192" s="324"/>
      <c r="T192" s="323"/>
      <c r="U192" s="322"/>
      <c r="V192" s="321"/>
      <c r="W192" s="253"/>
      <c r="X192" s="320"/>
      <c r="Y192" s="199"/>
      <c r="Z192" s="319"/>
      <c r="AA192" s="293"/>
      <c r="AB192" s="293"/>
      <c r="AC192" s="293"/>
      <c r="AD192" s="293"/>
      <c r="AE192" s="225"/>
      <c r="AF192" s="261"/>
      <c r="AG192" s="293"/>
      <c r="AH192" s="182"/>
      <c r="AI192" s="318"/>
      <c r="AJ192" s="182"/>
      <c r="AK192" s="317"/>
      <c r="AL192" s="613"/>
    </row>
    <row r="193" spans="2:38" ht="19.5" customHeight="1">
      <c r="B193" s="613">
        <v>183</v>
      </c>
      <c r="C193" s="340" t="s">
        <v>299</v>
      </c>
      <c r="D193" s="330">
        <v>45768</v>
      </c>
      <c r="E193" s="329">
        <v>1440</v>
      </c>
      <c r="F193" s="328">
        <v>30</v>
      </c>
      <c r="G193" s="532"/>
      <c r="H193" s="525"/>
      <c r="I193" s="311"/>
      <c r="J193" s="527"/>
      <c r="K193" s="327">
        <v>1.8600653186766452</v>
      </c>
      <c r="L193" s="325">
        <v>0.13261049876401076</v>
      </c>
      <c r="M193" s="326">
        <v>5.4632987728317373</v>
      </c>
      <c r="N193" s="324">
        <v>10.909768565806976</v>
      </c>
      <c r="O193" s="327"/>
      <c r="P193" s="326"/>
      <c r="Q193" s="325"/>
      <c r="R193" s="325"/>
      <c r="S193" s="324"/>
      <c r="T193" s="323"/>
      <c r="U193" s="322"/>
      <c r="V193" s="321"/>
      <c r="W193" s="253"/>
      <c r="X193" s="320"/>
      <c r="Y193" s="199"/>
      <c r="Z193" s="319"/>
      <c r="AA193" s="293"/>
      <c r="AB193" s="293"/>
      <c r="AC193" s="293"/>
      <c r="AD193" s="293"/>
      <c r="AE193" s="225"/>
      <c r="AF193" s="261"/>
      <c r="AG193" s="293"/>
      <c r="AH193" s="182"/>
      <c r="AI193" s="318"/>
      <c r="AJ193" s="182"/>
      <c r="AK193" s="317"/>
      <c r="AL193" s="613"/>
    </row>
    <row r="194" spans="2:38" ht="19.5" customHeight="1">
      <c r="B194" s="613">
        <v>184</v>
      </c>
      <c r="C194" s="340" t="s">
        <v>301</v>
      </c>
      <c r="D194" s="330">
        <v>45775</v>
      </c>
      <c r="E194" s="329">
        <v>1440</v>
      </c>
      <c r="F194" s="400">
        <v>30</v>
      </c>
      <c r="G194" s="532"/>
      <c r="H194" s="525"/>
      <c r="I194" s="311"/>
      <c r="J194" s="527"/>
      <c r="K194" s="327">
        <v>0.72892779288126697</v>
      </c>
      <c r="L194" s="325">
        <v>0</v>
      </c>
      <c r="M194" s="326">
        <v>1.5694211855109972</v>
      </c>
      <c r="N194" s="324">
        <v>3.9783307263243866</v>
      </c>
      <c r="O194" s="327"/>
      <c r="P194" s="326"/>
      <c r="Q194" s="325"/>
      <c r="R194" s="325"/>
      <c r="S194" s="324"/>
      <c r="T194" s="323"/>
      <c r="U194" s="322"/>
      <c r="V194" s="321"/>
      <c r="W194" s="253"/>
      <c r="X194" s="320"/>
      <c r="Y194" s="199"/>
      <c r="Z194" s="319"/>
      <c r="AA194" s="293"/>
      <c r="AB194" s="293"/>
      <c r="AC194" s="293"/>
      <c r="AD194" s="293"/>
      <c r="AE194" s="225"/>
      <c r="AF194" s="261"/>
      <c r="AG194" s="293"/>
      <c r="AH194" s="182"/>
      <c r="AI194" s="318"/>
      <c r="AJ194" s="182"/>
      <c r="AK194" s="317"/>
      <c r="AL194" s="613"/>
    </row>
    <row r="195" spans="2:38" ht="19.5" customHeight="1">
      <c r="B195" s="613">
        <v>185</v>
      </c>
      <c r="C195" s="340">
        <v>45782</v>
      </c>
      <c r="D195" s="330">
        <v>45782</v>
      </c>
      <c r="E195" s="329">
        <v>1440</v>
      </c>
      <c r="F195" s="328">
        <v>30</v>
      </c>
      <c r="G195" s="532"/>
      <c r="H195" s="525"/>
      <c r="I195" s="311"/>
      <c r="J195" s="527"/>
      <c r="K195" s="327">
        <v>0.54599971243090673</v>
      </c>
      <c r="L195" s="325">
        <v>0</v>
      </c>
      <c r="M195" s="326">
        <v>1.7524308157245725</v>
      </c>
      <c r="N195" s="324">
        <v>4.5144971252660469</v>
      </c>
      <c r="O195" s="327"/>
      <c r="P195" s="326"/>
      <c r="Q195" s="325"/>
      <c r="R195" s="325"/>
      <c r="S195" s="324"/>
      <c r="T195" s="323"/>
      <c r="U195" s="322"/>
      <c r="V195" s="321"/>
      <c r="W195" s="253"/>
      <c r="X195" s="320"/>
      <c r="Y195" s="199"/>
      <c r="Z195" s="319"/>
      <c r="AA195" s="293"/>
      <c r="AB195" s="293"/>
      <c r="AC195" s="293"/>
      <c r="AD195" s="293"/>
      <c r="AE195" s="225"/>
      <c r="AF195" s="261"/>
      <c r="AG195" s="293"/>
      <c r="AH195" s="182"/>
      <c r="AI195" s="318"/>
      <c r="AJ195" s="182"/>
      <c r="AK195" s="317"/>
      <c r="AL195" s="613"/>
    </row>
    <row r="196" spans="2:38" ht="19.5" customHeight="1">
      <c r="B196" s="613">
        <v>186</v>
      </c>
      <c r="C196" s="340" t="s">
        <v>304</v>
      </c>
      <c r="D196" s="330">
        <v>45790</v>
      </c>
      <c r="E196" s="329">
        <v>1440</v>
      </c>
      <c r="F196" s="400">
        <v>30</v>
      </c>
      <c r="G196" s="532"/>
      <c r="H196" s="525"/>
      <c r="I196" s="311"/>
      <c r="J196" s="527"/>
      <c r="K196" s="327">
        <v>0.56247484187527308</v>
      </c>
      <c r="L196" s="325">
        <v>0</v>
      </c>
      <c r="M196" s="326">
        <v>1.6665948467003975</v>
      </c>
      <c r="N196" s="324">
        <v>7.0532696434615128</v>
      </c>
      <c r="O196" s="327"/>
      <c r="P196" s="326"/>
      <c r="Q196" s="325"/>
      <c r="R196" s="325"/>
      <c r="S196" s="324"/>
      <c r="T196" s="323"/>
      <c r="U196" s="322"/>
      <c r="V196" s="321"/>
      <c r="W196" s="253"/>
      <c r="X196" s="320"/>
      <c r="Y196" s="199"/>
      <c r="Z196" s="319"/>
      <c r="AA196" s="293"/>
      <c r="AB196" s="293"/>
      <c r="AC196" s="293"/>
      <c r="AD196" s="293"/>
      <c r="AE196" s="225"/>
      <c r="AF196" s="261"/>
      <c r="AG196" s="293"/>
      <c r="AH196" s="182"/>
      <c r="AI196" s="318"/>
      <c r="AJ196" s="182"/>
      <c r="AK196" s="317"/>
      <c r="AL196" s="613"/>
    </row>
    <row r="197" spans="2:38" ht="19.5" customHeight="1">
      <c r="B197" s="613">
        <v>187</v>
      </c>
      <c r="C197" s="340" t="s">
        <v>306</v>
      </c>
      <c r="D197" s="330">
        <v>45798</v>
      </c>
      <c r="E197" s="329">
        <v>1440</v>
      </c>
      <c r="F197" s="328">
        <v>30</v>
      </c>
      <c r="G197" s="532"/>
      <c r="H197" s="525"/>
      <c r="I197" s="311"/>
      <c r="J197" s="527"/>
      <c r="K197" s="327">
        <v>1.2375684089664973</v>
      </c>
      <c r="L197" s="325">
        <v>0</v>
      </c>
      <c r="M197" s="326">
        <v>1.3024116497817857</v>
      </c>
      <c r="N197" s="324">
        <v>4.8965605979296125</v>
      </c>
      <c r="O197" s="327"/>
      <c r="P197" s="326"/>
      <c r="Q197" s="325"/>
      <c r="R197" s="325"/>
      <c r="S197" s="324"/>
      <c r="T197" s="323"/>
      <c r="U197" s="322"/>
      <c r="V197" s="321"/>
      <c r="W197" s="253"/>
      <c r="X197" s="320"/>
      <c r="Y197" s="199"/>
      <c r="Z197" s="319"/>
      <c r="AA197" s="293"/>
      <c r="AB197" s="293"/>
      <c r="AC197" s="293"/>
      <c r="AD197" s="293"/>
      <c r="AE197" s="225"/>
      <c r="AF197" s="261"/>
      <c r="AG197" s="293"/>
      <c r="AH197" s="182"/>
      <c r="AI197" s="318"/>
      <c r="AJ197" s="182"/>
      <c r="AK197" s="317"/>
      <c r="AL197" s="613"/>
    </row>
    <row r="198" spans="2:38" ht="19.5" customHeight="1">
      <c r="B198" s="613">
        <v>188</v>
      </c>
      <c r="C198" s="340">
        <v>45722</v>
      </c>
      <c r="D198" s="330">
        <v>45811</v>
      </c>
      <c r="E198" s="329">
        <v>1440</v>
      </c>
      <c r="F198" s="400">
        <v>30</v>
      </c>
      <c r="G198" s="532"/>
      <c r="H198" s="525"/>
      <c r="I198" s="311"/>
      <c r="J198" s="527"/>
      <c r="K198" s="327">
        <v>0.37694271123104567</v>
      </c>
      <c r="L198" s="325">
        <v>0</v>
      </c>
      <c r="M198" s="326">
        <v>0.53429448098470389</v>
      </c>
      <c r="N198" s="324">
        <v>1.4044924731770387</v>
      </c>
      <c r="O198" s="327"/>
      <c r="P198" s="326"/>
      <c r="Q198" s="325"/>
      <c r="R198" s="325"/>
      <c r="S198" s="324"/>
      <c r="T198" s="323"/>
      <c r="U198" s="322"/>
      <c r="V198" s="321"/>
      <c r="W198" s="253"/>
      <c r="X198" s="320"/>
      <c r="Y198" s="199"/>
      <c r="Z198" s="319"/>
      <c r="AA198" s="293"/>
      <c r="AB198" s="293"/>
      <c r="AC198" s="293"/>
      <c r="AD198" s="293"/>
      <c r="AE198" s="225"/>
      <c r="AF198" s="261"/>
      <c r="AG198" s="293"/>
      <c r="AH198" s="182"/>
      <c r="AI198" s="318"/>
      <c r="AJ198" s="182"/>
      <c r="AK198" s="317"/>
      <c r="AL198" s="613"/>
    </row>
    <row r="199" spans="2:38" ht="19.5" customHeight="1">
      <c r="B199" s="613">
        <v>189</v>
      </c>
      <c r="C199" s="340">
        <v>45967</v>
      </c>
      <c r="D199" s="330">
        <v>45819</v>
      </c>
      <c r="E199" s="329">
        <v>1440</v>
      </c>
      <c r="F199" s="328">
        <v>30</v>
      </c>
      <c r="G199" s="532"/>
      <c r="H199" s="525"/>
      <c r="I199" s="311"/>
      <c r="J199" s="527"/>
      <c r="K199" s="327">
        <v>1.3293031672811391</v>
      </c>
      <c r="L199" s="325">
        <v>0</v>
      </c>
      <c r="M199" s="326">
        <v>1.5651523378536449</v>
      </c>
      <c r="N199" s="324">
        <v>2.0665162490854594</v>
      </c>
      <c r="O199" s="327"/>
      <c r="P199" s="326"/>
      <c r="Q199" s="325"/>
      <c r="R199" s="325"/>
      <c r="S199" s="324"/>
      <c r="T199" s="323"/>
      <c r="U199" s="322"/>
      <c r="V199" s="321"/>
      <c r="W199" s="253"/>
      <c r="X199" s="320"/>
      <c r="Y199" s="199"/>
      <c r="Z199" s="319"/>
      <c r="AA199" s="293"/>
      <c r="AB199" s="293"/>
      <c r="AC199" s="293"/>
      <c r="AD199" s="293"/>
      <c r="AE199" s="225"/>
      <c r="AF199" s="261"/>
      <c r="AG199" s="293"/>
      <c r="AH199" s="182"/>
      <c r="AI199" s="318"/>
      <c r="AJ199" s="182"/>
      <c r="AK199" s="317"/>
      <c r="AL199" s="613"/>
    </row>
    <row r="200" spans="2:38" ht="19.5" customHeight="1">
      <c r="B200" s="613">
        <v>190</v>
      </c>
      <c r="C200" s="340" t="s">
        <v>310</v>
      </c>
      <c r="D200" s="330">
        <v>45827</v>
      </c>
      <c r="E200" s="329">
        <v>1440</v>
      </c>
      <c r="F200" s="400">
        <v>30</v>
      </c>
      <c r="G200" s="532"/>
      <c r="H200" s="525"/>
      <c r="I200" s="311"/>
      <c r="J200" s="527"/>
      <c r="K200" s="327">
        <v>0.40777879075446088</v>
      </c>
      <c r="L200" s="325">
        <v>0</v>
      </c>
      <c r="M200" s="326">
        <v>2.5739774326201248</v>
      </c>
      <c r="N200" s="324">
        <v>3.2259810771765385</v>
      </c>
      <c r="O200" s="327"/>
      <c r="P200" s="326"/>
      <c r="Q200" s="325"/>
      <c r="R200" s="325"/>
      <c r="S200" s="324"/>
      <c r="T200" s="323"/>
      <c r="U200" s="322"/>
      <c r="V200" s="321"/>
      <c r="W200" s="253"/>
      <c r="X200" s="320"/>
      <c r="Y200" s="199"/>
      <c r="Z200" s="319"/>
      <c r="AA200" s="293"/>
      <c r="AB200" s="293"/>
      <c r="AC200" s="293"/>
      <c r="AD200" s="293"/>
      <c r="AE200" s="225"/>
      <c r="AF200" s="261"/>
      <c r="AG200" s="293"/>
      <c r="AH200" s="182"/>
      <c r="AI200" s="318"/>
      <c r="AJ200" s="182"/>
      <c r="AK200" s="317"/>
      <c r="AL200" s="613"/>
    </row>
    <row r="201" spans="2:38" ht="19.5" customHeight="1">
      <c r="B201" s="613">
        <v>191</v>
      </c>
      <c r="C201" s="340" t="s">
        <v>312</v>
      </c>
      <c r="D201" s="330">
        <v>45835</v>
      </c>
      <c r="E201" s="329">
        <v>1440</v>
      </c>
      <c r="F201" s="328">
        <v>30</v>
      </c>
      <c r="G201" s="532"/>
      <c r="H201" s="525"/>
      <c r="I201" s="311"/>
      <c r="J201" s="527"/>
      <c r="K201" s="327">
        <v>0.30768227009444821</v>
      </c>
      <c r="L201" s="325">
        <v>0</v>
      </c>
      <c r="M201" s="326">
        <v>2.4734843581434958</v>
      </c>
      <c r="N201" s="324">
        <v>5.1641686518012166</v>
      </c>
      <c r="O201" s="327"/>
      <c r="P201" s="326"/>
      <c r="Q201" s="325"/>
      <c r="R201" s="325"/>
      <c r="S201" s="324"/>
      <c r="T201" s="323"/>
      <c r="U201" s="322"/>
      <c r="V201" s="321"/>
      <c r="W201" s="253"/>
      <c r="X201" s="320"/>
      <c r="Y201" s="199"/>
      <c r="Z201" s="319"/>
      <c r="AA201" s="293"/>
      <c r="AB201" s="293"/>
      <c r="AC201" s="293"/>
      <c r="AD201" s="293"/>
      <c r="AE201" s="225"/>
      <c r="AF201" s="261"/>
      <c r="AG201" s="293"/>
      <c r="AH201" s="182"/>
      <c r="AI201" s="318"/>
      <c r="AJ201" s="182"/>
      <c r="AK201" s="317"/>
      <c r="AL201" s="613"/>
    </row>
    <row r="202" spans="2:38" ht="19.5" customHeight="1">
      <c r="B202" s="613">
        <v>192</v>
      </c>
      <c r="C202" s="340">
        <v>45784</v>
      </c>
      <c r="D202" s="330">
        <v>45843</v>
      </c>
      <c r="E202" s="329">
        <v>1440</v>
      </c>
      <c r="F202" s="400">
        <v>30</v>
      </c>
      <c r="G202" s="532"/>
      <c r="H202" s="525"/>
      <c r="I202" s="311"/>
      <c r="J202" s="527"/>
      <c r="O202" s="327"/>
      <c r="P202" s="326"/>
      <c r="Q202" s="325"/>
      <c r="R202" s="325"/>
      <c r="S202" s="324"/>
      <c r="T202" s="323"/>
      <c r="U202" s="322"/>
      <c r="V202" s="321"/>
      <c r="W202" s="253"/>
      <c r="X202" s="320"/>
      <c r="Y202" s="199"/>
      <c r="Z202" s="319"/>
      <c r="AA202" s="293"/>
      <c r="AB202" s="293"/>
      <c r="AC202" s="293"/>
      <c r="AD202" s="293"/>
      <c r="AE202" s="225"/>
      <c r="AF202" s="261"/>
      <c r="AG202" s="293"/>
      <c r="AH202" s="182"/>
      <c r="AI202" s="318"/>
      <c r="AJ202" s="182"/>
      <c r="AK202" s="317"/>
      <c r="AL202" s="613"/>
    </row>
    <row r="203" spans="2:38" ht="19.5" customHeight="1">
      <c r="B203" s="613">
        <v>193</v>
      </c>
      <c r="C203" s="340" t="s">
        <v>315</v>
      </c>
      <c r="D203" s="330">
        <v>45851</v>
      </c>
      <c r="E203" s="329">
        <v>1440</v>
      </c>
      <c r="F203" s="328">
        <v>30</v>
      </c>
      <c r="G203" s="532"/>
      <c r="H203" s="525"/>
      <c r="I203" s="311"/>
      <c r="J203" s="527"/>
      <c r="K203" s="327">
        <v>8.0989413664659504E-2</v>
      </c>
      <c r="L203" s="325">
        <v>0</v>
      </c>
      <c r="M203" s="326">
        <v>0.2096593446811317</v>
      </c>
      <c r="N203" s="324">
        <v>0.78996530424826972</v>
      </c>
      <c r="O203" s="327"/>
      <c r="P203" s="326"/>
      <c r="Q203" s="325"/>
      <c r="R203" s="325"/>
      <c r="S203" s="324"/>
      <c r="T203" s="323"/>
      <c r="U203" s="322"/>
      <c r="V203" s="321"/>
      <c r="W203" s="253"/>
      <c r="X203" s="320"/>
      <c r="Y203" s="199"/>
      <c r="Z203" s="319"/>
      <c r="AA203" s="293"/>
      <c r="AB203" s="293"/>
      <c r="AC203" s="293"/>
      <c r="AD203" s="293"/>
      <c r="AE203" s="225"/>
      <c r="AF203" s="261"/>
      <c r="AG203" s="293"/>
      <c r="AH203" s="182"/>
      <c r="AI203" s="318"/>
      <c r="AJ203" s="182"/>
      <c r="AK203" s="317"/>
      <c r="AL203" s="613"/>
    </row>
    <row r="204" spans="2:38" ht="19.5" customHeight="1">
      <c r="B204" s="613">
        <v>194</v>
      </c>
      <c r="C204" s="340" t="s">
        <v>317</v>
      </c>
      <c r="D204" s="330">
        <v>45859</v>
      </c>
      <c r="E204" s="329">
        <v>1440</v>
      </c>
      <c r="F204" s="400">
        <v>30</v>
      </c>
      <c r="G204" s="532"/>
      <c r="H204" s="525"/>
      <c r="I204" s="311"/>
      <c r="J204" s="527"/>
      <c r="K204" s="327">
        <v>3.1465743490767244E-2</v>
      </c>
      <c r="L204" s="325">
        <v>0</v>
      </c>
      <c r="M204" s="326">
        <v>0.15366294283298451</v>
      </c>
      <c r="N204" s="324">
        <v>2.0598936944205155</v>
      </c>
      <c r="O204" s="327"/>
      <c r="P204" s="326"/>
      <c r="Q204" s="325"/>
      <c r="R204" s="325"/>
      <c r="S204" s="324"/>
      <c r="T204" s="323"/>
      <c r="U204" s="322"/>
      <c r="V204" s="321"/>
      <c r="W204" s="253"/>
      <c r="X204" s="320"/>
      <c r="Y204" s="199"/>
      <c r="Z204" s="319"/>
      <c r="AA204" s="293"/>
      <c r="AB204" s="293"/>
      <c r="AC204" s="293"/>
      <c r="AD204" s="293"/>
      <c r="AE204" s="225"/>
      <c r="AF204" s="261"/>
      <c r="AG204" s="293"/>
      <c r="AH204" s="182"/>
      <c r="AI204" s="318"/>
      <c r="AJ204" s="182"/>
      <c r="AK204" s="317"/>
      <c r="AL204" s="613"/>
    </row>
    <row r="205" spans="2:38" ht="19.5" customHeight="1">
      <c r="B205" s="613">
        <v>195</v>
      </c>
      <c r="C205" s="340" t="s">
        <v>319</v>
      </c>
      <c r="D205" s="330">
        <v>45867</v>
      </c>
      <c r="E205" s="329">
        <v>1440</v>
      </c>
      <c r="F205" s="328">
        <v>30</v>
      </c>
      <c r="G205" s="532"/>
      <c r="H205" s="525"/>
      <c r="I205" s="311"/>
      <c r="J205" s="527"/>
      <c r="K205" s="327">
        <v>0.26169785021467334</v>
      </c>
      <c r="L205" s="325">
        <v>0</v>
      </c>
      <c r="M205" s="326">
        <v>0.69298704115804644</v>
      </c>
      <c r="N205" s="324">
        <v>1.9397986882792819</v>
      </c>
      <c r="O205" s="327"/>
      <c r="P205" s="326"/>
      <c r="Q205" s="325"/>
      <c r="R205" s="325"/>
      <c r="S205" s="324"/>
      <c r="T205" s="323"/>
      <c r="U205" s="322"/>
      <c r="V205" s="321"/>
      <c r="W205" s="253"/>
      <c r="X205" s="320"/>
      <c r="Y205" s="199"/>
      <c r="Z205" s="319"/>
      <c r="AA205" s="293"/>
      <c r="AB205" s="293"/>
      <c r="AC205" s="293"/>
      <c r="AD205" s="293"/>
      <c r="AE205" s="225"/>
      <c r="AF205" s="261"/>
      <c r="AG205" s="293"/>
      <c r="AH205" s="182"/>
      <c r="AI205" s="318"/>
      <c r="AJ205" s="182"/>
      <c r="AK205" s="317"/>
      <c r="AL205" s="613"/>
    </row>
    <row r="206" spans="2:38" ht="19.5" customHeight="1">
      <c r="B206" s="613">
        <v>196</v>
      </c>
      <c r="C206" s="340" t="s">
        <v>322</v>
      </c>
      <c r="D206" s="330">
        <v>45883</v>
      </c>
      <c r="E206" s="329">
        <v>1440</v>
      </c>
      <c r="F206" s="400">
        <v>30</v>
      </c>
      <c r="G206" s="532"/>
      <c r="H206" s="525"/>
      <c r="I206" s="311"/>
      <c r="J206" s="527"/>
      <c r="K206" s="327">
        <v>0.31083401123227544</v>
      </c>
      <c r="L206" s="325">
        <v>0</v>
      </c>
      <c r="M206" s="326">
        <v>0.5230922590029462</v>
      </c>
      <c r="N206" s="324">
        <v>0.86769934446827934</v>
      </c>
      <c r="O206" s="327"/>
      <c r="P206" s="326"/>
      <c r="Q206" s="325"/>
      <c r="R206" s="325"/>
      <c r="S206" s="324"/>
      <c r="T206" s="323"/>
      <c r="U206" s="322"/>
      <c r="V206" s="321"/>
      <c r="W206" s="253"/>
      <c r="X206" s="320"/>
      <c r="Y206" s="199"/>
      <c r="Z206" s="319"/>
      <c r="AA206" s="293"/>
      <c r="AB206" s="293"/>
      <c r="AC206" s="293"/>
      <c r="AD206" s="293"/>
      <c r="AE206" s="225"/>
      <c r="AF206" s="261"/>
      <c r="AG206" s="293"/>
      <c r="AH206" s="182"/>
      <c r="AI206" s="318"/>
      <c r="AJ206" s="182"/>
      <c r="AK206" s="317"/>
      <c r="AL206" s="613"/>
    </row>
    <row r="207" spans="2:38" ht="19.5" customHeight="1">
      <c r="B207" s="613">
        <v>197</v>
      </c>
      <c r="C207" s="340" t="s">
        <v>324</v>
      </c>
      <c r="D207" s="396">
        <v>45891</v>
      </c>
      <c r="E207" s="329">
        <v>1440</v>
      </c>
      <c r="F207" s="328">
        <v>30</v>
      </c>
      <c r="G207" s="532"/>
      <c r="H207" s="525"/>
      <c r="I207" s="311"/>
      <c r="J207" s="527"/>
      <c r="K207" s="327">
        <v>0.14637512530269886</v>
      </c>
      <c r="L207" s="325">
        <v>0</v>
      </c>
      <c r="M207" s="326">
        <v>0.54531633320918083</v>
      </c>
      <c r="N207" s="324">
        <v>2.0504708811348888</v>
      </c>
      <c r="O207" s="327"/>
      <c r="P207" s="326"/>
      <c r="Q207" s="325"/>
      <c r="R207" s="325"/>
      <c r="S207" s="324"/>
      <c r="T207" s="323"/>
      <c r="U207" s="322"/>
      <c r="V207" s="321"/>
      <c r="W207" s="253"/>
      <c r="X207" s="320"/>
      <c r="Y207" s="199"/>
      <c r="Z207" s="319"/>
      <c r="AA207" s="293"/>
      <c r="AB207" s="293"/>
      <c r="AC207" s="293"/>
      <c r="AD207" s="293"/>
      <c r="AE207" s="225"/>
      <c r="AF207" s="261"/>
      <c r="AG207" s="293"/>
      <c r="AH207" s="182"/>
      <c r="AI207" s="318"/>
      <c r="AJ207" s="182"/>
      <c r="AK207" s="317"/>
      <c r="AL207" s="613"/>
    </row>
    <row r="208" spans="2:38" ht="19.5" customHeight="1">
      <c r="B208" s="613">
        <v>198</v>
      </c>
      <c r="C208" s="340" t="s">
        <v>326</v>
      </c>
      <c r="D208" s="330">
        <v>45899</v>
      </c>
      <c r="E208" s="329">
        <v>1440</v>
      </c>
      <c r="F208" s="400">
        <v>30</v>
      </c>
      <c r="G208" s="532"/>
      <c r="H208" s="525"/>
      <c r="I208" s="311"/>
      <c r="J208" s="527"/>
      <c r="K208" s="327">
        <v>8.8713762846711605E-2</v>
      </c>
      <c r="L208" s="325">
        <v>0</v>
      </c>
      <c r="M208" s="326">
        <v>0.29506591084558748</v>
      </c>
      <c r="N208" s="324">
        <v>2.0995028653114232</v>
      </c>
      <c r="O208" s="327"/>
      <c r="P208" s="326"/>
      <c r="Q208" s="325"/>
      <c r="R208" s="325"/>
      <c r="S208" s="324"/>
      <c r="T208" s="323"/>
      <c r="U208" s="322"/>
      <c r="V208" s="321"/>
      <c r="W208" s="253"/>
      <c r="X208" s="320"/>
      <c r="Y208" s="199"/>
      <c r="Z208" s="319"/>
      <c r="AA208" s="293"/>
      <c r="AB208" s="293"/>
      <c r="AC208" s="293"/>
      <c r="AD208" s="293"/>
      <c r="AE208" s="225"/>
      <c r="AF208" s="261"/>
      <c r="AG208" s="293"/>
      <c r="AH208" s="182"/>
      <c r="AI208" s="318"/>
      <c r="AJ208" s="182"/>
      <c r="AK208" s="317"/>
      <c r="AL208" s="613"/>
    </row>
    <row r="209" spans="2:38" ht="19.5" customHeight="1">
      <c r="B209" s="613">
        <v>199</v>
      </c>
      <c r="C209" s="340">
        <v>45878</v>
      </c>
      <c r="D209" s="330">
        <v>45908</v>
      </c>
      <c r="E209" s="329">
        <v>1440</v>
      </c>
      <c r="F209" s="328">
        <v>30</v>
      </c>
      <c r="G209" s="532"/>
      <c r="H209" s="525"/>
      <c r="I209" s="311"/>
      <c r="J209" s="527"/>
      <c r="K209" s="327">
        <v>0.16422638043580243</v>
      </c>
      <c r="L209" s="325">
        <v>0</v>
      </c>
      <c r="M209" s="326">
        <v>0.71273156989499054</v>
      </c>
      <c r="N209" s="324">
        <v>3.7321345180249179</v>
      </c>
      <c r="O209" s="327"/>
      <c r="P209" s="326"/>
      <c r="Q209" s="325"/>
      <c r="R209" s="325"/>
      <c r="S209" s="324"/>
      <c r="T209" s="323"/>
      <c r="U209" s="322"/>
      <c r="V209" s="321"/>
      <c r="W209" s="253"/>
      <c r="X209" s="320"/>
      <c r="Y209" s="199"/>
      <c r="Z209" s="319"/>
      <c r="AA209" s="293"/>
      <c r="AB209" s="293"/>
      <c r="AC209" s="293"/>
      <c r="AD209" s="293"/>
      <c r="AE209" s="225"/>
      <c r="AF209" s="261"/>
      <c r="AG209" s="293"/>
      <c r="AH209" s="182"/>
      <c r="AI209" s="318"/>
      <c r="AJ209" s="182"/>
      <c r="AK209" s="317"/>
      <c r="AL209" s="613"/>
    </row>
    <row r="210" spans="2:38" ht="19.5" customHeight="1">
      <c r="B210" s="613">
        <v>200</v>
      </c>
      <c r="C210" s="340" t="s">
        <v>329</v>
      </c>
      <c r="D210" s="330">
        <v>45916</v>
      </c>
      <c r="E210" s="329">
        <v>1440</v>
      </c>
      <c r="F210" s="400">
        <v>30</v>
      </c>
      <c r="G210" s="532"/>
      <c r="H210" s="525"/>
      <c r="I210" s="311"/>
      <c r="J210" s="527"/>
      <c r="K210" s="327">
        <v>5.4096278218117078E-2</v>
      </c>
      <c r="L210" s="325">
        <v>0</v>
      </c>
      <c r="M210" s="326">
        <v>0.89745770735714392</v>
      </c>
      <c r="N210" s="324">
        <v>7.258134571960734</v>
      </c>
      <c r="O210" s="327"/>
      <c r="P210" s="326"/>
      <c r="Q210" s="325"/>
      <c r="R210" s="325"/>
      <c r="S210" s="324"/>
      <c r="T210" s="323"/>
      <c r="U210" s="322"/>
      <c r="V210" s="321"/>
      <c r="W210" s="253"/>
      <c r="X210" s="320"/>
      <c r="Y210" s="199"/>
      <c r="Z210" s="319"/>
      <c r="AA210" s="293"/>
      <c r="AB210" s="293"/>
      <c r="AC210" s="293"/>
      <c r="AD210" s="293"/>
      <c r="AE210" s="225"/>
      <c r="AF210" s="261"/>
      <c r="AG210" s="293"/>
      <c r="AH210" s="182"/>
      <c r="AI210" s="318"/>
      <c r="AJ210" s="182"/>
      <c r="AK210" s="317"/>
      <c r="AL210" s="613"/>
    </row>
    <row r="211" spans="2:38" ht="19.5" customHeight="1">
      <c r="B211" s="613">
        <v>201</v>
      </c>
      <c r="C211" s="340" t="s">
        <v>331</v>
      </c>
      <c r="D211" s="330">
        <v>45924</v>
      </c>
      <c r="E211" s="329">
        <v>1440</v>
      </c>
      <c r="F211" s="328">
        <v>30</v>
      </c>
      <c r="G211" s="532"/>
      <c r="H211" s="525"/>
      <c r="I211" s="311"/>
      <c r="J211" s="527"/>
      <c r="K211" s="327">
        <v>6.8821626157146071E-2</v>
      </c>
      <c r="L211" s="325">
        <v>0</v>
      </c>
      <c r="M211" s="326">
        <v>0.77678649451833226</v>
      </c>
      <c r="N211" s="324">
        <v>4.0390347128604933</v>
      </c>
      <c r="O211" s="327"/>
      <c r="P211" s="326"/>
      <c r="Q211" s="325"/>
      <c r="R211" s="325"/>
      <c r="S211" s="324"/>
      <c r="T211" s="323"/>
      <c r="U211" s="322"/>
      <c r="V211" s="321"/>
      <c r="W211" s="253"/>
      <c r="X211" s="320"/>
      <c r="Y211" s="199"/>
      <c r="Z211" s="319"/>
      <c r="AA211" s="293"/>
      <c r="AB211" s="293"/>
      <c r="AC211" s="293"/>
      <c r="AD211" s="293"/>
      <c r="AE211" s="225"/>
      <c r="AF211" s="261"/>
      <c r="AG211" s="293"/>
      <c r="AH211" s="182"/>
      <c r="AI211" s="318"/>
      <c r="AJ211" s="182"/>
      <c r="AK211" s="317"/>
      <c r="AL211" s="613"/>
    </row>
    <row r="212" spans="2:38" ht="19.5" customHeight="1">
      <c r="B212" s="613">
        <v>202</v>
      </c>
      <c r="C212" s="340">
        <v>45698</v>
      </c>
      <c r="D212" s="330">
        <v>45932</v>
      </c>
      <c r="E212" s="329">
        <v>1440</v>
      </c>
      <c r="F212" s="400">
        <v>30</v>
      </c>
      <c r="G212" s="532"/>
      <c r="H212" s="525"/>
      <c r="I212" s="311"/>
      <c r="J212" s="527"/>
      <c r="K212" s="327">
        <v>0.20723989678401872</v>
      </c>
      <c r="L212" s="325">
        <v>0</v>
      </c>
      <c r="M212" s="326">
        <v>0.91963586405468811</v>
      </c>
      <c r="N212" s="324">
        <v>4.7016669561605164</v>
      </c>
      <c r="O212" s="327"/>
      <c r="P212" s="326"/>
      <c r="Q212" s="325"/>
      <c r="R212" s="325"/>
      <c r="S212" s="324"/>
      <c r="T212" s="323"/>
      <c r="U212" s="322"/>
      <c r="V212" s="321"/>
      <c r="W212" s="253"/>
      <c r="X212" s="320"/>
      <c r="Y212" s="199"/>
      <c r="Z212" s="319"/>
      <c r="AA212" s="293"/>
      <c r="AB212" s="293"/>
      <c r="AC212" s="293"/>
      <c r="AD212" s="293"/>
      <c r="AE212" s="225"/>
      <c r="AF212" s="261"/>
      <c r="AG212" s="293"/>
      <c r="AH212" s="182"/>
      <c r="AI212" s="318"/>
      <c r="AJ212" s="182"/>
      <c r="AK212" s="317"/>
      <c r="AL212" s="613"/>
    </row>
    <row r="213" spans="2:38" ht="19.5" customHeight="1">
      <c r="B213" s="613">
        <v>203</v>
      </c>
      <c r="C213" s="340">
        <v>45950</v>
      </c>
      <c r="D213" s="330">
        <v>45950</v>
      </c>
      <c r="E213" s="329">
        <v>1440</v>
      </c>
      <c r="F213" s="328">
        <v>30</v>
      </c>
      <c r="G213" s="532"/>
      <c r="H213" s="525"/>
      <c r="I213" s="311"/>
      <c r="J213" s="527"/>
      <c r="K213" s="327">
        <v>0.1794167393623797</v>
      </c>
      <c r="L213" s="325">
        <v>0</v>
      </c>
      <c r="M213" s="326">
        <v>0.77044987831903389</v>
      </c>
      <c r="N213" s="324">
        <v>3.0798089979293493</v>
      </c>
      <c r="O213" s="327"/>
      <c r="P213" s="326"/>
      <c r="Q213" s="325"/>
      <c r="R213" s="325"/>
      <c r="S213" s="324"/>
      <c r="T213" s="323"/>
      <c r="U213" s="322"/>
      <c r="V213" s="321"/>
      <c r="W213" s="253"/>
      <c r="X213" s="320"/>
      <c r="Y213" s="199"/>
      <c r="Z213" s="319"/>
      <c r="AA213" s="293"/>
      <c r="AB213" s="293"/>
      <c r="AC213" s="293"/>
      <c r="AD213" s="293"/>
      <c r="AE213" s="225"/>
      <c r="AF213" s="261"/>
      <c r="AG213" s="293"/>
      <c r="AH213" s="182"/>
      <c r="AI213" s="318"/>
      <c r="AJ213" s="182"/>
      <c r="AK213" s="317"/>
      <c r="AL213" s="613"/>
    </row>
    <row r="214" spans="2:38" ht="19.5" customHeight="1">
      <c r="B214" s="613">
        <v>204</v>
      </c>
      <c r="C214" s="340" t="s">
        <v>335</v>
      </c>
      <c r="D214" s="330">
        <v>45948</v>
      </c>
      <c r="E214" s="329">
        <v>1440</v>
      </c>
      <c r="F214" s="400">
        <v>30</v>
      </c>
      <c r="G214" s="532"/>
      <c r="H214" s="525"/>
      <c r="I214" s="311"/>
      <c r="J214" s="527"/>
      <c r="K214" s="327">
        <v>4.3039350291968981E-2</v>
      </c>
      <c r="L214" s="325">
        <v>0</v>
      </c>
      <c r="M214" s="326">
        <v>0.45660370641900427</v>
      </c>
      <c r="N214" s="324">
        <v>2.5345866759227951</v>
      </c>
      <c r="O214" s="327"/>
      <c r="P214" s="326"/>
      <c r="Q214" s="325"/>
      <c r="R214" s="325"/>
      <c r="S214" s="324"/>
      <c r="T214" s="323"/>
      <c r="U214" s="322"/>
      <c r="V214" s="321"/>
      <c r="W214" s="253"/>
      <c r="X214" s="320"/>
      <c r="Y214" s="199"/>
      <c r="Z214" s="319"/>
      <c r="AA214" s="293"/>
      <c r="AB214" s="293"/>
      <c r="AC214" s="293"/>
      <c r="AD214" s="293"/>
      <c r="AE214" s="225"/>
      <c r="AF214" s="261"/>
      <c r="AG214" s="293"/>
      <c r="AH214" s="182"/>
      <c r="AI214" s="318"/>
      <c r="AJ214" s="182"/>
      <c r="AK214" s="317"/>
      <c r="AL214" s="613"/>
    </row>
    <row r="215" spans="2:38" ht="19.5" customHeight="1">
      <c r="B215" s="613">
        <v>205</v>
      </c>
      <c r="C215" s="340" t="s">
        <v>337</v>
      </c>
      <c r="D215" s="330">
        <v>45956</v>
      </c>
      <c r="E215" s="329">
        <v>1440</v>
      </c>
      <c r="F215" s="328">
        <v>30</v>
      </c>
      <c r="G215" s="532"/>
      <c r="H215" s="525"/>
      <c r="I215" s="311"/>
      <c r="J215" s="527"/>
      <c r="K215" s="327">
        <v>0.1067975234735893</v>
      </c>
      <c r="L215" s="325">
        <v>0</v>
      </c>
      <c r="M215" s="326">
        <v>0.7890464693387137</v>
      </c>
      <c r="N215" s="324">
        <v>2.8392520796428404</v>
      </c>
      <c r="O215" s="327"/>
      <c r="P215" s="326"/>
      <c r="Q215" s="325"/>
      <c r="R215" s="325"/>
      <c r="S215" s="324"/>
      <c r="T215" s="323"/>
      <c r="U215" s="322"/>
      <c r="V215" s="321"/>
      <c r="W215" s="253"/>
      <c r="X215" s="320"/>
      <c r="Y215" s="199"/>
      <c r="Z215" s="319"/>
      <c r="AA215" s="293"/>
      <c r="AB215" s="293"/>
      <c r="AC215" s="293"/>
      <c r="AD215" s="293"/>
      <c r="AE215" s="225"/>
      <c r="AF215" s="261"/>
      <c r="AG215" s="293"/>
      <c r="AH215" s="182"/>
      <c r="AI215" s="318"/>
      <c r="AJ215" s="182"/>
      <c r="AK215" s="317"/>
      <c r="AL215" s="613"/>
    </row>
    <row r="216" spans="2:38" ht="19.5" customHeight="1">
      <c r="B216" s="613">
        <v>206</v>
      </c>
      <c r="C216" s="340">
        <v>45758</v>
      </c>
      <c r="D216" s="330">
        <v>45965</v>
      </c>
      <c r="E216" s="329">
        <v>1440</v>
      </c>
      <c r="F216" s="400">
        <v>30</v>
      </c>
      <c r="G216" s="532"/>
      <c r="H216" s="525"/>
      <c r="I216" s="311"/>
      <c r="J216" s="527"/>
      <c r="K216" s="327">
        <v>0.1429133768398394</v>
      </c>
      <c r="L216" s="325">
        <v>0</v>
      </c>
      <c r="M216" s="326">
        <v>0.7047419233828317</v>
      </c>
      <c r="N216" s="324">
        <v>1.2280010404376169</v>
      </c>
      <c r="O216" s="327"/>
      <c r="P216" s="326"/>
      <c r="Q216" s="325"/>
      <c r="R216" s="325"/>
      <c r="S216" s="324"/>
      <c r="T216" s="323"/>
      <c r="U216" s="322"/>
      <c r="V216" s="321"/>
      <c r="W216" s="253"/>
      <c r="X216" s="320"/>
      <c r="Y216" s="199"/>
      <c r="Z216" s="319"/>
      <c r="AA216" s="293"/>
      <c r="AB216" s="293"/>
      <c r="AC216" s="293"/>
      <c r="AD216" s="293"/>
      <c r="AE216" s="225"/>
      <c r="AF216" s="261"/>
      <c r="AG216" s="293"/>
      <c r="AH216" s="182"/>
      <c r="AI216" s="318"/>
      <c r="AJ216" s="182"/>
      <c r="AK216" s="317"/>
      <c r="AL216" s="613"/>
    </row>
    <row r="217" spans="2:38" ht="19.5" customHeight="1">
      <c r="B217" s="613">
        <v>207</v>
      </c>
      <c r="C217" s="340">
        <v>46002</v>
      </c>
      <c r="D217" s="330">
        <v>45973</v>
      </c>
      <c r="E217" s="329">
        <v>1440</v>
      </c>
      <c r="F217" s="328">
        <v>30</v>
      </c>
      <c r="G217" s="532"/>
      <c r="H217" s="525"/>
      <c r="I217" s="311"/>
      <c r="J217" s="527"/>
      <c r="K217" s="327">
        <v>0.23250549377414215</v>
      </c>
      <c r="L217" s="325">
        <v>0</v>
      </c>
      <c r="M217" s="326">
        <v>2.4547500145977441</v>
      </c>
      <c r="N217" s="324">
        <v>5.2550279204385504</v>
      </c>
      <c r="O217" s="327"/>
      <c r="P217" s="326"/>
      <c r="Q217" s="325"/>
      <c r="R217" s="325"/>
      <c r="S217" s="324"/>
      <c r="T217" s="323"/>
      <c r="U217" s="322"/>
      <c r="V217" s="321"/>
      <c r="W217" s="253"/>
      <c r="X217" s="320"/>
      <c r="Y217" s="199"/>
      <c r="Z217" s="319"/>
      <c r="AA217" s="293"/>
      <c r="AB217" s="293"/>
      <c r="AC217" s="293"/>
      <c r="AD217" s="293"/>
      <c r="AE217" s="225"/>
      <c r="AF217" s="261"/>
      <c r="AG217" s="293"/>
      <c r="AH217" s="182"/>
      <c r="AI217" s="318"/>
      <c r="AJ217" s="182"/>
      <c r="AK217" s="317"/>
      <c r="AL217" s="613"/>
    </row>
    <row r="218" spans="2:38" ht="19.5" customHeight="1">
      <c r="B218" s="613">
        <v>208</v>
      </c>
      <c r="C218" s="340" t="s">
        <v>341</v>
      </c>
      <c r="D218" s="330">
        <v>45981</v>
      </c>
      <c r="E218" s="329">
        <v>1440</v>
      </c>
      <c r="F218" s="400">
        <v>30</v>
      </c>
      <c r="G218" s="532"/>
      <c r="H218" s="525"/>
      <c r="I218" s="311"/>
      <c r="J218" s="527"/>
      <c r="K218" s="327">
        <v>0.25079592595104139</v>
      </c>
      <c r="L218" s="325">
        <v>0</v>
      </c>
      <c r="M218" s="326">
        <v>4.2595836111891945</v>
      </c>
      <c r="N218" s="324">
        <v>7.1414584626753452</v>
      </c>
      <c r="O218" s="327"/>
      <c r="P218" s="326"/>
      <c r="Q218" s="325"/>
      <c r="R218" s="325"/>
      <c r="S218" s="324"/>
      <c r="T218" s="323"/>
      <c r="U218" s="322"/>
      <c r="V218" s="321"/>
      <c r="W218" s="253"/>
      <c r="X218" s="320"/>
      <c r="Y218" s="199"/>
      <c r="Z218" s="319"/>
      <c r="AA218" s="293"/>
      <c r="AB218" s="293"/>
      <c r="AC218" s="293"/>
      <c r="AD218" s="293"/>
      <c r="AE218" s="225"/>
      <c r="AF218" s="261"/>
      <c r="AG218" s="293"/>
      <c r="AH218" s="182"/>
      <c r="AI218" s="318"/>
      <c r="AJ218" s="182"/>
      <c r="AK218" s="317"/>
      <c r="AL218" s="613"/>
    </row>
    <row r="219" spans="2:38" ht="19.5" customHeight="1">
      <c r="B219" s="613">
        <v>209</v>
      </c>
      <c r="C219" s="340" t="s">
        <v>343</v>
      </c>
      <c r="D219" s="330">
        <v>45989</v>
      </c>
      <c r="E219" s="329">
        <v>1440</v>
      </c>
      <c r="F219" s="328">
        <v>30</v>
      </c>
      <c r="G219" s="532"/>
      <c r="H219" s="525"/>
      <c r="I219" s="311"/>
      <c r="J219" s="527"/>
      <c r="K219" s="327">
        <v>0.25312098088878277</v>
      </c>
      <c r="L219" s="325">
        <v>0</v>
      </c>
      <c r="M219" s="326">
        <v>6.4796033213607567</v>
      </c>
      <c r="N219" s="324">
        <v>9.890251534776171</v>
      </c>
      <c r="O219" s="327"/>
      <c r="P219" s="326"/>
      <c r="Q219" s="325"/>
      <c r="R219" s="325"/>
      <c r="S219" s="324"/>
      <c r="T219" s="323"/>
      <c r="U219" s="322"/>
      <c r="V219" s="321"/>
      <c r="W219" s="253"/>
      <c r="X219" s="320"/>
      <c r="Y219" s="199"/>
      <c r="Z219" s="319"/>
      <c r="AA219" s="293"/>
      <c r="AB219" s="293"/>
      <c r="AC219" s="293"/>
      <c r="AD219" s="293"/>
      <c r="AE219" s="225"/>
      <c r="AF219" s="261"/>
      <c r="AG219" s="293"/>
      <c r="AH219" s="182"/>
      <c r="AI219" s="318"/>
      <c r="AJ219" s="182"/>
      <c r="AK219" s="317"/>
      <c r="AL219" s="613"/>
    </row>
    <row r="220" spans="2:38" ht="19.5" customHeight="1">
      <c r="B220" s="613">
        <v>210</v>
      </c>
      <c r="C220" s="340">
        <v>45820</v>
      </c>
      <c r="D220" s="330">
        <v>45997</v>
      </c>
      <c r="E220" s="329">
        <v>1440</v>
      </c>
      <c r="F220" s="400">
        <v>30</v>
      </c>
      <c r="G220" s="532"/>
      <c r="H220" s="525"/>
      <c r="I220" s="311"/>
      <c r="J220" s="527"/>
      <c r="K220" s="327">
        <v>0.20630987480892216</v>
      </c>
      <c r="L220" s="325">
        <v>0</v>
      </c>
      <c r="M220" s="326">
        <v>2.6126144094759161</v>
      </c>
      <c r="N220" s="324">
        <v>5.6178646033449064</v>
      </c>
      <c r="O220" s="327"/>
      <c r="P220" s="326"/>
      <c r="Q220" s="325"/>
      <c r="R220" s="325"/>
      <c r="S220" s="324"/>
      <c r="T220" s="323"/>
      <c r="U220" s="322"/>
      <c r="V220" s="321"/>
      <c r="W220" s="253"/>
      <c r="X220" s="320"/>
      <c r="Y220" s="199"/>
      <c r="Z220" s="319"/>
      <c r="AA220" s="293"/>
      <c r="AB220" s="293"/>
      <c r="AC220" s="293"/>
      <c r="AD220" s="293"/>
      <c r="AE220" s="225"/>
      <c r="AF220" s="261"/>
      <c r="AG220" s="293"/>
      <c r="AH220" s="182"/>
      <c r="AI220" s="318"/>
      <c r="AJ220" s="182"/>
      <c r="AK220" s="317"/>
      <c r="AL220" s="613"/>
    </row>
    <row r="221" spans="2:38" ht="19.5" customHeight="1">
      <c r="B221" s="613">
        <v>211</v>
      </c>
      <c r="C221" s="340" t="s">
        <v>346</v>
      </c>
      <c r="D221" s="330">
        <v>46005</v>
      </c>
      <c r="E221" s="329">
        <v>1440</v>
      </c>
      <c r="F221" s="328">
        <v>30</v>
      </c>
      <c r="G221" s="532"/>
      <c r="H221" s="525"/>
      <c r="I221" s="311"/>
      <c r="J221" s="527"/>
      <c r="K221" s="327">
        <v>0.14198335486474284</v>
      </c>
      <c r="L221" s="325">
        <v>0</v>
      </c>
      <c r="M221" s="326">
        <v>1.0653780366385497</v>
      </c>
      <c r="N221" s="324">
        <v>1.1781685340704451</v>
      </c>
      <c r="O221" s="327"/>
      <c r="P221" s="326"/>
      <c r="Q221" s="325"/>
      <c r="R221" s="325"/>
      <c r="S221" s="324"/>
      <c r="T221" s="323"/>
      <c r="U221" s="322"/>
      <c r="V221" s="321"/>
      <c r="W221" s="253"/>
      <c r="X221" s="320"/>
      <c r="Y221" s="199"/>
      <c r="Z221" s="319"/>
      <c r="AA221" s="293"/>
      <c r="AB221" s="293"/>
      <c r="AC221" s="293"/>
      <c r="AD221" s="293"/>
      <c r="AE221" s="225"/>
      <c r="AF221" s="261"/>
      <c r="AG221" s="293"/>
      <c r="AH221" s="182"/>
      <c r="AI221" s="318"/>
      <c r="AJ221" s="182"/>
      <c r="AK221" s="317"/>
      <c r="AL221" s="613"/>
    </row>
    <row r="222" spans="2:38" ht="19.5" customHeight="1">
      <c r="B222" s="609"/>
      <c r="C222" s="330"/>
      <c r="D222" s="330"/>
      <c r="E222" s="499"/>
      <c r="F222" s="499"/>
      <c r="G222" s="526"/>
      <c r="H222" s="525"/>
      <c r="I222" s="251"/>
      <c r="J222" s="527"/>
      <c r="K222" s="325"/>
      <c r="L222" s="325"/>
      <c r="M222" s="326"/>
      <c r="N222" s="325"/>
      <c r="O222" s="325"/>
      <c r="P222" s="326"/>
      <c r="Q222" s="325"/>
      <c r="R222" s="325"/>
      <c r="S222" s="325"/>
      <c r="T222" s="323"/>
      <c r="U222" s="607"/>
      <c r="V222" s="607"/>
      <c r="W222" s="251"/>
      <c r="X222" s="608"/>
      <c r="Y222" s="199"/>
      <c r="Z222" s="293"/>
      <c r="AA222" s="293"/>
      <c r="AB222" s="293"/>
      <c r="AC222" s="293"/>
      <c r="AD222" s="293"/>
      <c r="AE222" s="199"/>
      <c r="AF222" s="199"/>
      <c r="AG222" s="293"/>
      <c r="AH222" s="183"/>
      <c r="AI222" s="318"/>
      <c r="AJ222" s="183"/>
      <c r="AK222" s="199"/>
      <c r="AL222" s="609"/>
    </row>
    <row r="223" spans="2:38" ht="19.5" customHeight="1">
      <c r="F223" s="259"/>
      <c r="G223" s="183"/>
      <c r="H223" s="293"/>
      <c r="I223" s="293"/>
      <c r="J223" s="171"/>
    </row>
    <row r="224" spans="2:38" s="180" customFormat="1" ht="19.5" customHeight="1">
      <c r="D224" s="174"/>
      <c r="E224" s="174"/>
      <c r="F224" s="286"/>
      <c r="G224" s="292" t="s">
        <v>78</v>
      </c>
      <c r="H224" s="244" t="s">
        <v>79</v>
      </c>
      <c r="I224" s="244" t="s">
        <v>80</v>
      </c>
      <c r="J224" s="244"/>
      <c r="K224" s="634" t="s">
        <v>26</v>
      </c>
      <c r="L224" s="635"/>
      <c r="M224" s="635"/>
      <c r="N224" s="636"/>
      <c r="O224" s="637"/>
      <c r="P224" s="637"/>
      <c r="Q224" s="637"/>
      <c r="R224" s="637"/>
      <c r="S224" s="638"/>
      <c r="T224" s="243"/>
      <c r="U224" s="243"/>
      <c r="V224" s="243"/>
      <c r="W224" s="243"/>
      <c r="X224" s="243"/>
      <c r="Y224" s="242"/>
      <c r="Z224" s="241" t="s">
        <v>81</v>
      </c>
      <c r="AA224" s="221" t="s">
        <v>52</v>
      </c>
      <c r="AB224" s="211"/>
      <c r="AC224" s="211"/>
      <c r="AD224" s="209"/>
      <c r="AE224" s="258" t="s">
        <v>40</v>
      </c>
      <c r="AF224" s="207"/>
      <c r="AG224" s="222" t="s">
        <v>82</v>
      </c>
      <c r="AH224" s="291"/>
      <c r="AI224" s="291"/>
      <c r="AJ224" s="291"/>
      <c r="AK224" s="205"/>
    </row>
    <row r="225" spans="2:38" s="180" customFormat="1" ht="19.5" customHeight="1">
      <c r="B225" s="174"/>
      <c r="E225" s="290"/>
      <c r="F225" s="286"/>
      <c r="G225" s="268" t="s">
        <v>83</v>
      </c>
      <c r="H225" s="235" t="s">
        <v>84</v>
      </c>
      <c r="I225" s="257" t="s">
        <v>85</v>
      </c>
      <c r="J225" s="235" t="s">
        <v>86</v>
      </c>
      <c r="K225" s="221" t="s">
        <v>32</v>
      </c>
      <c r="L225" s="220" t="s">
        <v>33</v>
      </c>
      <c r="M225" s="219" t="s">
        <v>87</v>
      </c>
      <c r="N225" s="218" t="s">
        <v>88</v>
      </c>
      <c r="O225" s="217" t="s">
        <v>39</v>
      </c>
      <c r="P225" s="217" t="s">
        <v>40</v>
      </c>
      <c r="Q225" s="217" t="s">
        <v>41</v>
      </c>
      <c r="R225" s="217" t="s">
        <v>42</v>
      </c>
      <c r="S225" s="289" t="s">
        <v>43</v>
      </c>
      <c r="T225" s="214" t="s">
        <v>37</v>
      </c>
      <c r="U225" s="214" t="s">
        <v>89</v>
      </c>
      <c r="V225" s="214" t="s">
        <v>90</v>
      </c>
      <c r="W225" s="214" t="s">
        <v>91</v>
      </c>
      <c r="X225" s="214" t="s">
        <v>92</v>
      </c>
      <c r="Y225" s="213" t="s">
        <v>44</v>
      </c>
      <c r="Z225" s="212"/>
      <c r="AA225" s="234" t="s">
        <v>55</v>
      </c>
      <c r="AB225" s="233" t="s">
        <v>46</v>
      </c>
      <c r="AC225" s="234" t="s">
        <v>56</v>
      </c>
      <c r="AD225" s="288" t="s">
        <v>46</v>
      </c>
      <c r="AE225" s="232" t="s">
        <v>56</v>
      </c>
      <c r="AF225" s="231" t="s">
        <v>46</v>
      </c>
      <c r="AG225" s="256" t="s">
        <v>93</v>
      </c>
      <c r="AH225" s="228" t="s">
        <v>94</v>
      </c>
      <c r="AI225" s="228" t="s">
        <v>95</v>
      </c>
      <c r="AJ225" s="228" t="s">
        <v>96</v>
      </c>
      <c r="AK225" s="228" t="s">
        <v>97</v>
      </c>
      <c r="AL225" s="174"/>
    </row>
    <row r="226" spans="2:38" s="180" customFormat="1" ht="19.5" customHeight="1">
      <c r="C226" s="180" t="s">
        <v>241</v>
      </c>
      <c r="D226" s="192" t="s">
        <v>45</v>
      </c>
      <c r="E226" s="178"/>
      <c r="F226" s="202">
        <f>COUNT(G3:G125,G128:G162)</f>
        <v>146</v>
      </c>
      <c r="G226" s="191">
        <f t="shared" ref="G226:W226" si="56">AVERAGE(G3:G125,G128:G162)</f>
        <v>103.36811345849043</v>
      </c>
      <c r="H226" s="521">
        <f t="shared" si="56"/>
        <v>0.67080907534246614</v>
      </c>
      <c r="I226" s="191">
        <f t="shared" si="56"/>
        <v>299.29028396986303</v>
      </c>
      <c r="J226" s="191">
        <f t="shared" si="56"/>
        <v>26.130283969862976</v>
      </c>
      <c r="K226" s="191">
        <f t="shared" si="56"/>
        <v>0.67185733208277809</v>
      </c>
      <c r="L226" s="191">
        <f t="shared" si="56"/>
        <v>7.7447852820725763E-2</v>
      </c>
      <c r="M226" s="191">
        <f t="shared" si="56"/>
        <v>2.4358935554992458</v>
      </c>
      <c r="N226" s="191">
        <f t="shared" si="56"/>
        <v>6.4056250600546099</v>
      </c>
      <c r="O226" s="191">
        <f t="shared" si="56"/>
        <v>0.28565998509027585</v>
      </c>
      <c r="P226" s="191">
        <f t="shared" si="56"/>
        <v>1.4959837022152533</v>
      </c>
      <c r="Q226" s="191">
        <f t="shared" si="56"/>
        <v>8.2811108844749959E-2</v>
      </c>
      <c r="R226" s="191">
        <f t="shared" si="56"/>
        <v>1.5762489205294938</v>
      </c>
      <c r="S226" s="191">
        <f t="shared" si="56"/>
        <v>0.53365733914777003</v>
      </c>
      <c r="T226" s="191">
        <f t="shared" si="56"/>
        <v>9.8790143040784706E-2</v>
      </c>
      <c r="U226" s="191">
        <f t="shared" si="56"/>
        <v>2.9661084595516622</v>
      </c>
      <c r="V226" s="191">
        <f t="shared" si="56"/>
        <v>0.37463482490623695</v>
      </c>
      <c r="W226" s="191">
        <f t="shared" si="56"/>
        <v>13.565184856284903</v>
      </c>
      <c r="X226" s="191"/>
      <c r="Y226" s="191">
        <f>AVERAGE(Y3:Y125,Y128:Y162)</f>
        <v>1.0009041178120652</v>
      </c>
      <c r="Z226" s="191"/>
      <c r="AA226" s="191">
        <f t="shared" ref="AA226:AK226" si="57">AVERAGE(AA3:AA125,AA128:AA162)</f>
        <v>57.908914994527279</v>
      </c>
      <c r="AB226" s="191">
        <f t="shared" si="57"/>
        <v>0.29109562641032766</v>
      </c>
      <c r="AC226" s="191">
        <f t="shared" si="57"/>
        <v>1.331367366971443</v>
      </c>
      <c r="AD226" s="191">
        <f t="shared" si="57"/>
        <v>0.20908693448790583</v>
      </c>
      <c r="AE226" s="191">
        <f t="shared" si="57"/>
        <v>15.7324128407303</v>
      </c>
      <c r="AF226" s="191">
        <f t="shared" si="57"/>
        <v>0.17764230974907844</v>
      </c>
      <c r="AG226" s="191">
        <f t="shared" si="57"/>
        <v>56.445580419580416</v>
      </c>
      <c r="AH226" s="191">
        <f t="shared" si="57"/>
        <v>33.999109665168753</v>
      </c>
      <c r="AI226" s="521">
        <f t="shared" si="57"/>
        <v>5.0317106558194824E-2</v>
      </c>
      <c r="AJ226" s="191">
        <f t="shared" si="57"/>
        <v>32.27448738059379</v>
      </c>
      <c r="AK226" s="191">
        <f t="shared" si="57"/>
        <v>-16.536220038461384</v>
      </c>
    </row>
    <row r="227" spans="2:38" s="180" customFormat="1" ht="19.5" customHeight="1">
      <c r="D227" s="187" t="s">
        <v>46</v>
      </c>
      <c r="E227" s="178"/>
      <c r="F227" s="202"/>
      <c r="G227" s="184">
        <f t="shared" ref="G227:W227" si="58">STDEV(G3:G126,G128:G162)</f>
        <v>71.57353063103389</v>
      </c>
      <c r="H227" s="522">
        <f t="shared" si="58"/>
        <v>0.11672573143174841</v>
      </c>
      <c r="I227" s="184">
        <f t="shared" si="58"/>
        <v>4.4610254822531372</v>
      </c>
      <c r="J227" s="184">
        <f t="shared" si="58"/>
        <v>4.4610254822531772</v>
      </c>
      <c r="K227" s="184">
        <f t="shared" si="58"/>
        <v>0.67407528507110492</v>
      </c>
      <c r="L227" s="184">
        <f t="shared" si="58"/>
        <v>0.13205555114957856</v>
      </c>
      <c r="M227" s="184">
        <f t="shared" si="58"/>
        <v>2.8989061317560458</v>
      </c>
      <c r="N227" s="184">
        <f t="shared" si="58"/>
        <v>5.6991626433435618</v>
      </c>
      <c r="O227" s="184">
        <f t="shared" si="58"/>
        <v>0.38200134421616749</v>
      </c>
      <c r="P227" s="184">
        <f t="shared" si="58"/>
        <v>1.4870609388519738</v>
      </c>
      <c r="Q227" s="184">
        <f t="shared" si="58"/>
        <v>8.0123396766490565E-2</v>
      </c>
      <c r="R227" s="184">
        <f t="shared" si="58"/>
        <v>1.6462514098906051</v>
      </c>
      <c r="S227" s="184">
        <f t="shared" si="58"/>
        <v>0.56832991940680322</v>
      </c>
      <c r="T227" s="184">
        <f t="shared" si="58"/>
        <v>0.22116832495568364</v>
      </c>
      <c r="U227" s="184">
        <f t="shared" si="58"/>
        <v>2.2253415391102185</v>
      </c>
      <c r="V227" s="184">
        <f t="shared" si="58"/>
        <v>0.26068233805500424</v>
      </c>
      <c r="W227" s="184">
        <f t="shared" si="58"/>
        <v>11.481729761472016</v>
      </c>
      <c r="X227" s="184"/>
      <c r="Y227" s="184">
        <f>STDEV(Y3:Y126,Y128:Y162)</f>
        <v>0.27000106456004258</v>
      </c>
      <c r="Z227" s="184"/>
      <c r="AA227" s="184">
        <f t="shared" ref="AA227:AK227" si="59">STDEV(AA3:AA126,AA128:AA162)</f>
        <v>16.831135149642112</v>
      </c>
      <c r="AB227" s="184">
        <f t="shared" si="59"/>
        <v>0.21007223111940629</v>
      </c>
      <c r="AC227" s="184">
        <f t="shared" si="59"/>
        <v>2.676014998386985</v>
      </c>
      <c r="AD227" s="184">
        <f t="shared" si="59"/>
        <v>0.15489766782489128</v>
      </c>
      <c r="AE227" s="184">
        <f t="shared" si="59"/>
        <v>5.4261100944831693</v>
      </c>
      <c r="AF227" s="184">
        <f t="shared" si="59"/>
        <v>0.11048748204418624</v>
      </c>
      <c r="AG227" s="184">
        <f t="shared" si="59"/>
        <v>65.459490163862824</v>
      </c>
      <c r="AH227" s="184">
        <f t="shared" si="59"/>
        <v>0.63007428323615</v>
      </c>
      <c r="AI227" s="522">
        <f t="shared" si="59"/>
        <v>8.0512879867682949E-2</v>
      </c>
      <c r="AJ227" s="184">
        <f t="shared" si="59"/>
        <v>2.6596496104948972</v>
      </c>
      <c r="AK227" s="184">
        <f t="shared" si="59"/>
        <v>5.7743127586156167</v>
      </c>
    </row>
    <row r="228" spans="2:38" s="180" customFormat="1" ht="19.5" customHeight="1">
      <c r="D228" s="187" t="s">
        <v>47</v>
      </c>
      <c r="E228" s="178"/>
      <c r="F228" s="202"/>
      <c r="G228" s="184">
        <f t="shared" ref="G228:W228" si="60">MIN(G3:G126,G128:G162)</f>
        <v>11.166666666666668</v>
      </c>
      <c r="H228" s="522">
        <f t="shared" si="60"/>
        <v>0.34</v>
      </c>
      <c r="I228" s="184">
        <f t="shared" si="60"/>
        <v>288</v>
      </c>
      <c r="J228" s="184">
        <f t="shared" si="60"/>
        <v>14.839999999999975</v>
      </c>
      <c r="K228" s="184">
        <f t="shared" si="60"/>
        <v>3.7139516237370801E-2</v>
      </c>
      <c r="L228" s="184">
        <f t="shared" si="60"/>
        <v>0</v>
      </c>
      <c r="M228" s="184">
        <f t="shared" si="60"/>
        <v>0.18241944912335684</v>
      </c>
      <c r="N228" s="184">
        <f t="shared" si="60"/>
        <v>0.30603489986430726</v>
      </c>
      <c r="O228" s="184">
        <f t="shared" si="60"/>
        <v>3.3684360965799194E-2</v>
      </c>
      <c r="P228" s="184">
        <f t="shared" si="60"/>
        <v>3.2618517476188894E-2</v>
      </c>
      <c r="Q228" s="184">
        <f t="shared" si="60"/>
        <v>3.8119775902045608E-3</v>
      </c>
      <c r="R228" s="184">
        <f t="shared" si="60"/>
        <v>8.8694552451961492E-2</v>
      </c>
      <c r="S228" s="184">
        <f t="shared" si="60"/>
        <v>3.5856517156245819E-2</v>
      </c>
      <c r="T228" s="184">
        <f t="shared" si="60"/>
        <v>0</v>
      </c>
      <c r="U228" s="184">
        <f t="shared" si="60"/>
        <v>8.9074443385553218E-2</v>
      </c>
      <c r="V228" s="184">
        <f t="shared" si="60"/>
        <v>4.2235650539558744E-2</v>
      </c>
      <c r="W228" s="184">
        <f t="shared" si="60"/>
        <v>1.3724394382877243</v>
      </c>
      <c r="X228" s="184"/>
      <c r="Y228" s="184">
        <f>MIN(Y3:Y126,Y128:Y162)</f>
        <v>0.23872624749034826</v>
      </c>
      <c r="Z228" s="184"/>
      <c r="AA228" s="184">
        <f t="shared" ref="AA228:AK228" si="61">MIN(AA3:AA126,AA128:AA162)</f>
        <v>-2.0964003523151962</v>
      </c>
      <c r="AB228" s="184">
        <f t="shared" si="61"/>
        <v>6.7815788147632403E-3</v>
      </c>
      <c r="AC228" s="184">
        <f t="shared" si="61"/>
        <v>-8.9457843642551058</v>
      </c>
      <c r="AD228" s="184">
        <f t="shared" si="61"/>
        <v>2.7063443560911022E-2</v>
      </c>
      <c r="AE228" s="184">
        <f t="shared" si="61"/>
        <v>0.41832805319441224</v>
      </c>
      <c r="AF228" s="184">
        <f t="shared" si="61"/>
        <v>1.0371010639709195E-2</v>
      </c>
      <c r="AG228" s="184">
        <f t="shared" si="61"/>
        <v>1.984</v>
      </c>
      <c r="AH228" s="184">
        <f t="shared" si="61"/>
        <v>32.988679243437147</v>
      </c>
      <c r="AI228" s="522">
        <f t="shared" si="61"/>
        <v>3.9640277944210273E-4</v>
      </c>
      <c r="AJ228" s="184">
        <f t="shared" si="61"/>
        <v>20.330480294787982</v>
      </c>
      <c r="AK228" s="184">
        <f t="shared" si="61"/>
        <v>-33.735499059449396</v>
      </c>
    </row>
    <row r="229" spans="2:38" s="180" customFormat="1" ht="19.5" customHeight="1">
      <c r="D229" s="179" t="s">
        <v>48</v>
      </c>
      <c r="E229" s="178"/>
      <c r="F229" s="202"/>
      <c r="G229" s="177">
        <f t="shared" ref="G229:W229" si="62">MAX(G3:G126,G128:G162)</f>
        <v>326.25599999999997</v>
      </c>
      <c r="H229" s="523">
        <f t="shared" si="62"/>
        <v>0.91200000000000003</v>
      </c>
      <c r="I229" s="177">
        <f t="shared" si="62"/>
        <v>306.64999999999998</v>
      </c>
      <c r="J229" s="177">
        <f t="shared" si="62"/>
        <v>33.489999999999952</v>
      </c>
      <c r="K229" s="177">
        <f t="shared" si="62"/>
        <v>3.2250925521053033</v>
      </c>
      <c r="L229" s="177">
        <f t="shared" si="62"/>
        <v>0.71051224092263587</v>
      </c>
      <c r="M229" s="177">
        <f t="shared" si="62"/>
        <v>16.118872737377526</v>
      </c>
      <c r="N229" s="177">
        <f t="shared" si="62"/>
        <v>46.148283683906705</v>
      </c>
      <c r="O229" s="177">
        <f t="shared" si="62"/>
        <v>3.5823520525766313</v>
      </c>
      <c r="P229" s="177">
        <f t="shared" si="62"/>
        <v>8.5055069475988798</v>
      </c>
      <c r="Q229" s="177">
        <f t="shared" si="62"/>
        <v>0.54332211531117702</v>
      </c>
      <c r="R229" s="177">
        <f t="shared" si="62"/>
        <v>11.562099383929253</v>
      </c>
      <c r="S229" s="177">
        <f t="shared" si="62"/>
        <v>4.2053042647081664</v>
      </c>
      <c r="T229" s="177">
        <f t="shared" si="62"/>
        <v>1.5584390242471335</v>
      </c>
      <c r="U229" s="177">
        <f t="shared" si="62"/>
        <v>10.976259441584212</v>
      </c>
      <c r="V229" s="177">
        <f t="shared" si="62"/>
        <v>1.3557120041881339</v>
      </c>
      <c r="W229" s="177">
        <f t="shared" si="62"/>
        <v>74.682248821925327</v>
      </c>
      <c r="X229" s="177"/>
      <c r="Y229" s="177">
        <f>MAX(Y3:Y126,Y128:Y162)</f>
        <v>2.0813826607908767</v>
      </c>
      <c r="Z229" s="177"/>
      <c r="AA229" s="177">
        <f t="shared" ref="AA229:AK229" si="63">MAX(AA3:AA126,AA128:AA162)</f>
        <v>78.73780833251918</v>
      </c>
      <c r="AB229" s="177">
        <f t="shared" si="63"/>
        <v>0.97952222627323693</v>
      </c>
      <c r="AC229" s="177">
        <f t="shared" si="63"/>
        <v>7.5858303700631096</v>
      </c>
      <c r="AD229" s="177">
        <f t="shared" si="63"/>
        <v>0.75739493775505995</v>
      </c>
      <c r="AE229" s="177">
        <f t="shared" si="63"/>
        <v>34.350755891828108</v>
      </c>
      <c r="AF229" s="177">
        <f t="shared" si="63"/>
        <v>0.63495228174525553</v>
      </c>
      <c r="AG229" s="177">
        <f t="shared" si="63"/>
        <v>453.4</v>
      </c>
      <c r="AH229" s="177">
        <f t="shared" si="63"/>
        <v>35.62157222222222</v>
      </c>
      <c r="AI229" s="523">
        <f t="shared" si="63"/>
        <v>0.39654311254372604</v>
      </c>
      <c r="AJ229" s="177">
        <f t="shared" si="63"/>
        <v>35.276317008787466</v>
      </c>
      <c r="AK229" s="177">
        <f t="shared" si="63"/>
        <v>0.95638579972786175</v>
      </c>
    </row>
    <row r="230" spans="2:38" s="180" customFormat="1" ht="19.5" customHeight="1">
      <c r="F230" s="286"/>
      <c r="J230" s="227"/>
      <c r="K230" s="185">
        <f>SUM(K3:K125,K128:K162)/SUM($G$3:$G$125,$G$128:$G$162)</f>
        <v>6.4996574824070499E-3</v>
      </c>
      <c r="L230" s="185">
        <f t="shared" ref="L230:S230" si="64">SUM(L3:L125,L128:L162)/SUM($G$3:$G$125,$G$128:$G$162)</f>
        <v>7.4924316822156691E-4</v>
      </c>
      <c r="M230" s="185">
        <f t="shared" si="64"/>
        <v>2.3565231810846861E-2</v>
      </c>
      <c r="N230" s="185">
        <f t="shared" si="64"/>
        <v>6.1969062273995353E-2</v>
      </c>
      <c r="O230" s="185">
        <f t="shared" si="64"/>
        <v>2.7635213174804479E-3</v>
      </c>
      <c r="P230" s="185">
        <f t="shared" si="64"/>
        <v>1.4472390490283992E-2</v>
      </c>
      <c r="Q230" s="185">
        <f t="shared" si="64"/>
        <v>8.0112818231905191E-4</v>
      </c>
      <c r="R230" s="185">
        <f t="shared" si="64"/>
        <v>1.5248889312103667E-2</v>
      </c>
      <c r="S230" s="185">
        <f t="shared" si="64"/>
        <v>5.162688195543697E-3</v>
      </c>
      <c r="T230" s="186"/>
      <c r="U230" s="197"/>
      <c r="V230" s="198"/>
      <c r="W230" s="195">
        <f>SUM(K230:S230)</f>
        <v>0.13123181223320168</v>
      </c>
      <c r="X230" s="195"/>
    </row>
    <row r="231" spans="2:38" s="180" customFormat="1" ht="19.5" customHeight="1">
      <c r="F231" s="286"/>
      <c r="G231" s="268" t="s">
        <v>83</v>
      </c>
      <c r="H231" s="235" t="s">
        <v>84</v>
      </c>
      <c r="I231" s="257" t="s">
        <v>85</v>
      </c>
      <c r="J231" s="235" t="s">
        <v>86</v>
      </c>
      <c r="K231" s="221" t="s">
        <v>32</v>
      </c>
      <c r="L231" s="220" t="s">
        <v>33</v>
      </c>
      <c r="M231" s="219" t="s">
        <v>87</v>
      </c>
      <c r="N231" s="218" t="s">
        <v>88</v>
      </c>
      <c r="O231" s="217" t="s">
        <v>39</v>
      </c>
      <c r="P231" s="217" t="s">
        <v>40</v>
      </c>
      <c r="Q231" s="217" t="s">
        <v>41</v>
      </c>
      <c r="R231" s="217" t="s">
        <v>42</v>
      </c>
      <c r="S231" s="216" t="s">
        <v>43</v>
      </c>
      <c r="T231" s="214" t="s">
        <v>37</v>
      </c>
      <c r="U231" s="214" t="s">
        <v>89</v>
      </c>
      <c r="V231" s="215" t="s">
        <v>90</v>
      </c>
      <c r="W231" s="214" t="s">
        <v>91</v>
      </c>
      <c r="X231" s="214" t="s">
        <v>92</v>
      </c>
      <c r="Y231" s="213" t="s">
        <v>44</v>
      </c>
      <c r="Z231" s="212"/>
      <c r="AA231" s="210" t="s">
        <v>55</v>
      </c>
      <c r="AB231" s="211" t="s">
        <v>46</v>
      </c>
      <c r="AC231" s="210" t="s">
        <v>56</v>
      </c>
      <c r="AD231" s="209" t="s">
        <v>46</v>
      </c>
      <c r="AE231" s="208" t="s">
        <v>56</v>
      </c>
      <c r="AF231" s="207" t="s">
        <v>46</v>
      </c>
      <c r="AG231" s="206" t="s">
        <v>93</v>
      </c>
      <c r="AH231" s="205" t="s">
        <v>94</v>
      </c>
      <c r="AI231" s="205" t="s">
        <v>95</v>
      </c>
      <c r="AJ231" s="205" t="s">
        <v>96</v>
      </c>
      <c r="AK231" s="204" t="s">
        <v>97</v>
      </c>
    </row>
    <row r="232" spans="2:38" s="180" customFormat="1" ht="19.5" customHeight="1">
      <c r="C232" s="203" t="s">
        <v>241</v>
      </c>
      <c r="D232" s="192" t="s">
        <v>45</v>
      </c>
      <c r="E232" s="178"/>
      <c r="F232" s="202">
        <f>COUNT(G3:G11,G85:G93,G120:G126,G128:G131,G156:G162)</f>
        <v>35</v>
      </c>
      <c r="G232" s="191">
        <f t="shared" ref="G232:W232" si="65">AVERAGE(G3:G11,G85:G93,G120:G126,G128:G131,G156:G162)</f>
        <v>88.424223755954188</v>
      </c>
      <c r="H232" s="518">
        <f t="shared" si="65"/>
        <v>0.62788571428571427</v>
      </c>
      <c r="I232" s="191">
        <f t="shared" si="65"/>
        <v>302.20229485999994</v>
      </c>
      <c r="J232" s="191">
        <f t="shared" si="65"/>
        <v>29.04229485999997</v>
      </c>
      <c r="K232" s="191">
        <f t="shared" si="65"/>
        <v>0.89410724640591877</v>
      </c>
      <c r="L232" s="191">
        <f t="shared" si="65"/>
        <v>6.4937584706763807E-2</v>
      </c>
      <c r="M232" s="191">
        <f t="shared" si="65"/>
        <v>2.3744280540065752</v>
      </c>
      <c r="N232" s="191">
        <f t="shared" si="65"/>
        <v>7.724497304561682</v>
      </c>
      <c r="O232" s="191">
        <f t="shared" si="65"/>
        <v>0.27939984497771064</v>
      </c>
      <c r="P232" s="191">
        <f t="shared" si="65"/>
        <v>1.4438998187243042</v>
      </c>
      <c r="Q232" s="191">
        <f t="shared" si="65"/>
        <v>0.11915259772870335</v>
      </c>
      <c r="R232" s="191">
        <f t="shared" si="65"/>
        <v>2.1217936762029694</v>
      </c>
      <c r="S232" s="191">
        <f t="shared" si="65"/>
        <v>0.57674076388515427</v>
      </c>
      <c r="T232" s="191">
        <f t="shared" si="65"/>
        <v>5.1346942507642442E-2</v>
      </c>
      <c r="U232" s="191">
        <f t="shared" si="65"/>
        <v>3.4106646810483263</v>
      </c>
      <c r="V232" s="191">
        <f t="shared" si="65"/>
        <v>0.3163324169998003</v>
      </c>
      <c r="W232" s="191">
        <f t="shared" si="65"/>
        <v>15.598956891199778</v>
      </c>
      <c r="X232" s="191"/>
      <c r="Y232" s="191">
        <f>AVERAGE(Y3:Y11,Y85:Y93,Y120:Y126,Y128:Y131,Y156:Y162)</f>
        <v>1.0632960743583013</v>
      </c>
      <c r="Z232" s="191"/>
      <c r="AA232" s="191">
        <f t="shared" ref="AA232:AK232" si="66">AVERAGE(AA3:AA11,AA85:AA93,AA120:AA126,AA128:AA131,AA156:AA162)</f>
        <v>64.517241001008998</v>
      </c>
      <c r="AB232" s="191">
        <f t="shared" si="66"/>
        <v>0.25902985040717075</v>
      </c>
      <c r="AC232" s="191">
        <f t="shared" si="66"/>
        <v>1.6716429394323604</v>
      </c>
      <c r="AD232" s="191">
        <f t="shared" si="66"/>
        <v>0.1756806884891314</v>
      </c>
      <c r="AE232" s="191">
        <f t="shared" si="66"/>
        <v>16.623241725437644</v>
      </c>
      <c r="AF232" s="191">
        <f t="shared" si="66"/>
        <v>0.1758885913405541</v>
      </c>
      <c r="AG232" s="191">
        <f t="shared" si="66"/>
        <v>55.851771428571432</v>
      </c>
      <c r="AH232" s="191">
        <f t="shared" si="66"/>
        <v>33.58991537474116</v>
      </c>
      <c r="AI232" s="191">
        <f t="shared" si="66"/>
        <v>4.7525681146171173E-2</v>
      </c>
      <c r="AJ232" s="191">
        <f t="shared" si="66"/>
        <v>31.993537299767148</v>
      </c>
      <c r="AK232" s="191">
        <f t="shared" si="66"/>
        <v>-15.370295574329498</v>
      </c>
    </row>
    <row r="233" spans="2:38" s="180" customFormat="1" ht="19.5" customHeight="1">
      <c r="C233" s="203" t="s">
        <v>229</v>
      </c>
      <c r="D233" s="187" t="s">
        <v>46</v>
      </c>
      <c r="E233" s="178"/>
      <c r="F233" s="202"/>
      <c r="G233" s="184">
        <f t="shared" ref="G233:W233" si="67">STDEV(G3:G11,G85:G93,G120:G126,G128:G131,G156:G162)</f>
        <v>35.417838538236175</v>
      </c>
      <c r="H233" s="519">
        <f t="shared" si="67"/>
        <v>7.855367902552568E-2</v>
      </c>
      <c r="I233" s="184">
        <f t="shared" si="67"/>
        <v>2.4095572885168344</v>
      </c>
      <c r="J233" s="184">
        <f t="shared" si="67"/>
        <v>2.4095572885168348</v>
      </c>
      <c r="K233" s="184">
        <f t="shared" si="67"/>
        <v>0.73923428305526528</v>
      </c>
      <c r="L233" s="184">
        <f t="shared" si="67"/>
        <v>0.14116633075499138</v>
      </c>
      <c r="M233" s="184">
        <f t="shared" si="67"/>
        <v>1.9603645564102337</v>
      </c>
      <c r="N233" s="184">
        <f t="shared" si="67"/>
        <v>3.8329070995785859</v>
      </c>
      <c r="O233" s="184">
        <f t="shared" si="67"/>
        <v>0.16898172151214749</v>
      </c>
      <c r="P233" s="184">
        <f t="shared" si="67"/>
        <v>0.84689441228612383</v>
      </c>
      <c r="Q233" s="184">
        <f t="shared" si="67"/>
        <v>8.2491894917560427E-2</v>
      </c>
      <c r="R233" s="184">
        <f t="shared" si="67"/>
        <v>2.045519101838857</v>
      </c>
      <c r="S233" s="184">
        <f t="shared" si="67"/>
        <v>0.46391757091088204</v>
      </c>
      <c r="T233" s="184">
        <f t="shared" si="67"/>
        <v>0.13753132659174039</v>
      </c>
      <c r="U233" s="184">
        <f t="shared" si="67"/>
        <v>2.3800972185239551</v>
      </c>
      <c r="V233" s="184">
        <f t="shared" si="67"/>
        <v>0.23115838945004683</v>
      </c>
      <c r="W233" s="184">
        <f t="shared" si="67"/>
        <v>8.0097154085103188</v>
      </c>
      <c r="X233" s="184"/>
      <c r="Y233" s="184">
        <f>STDEV(Y3:Y11,Y85:Y93,Y120:Y126,Y128:Y131,Y156:Y162)</f>
        <v>0.21934509064531349</v>
      </c>
      <c r="Z233" s="184"/>
      <c r="AA233" s="184">
        <f t="shared" ref="AA233:AK233" si="68">STDEV(AA3:AA11,AA85:AA93,AA120:AA126,AA128:AA131,AA156:AA162)</f>
        <v>10.974533302196997</v>
      </c>
      <c r="AB233" s="184">
        <f t="shared" si="68"/>
        <v>0.20903051324702646</v>
      </c>
      <c r="AC233" s="184">
        <f t="shared" si="68"/>
        <v>1.7783319581972434</v>
      </c>
      <c r="AD233" s="184">
        <f t="shared" si="68"/>
        <v>0.15340574388462661</v>
      </c>
      <c r="AE233" s="184">
        <f t="shared" si="68"/>
        <v>4.7794840557590383</v>
      </c>
      <c r="AF233" s="184">
        <f t="shared" si="68"/>
        <v>9.6042692708957433E-2</v>
      </c>
      <c r="AG233" s="184">
        <f t="shared" si="68"/>
        <v>33.789828664577627</v>
      </c>
      <c r="AH233" s="184">
        <f t="shared" si="68"/>
        <v>0.32982302123740886</v>
      </c>
      <c r="AI233" s="184">
        <f t="shared" si="68"/>
        <v>7.501877423908529E-2</v>
      </c>
      <c r="AJ233" s="184">
        <f t="shared" si="68"/>
        <v>2.5374315020980052</v>
      </c>
      <c r="AK233" s="184">
        <f t="shared" si="68"/>
        <v>4.9778343413826818</v>
      </c>
    </row>
    <row r="234" spans="2:38" s="180" customFormat="1" ht="19.5" customHeight="1">
      <c r="D234" s="187" t="s">
        <v>47</v>
      </c>
      <c r="E234" s="178"/>
      <c r="F234" s="202"/>
      <c r="G234" s="184">
        <f t="shared" ref="G234:W234" si="69">MIN(G3:G11,G85:G93,G120:G126,G128:G131,G156:G162)</f>
        <v>37.973913043478255</v>
      </c>
      <c r="H234" s="519">
        <f t="shared" si="69"/>
        <v>0.436</v>
      </c>
      <c r="I234" s="184">
        <f t="shared" si="69"/>
        <v>297.06</v>
      </c>
      <c r="J234" s="184">
        <f t="shared" si="69"/>
        <v>23.9</v>
      </c>
      <c r="K234" s="184">
        <f t="shared" si="69"/>
        <v>0.10452389048229276</v>
      </c>
      <c r="L234" s="184">
        <f t="shared" si="69"/>
        <v>0</v>
      </c>
      <c r="M234" s="184">
        <f t="shared" si="69"/>
        <v>0.30482686378270885</v>
      </c>
      <c r="N234" s="184">
        <f t="shared" si="69"/>
        <v>1.9307123714551353</v>
      </c>
      <c r="O234" s="184">
        <f t="shared" si="69"/>
        <v>9.2122140680503714E-2</v>
      </c>
      <c r="P234" s="184">
        <f t="shared" si="69"/>
        <v>0.2483482638671147</v>
      </c>
      <c r="Q234" s="184">
        <f t="shared" si="69"/>
        <v>1.7962500462933614E-2</v>
      </c>
      <c r="R234" s="184">
        <f t="shared" si="69"/>
        <v>0.33868710162628662</v>
      </c>
      <c r="S234" s="184">
        <f t="shared" si="69"/>
        <v>0.10208872962885748</v>
      </c>
      <c r="T234" s="184">
        <f t="shared" si="69"/>
        <v>0</v>
      </c>
      <c r="U234" s="184">
        <f t="shared" si="69"/>
        <v>0.4665758094510159</v>
      </c>
      <c r="V234" s="184">
        <f t="shared" si="69"/>
        <v>6.5268723428102096E-2</v>
      </c>
      <c r="W234" s="184">
        <f t="shared" si="69"/>
        <v>4.0784058118355686</v>
      </c>
      <c r="X234" s="184"/>
      <c r="Y234" s="184">
        <f>MIN(Y3:Y11,Y85:Y93,Y120:Y126,Y128:Y131,Y156:Y162)</f>
        <v>0.73867142454904211</v>
      </c>
      <c r="Z234" s="184"/>
      <c r="AA234" s="184">
        <f t="shared" ref="AA234:AK234" si="70">MIN(AA3:AA11,AA85:AA93,AA120:AA126,AA128:AA131,AA156:AA162)</f>
        <v>24.377326931955583</v>
      </c>
      <c r="AB234" s="184">
        <f t="shared" si="70"/>
        <v>8.3026007566974237E-3</v>
      </c>
      <c r="AC234" s="184">
        <f t="shared" si="70"/>
        <v>-4.541466867816399</v>
      </c>
      <c r="AD234" s="184">
        <f t="shared" si="70"/>
        <v>2.7063443560911022E-2</v>
      </c>
      <c r="AE234" s="184">
        <f t="shared" si="70"/>
        <v>7.5847736405634585</v>
      </c>
      <c r="AF234" s="184">
        <f t="shared" si="70"/>
        <v>3.6920886773491611E-2</v>
      </c>
      <c r="AG234" s="184">
        <f t="shared" si="70"/>
        <v>3.0249999999999999</v>
      </c>
      <c r="AH234" s="184">
        <f t="shared" si="70"/>
        <v>32.988679243437147</v>
      </c>
      <c r="AI234" s="184">
        <f t="shared" si="70"/>
        <v>3.9640277944210273E-4</v>
      </c>
      <c r="AJ234" s="184">
        <f t="shared" si="70"/>
        <v>20.330480294787982</v>
      </c>
      <c r="AK234" s="184">
        <f t="shared" si="70"/>
        <v>-25.560806638001335</v>
      </c>
    </row>
    <row r="235" spans="2:38" s="180" customFormat="1" ht="19.5" customHeight="1">
      <c r="D235" s="179" t="s">
        <v>48</v>
      </c>
      <c r="E235" s="178"/>
      <c r="F235" s="202"/>
      <c r="G235" s="177">
        <f t="shared" ref="G235:W235" si="71">MAX(G3:G11,G85:G93,G120:G126,G128:G131,G156:G162)</f>
        <v>172.95833333333334</v>
      </c>
      <c r="H235" s="520">
        <f t="shared" si="71"/>
        <v>0.80099999999999993</v>
      </c>
      <c r="I235" s="177">
        <f t="shared" si="71"/>
        <v>306.64999999999998</v>
      </c>
      <c r="J235" s="177">
        <f t="shared" si="71"/>
        <v>33.489999999999952</v>
      </c>
      <c r="K235" s="177">
        <f t="shared" si="71"/>
        <v>3.2250925521053033</v>
      </c>
      <c r="L235" s="177">
        <f t="shared" si="71"/>
        <v>0.70579945635917807</v>
      </c>
      <c r="M235" s="177">
        <f t="shared" si="71"/>
        <v>7.7663811780189445</v>
      </c>
      <c r="N235" s="177">
        <f t="shared" si="71"/>
        <v>22.714721202152163</v>
      </c>
      <c r="O235" s="177">
        <f t="shared" si="71"/>
        <v>0.83004135923146438</v>
      </c>
      <c r="P235" s="177">
        <f t="shared" si="71"/>
        <v>3.1682642919620077</v>
      </c>
      <c r="Q235" s="177">
        <f t="shared" si="71"/>
        <v>0.36919869319674398</v>
      </c>
      <c r="R235" s="177">
        <f t="shared" si="71"/>
        <v>9.3532809562620454</v>
      </c>
      <c r="S235" s="177">
        <f t="shared" si="71"/>
        <v>2.4055828325207673</v>
      </c>
      <c r="T235" s="177">
        <f t="shared" si="71"/>
        <v>0.58381936256840661</v>
      </c>
      <c r="U235" s="177">
        <f t="shared" si="71"/>
        <v>10.976259441584212</v>
      </c>
      <c r="V235" s="177">
        <f t="shared" si="71"/>
        <v>1.1150252177245932</v>
      </c>
      <c r="W235" s="177">
        <f t="shared" si="71"/>
        <v>45.518069161881805</v>
      </c>
      <c r="X235" s="177"/>
      <c r="Y235" s="177">
        <f>MAX(Y3:Y11,Y85:Y93,Y120:Y126,Y128:Y131,Y156:Y162)</f>
        <v>1.5722154108491968</v>
      </c>
      <c r="Z235" s="177"/>
      <c r="AA235" s="177">
        <f t="shared" ref="AA235:AK235" si="72">MAX(AA3:AA11,AA85:AA93,AA120:AA126,AA128:AA131,AA156:AA162)</f>
        <v>77.11056432957588</v>
      </c>
      <c r="AB235" s="177">
        <f t="shared" si="72"/>
        <v>0.97952222627323693</v>
      </c>
      <c r="AC235" s="177">
        <f t="shared" si="72"/>
        <v>5.1947765387567815</v>
      </c>
      <c r="AD235" s="177">
        <f t="shared" si="72"/>
        <v>0.72906985415148873</v>
      </c>
      <c r="AE235" s="177">
        <f t="shared" si="72"/>
        <v>31.319909925341847</v>
      </c>
      <c r="AF235" s="177">
        <f t="shared" si="72"/>
        <v>0.39372403209094481</v>
      </c>
      <c r="AG235" s="177">
        <f t="shared" si="72"/>
        <v>131.30000000000001</v>
      </c>
      <c r="AH235" s="177">
        <f t="shared" si="72"/>
        <v>34.302658575997313</v>
      </c>
      <c r="AI235" s="177">
        <f t="shared" si="72"/>
        <v>0.39654311254372604</v>
      </c>
      <c r="AJ235" s="177">
        <f t="shared" si="72"/>
        <v>33.493982675058362</v>
      </c>
      <c r="AK235" s="177">
        <f t="shared" si="72"/>
        <v>-1.9451535346110305</v>
      </c>
    </row>
    <row r="236" spans="2:38" s="180" customFormat="1" ht="19.5" customHeight="1">
      <c r="F236" s="286"/>
      <c r="H236" s="194"/>
      <c r="J236" s="202"/>
      <c r="K236" s="185">
        <f t="shared" ref="K236:R236" si="73">SUM(K3:K11,K85:K93,K120:K126,K128:K131,K156:K162)/SUM($G$3:$G$11,$G$85:$G$93,$G$120:$G$126,$G$128:$G$131,$G$156:$G$162)</f>
        <v>1.0111564551288612E-2</v>
      </c>
      <c r="L236" s="185">
        <f t="shared" si="73"/>
        <v>7.3438682239368967E-4</v>
      </c>
      <c r="M236" s="185">
        <f t="shared" si="73"/>
        <v>2.6852687568509066E-2</v>
      </c>
      <c r="N236" s="185">
        <f t="shared" si="73"/>
        <v>8.7357253210170696E-2</v>
      </c>
      <c r="O236" s="185">
        <f t="shared" si="73"/>
        <v>3.1597658776042893E-3</v>
      </c>
      <c r="P236" s="185">
        <f t="shared" si="73"/>
        <v>1.6329233748315228E-2</v>
      </c>
      <c r="Q236" s="185">
        <f t="shared" si="73"/>
        <v>1.3475108139773745E-3</v>
      </c>
      <c r="R236" s="185">
        <f t="shared" si="73"/>
        <v>2.3995615523399998E-2</v>
      </c>
      <c r="S236" s="185">
        <f>SUM(S3:S11,S85:S93,S120:S126,S128:S131,S156:S162)/SUM($G$3:$G$11,$G$85:$G$93,$G$120:$G$126,$G$128:$G$131,$G$156:$G$162)</f>
        <v>6.5224294812802185E-3</v>
      </c>
      <c r="T236" s="186"/>
      <c r="U236" s="197"/>
      <c r="V236" s="196"/>
      <c r="W236" s="195">
        <f>SUM(K236:S236)</f>
        <v>0.17641044759693914</v>
      </c>
      <c r="X236" s="269"/>
    </row>
    <row r="237" spans="2:38" s="180" customFormat="1" ht="19.5" customHeight="1">
      <c r="C237" s="201" t="s">
        <v>240</v>
      </c>
      <c r="D237" s="192" t="s">
        <v>45</v>
      </c>
      <c r="E237" s="178"/>
      <c r="F237" s="202">
        <f>COUNT(G12:G32,G95:G100,G41:G46,G132:G143)</f>
        <v>44</v>
      </c>
      <c r="G237" s="191">
        <f t="shared" ref="G237:W237" si="74">AVERAGE(G12:G32,G95:G100,G41:G46,G132:G143)</f>
        <v>40.474172767717583</v>
      </c>
      <c r="H237" s="518">
        <f t="shared" si="74"/>
        <v>0.74294034090909067</v>
      </c>
      <c r="I237" s="191">
        <f t="shared" si="74"/>
        <v>302.17534110909094</v>
      </c>
      <c r="J237" s="191">
        <f t="shared" si="74"/>
        <v>29.015341109090876</v>
      </c>
      <c r="K237" s="191">
        <f t="shared" si="74"/>
        <v>0.40022252053217072</v>
      </c>
      <c r="L237" s="191">
        <f t="shared" si="74"/>
        <v>0.12246890687644142</v>
      </c>
      <c r="M237" s="191">
        <f t="shared" si="74"/>
        <v>0.74472649060308393</v>
      </c>
      <c r="N237" s="191">
        <f t="shared" si="74"/>
        <v>3.2958242849379613</v>
      </c>
      <c r="O237" s="191">
        <f t="shared" si="74"/>
        <v>0.17950169866076029</v>
      </c>
      <c r="P237" s="191">
        <f t="shared" si="74"/>
        <v>0.54693292393522031</v>
      </c>
      <c r="Q237" s="191">
        <f t="shared" si="74"/>
        <v>4.6423362239177049E-2</v>
      </c>
      <c r="R237" s="191">
        <f t="shared" si="74"/>
        <v>0.93789766249723883</v>
      </c>
      <c r="S237" s="191">
        <f t="shared" si="74"/>
        <v>0.20921286578544046</v>
      </c>
      <c r="T237" s="191">
        <f t="shared" si="74"/>
        <v>0.22203699953302589</v>
      </c>
      <c r="U237" s="191">
        <f t="shared" si="74"/>
        <v>2.5885650210096895</v>
      </c>
      <c r="V237" s="191">
        <f t="shared" si="74"/>
        <v>0.3194112641436242</v>
      </c>
      <c r="W237" s="191">
        <f t="shared" si="74"/>
        <v>6.4832107160674957</v>
      </c>
      <c r="X237" s="191"/>
      <c r="Y237" s="191">
        <f>AVERAGE(Y12:Y32,Y95:Y100,Y41:Y46,Y132:Y143)</f>
        <v>0.99886773236511328</v>
      </c>
      <c r="Z237" s="191"/>
      <c r="AA237" s="191">
        <f t="shared" ref="AA237:AK237" si="75">AVERAGE(AA12:AA32,AA95:AA100,AA41:AA46,AA132:AA143)</f>
        <v>40.336944466310285</v>
      </c>
      <c r="AB237" s="191">
        <f t="shared" si="75"/>
        <v>0.31909173578978317</v>
      </c>
      <c r="AC237" s="191">
        <f t="shared" si="75"/>
        <v>0.33042338481066147</v>
      </c>
      <c r="AD237" s="191">
        <f t="shared" si="75"/>
        <v>0.24918118345466675</v>
      </c>
      <c r="AE237" s="191">
        <f t="shared" si="75"/>
        <v>18.030327610285408</v>
      </c>
      <c r="AF237" s="191">
        <f t="shared" si="75"/>
        <v>0.15761758291580952</v>
      </c>
      <c r="AG237" s="191">
        <f t="shared" si="75"/>
        <v>33.306414634146336</v>
      </c>
      <c r="AH237" s="191">
        <f t="shared" si="75"/>
        <v>33.589788468984253</v>
      </c>
      <c r="AI237" s="191">
        <f t="shared" si="75"/>
        <v>2.4551626085375158E-2</v>
      </c>
      <c r="AJ237" s="191">
        <f t="shared" si="75"/>
        <v>32.768213468417606</v>
      </c>
      <c r="AK237" s="191">
        <f t="shared" si="75"/>
        <v>-14.737885858132197</v>
      </c>
    </row>
    <row r="238" spans="2:38" s="180" customFormat="1" ht="19.5" customHeight="1">
      <c r="C238" s="201" t="s">
        <v>232</v>
      </c>
      <c r="D238" s="187" t="s">
        <v>46</v>
      </c>
      <c r="E238" s="178"/>
      <c r="F238" s="202"/>
      <c r="G238" s="184">
        <f t="shared" ref="G238:W238" si="76">STDEV(G12:G32,G95:G100,G41:G46,G132:G143)</f>
        <v>19.589096752757648</v>
      </c>
      <c r="H238" s="519">
        <f t="shared" si="76"/>
        <v>0.10717902150899433</v>
      </c>
      <c r="I238" s="184">
        <f t="shared" si="76"/>
        <v>1.2598915019404544</v>
      </c>
      <c r="J238" s="184">
        <f t="shared" si="76"/>
        <v>1.2598915019404544</v>
      </c>
      <c r="K238" s="184">
        <f t="shared" si="76"/>
        <v>0.35302414525410458</v>
      </c>
      <c r="L238" s="184">
        <f t="shared" si="76"/>
        <v>0.1705706735234476</v>
      </c>
      <c r="M238" s="184">
        <f t="shared" si="76"/>
        <v>0.49081954645451353</v>
      </c>
      <c r="N238" s="184">
        <f t="shared" si="76"/>
        <v>2.9762081752834053</v>
      </c>
      <c r="O238" s="184">
        <f t="shared" si="76"/>
        <v>0.13260934124226667</v>
      </c>
      <c r="P238" s="184">
        <f t="shared" si="76"/>
        <v>0.56962208894855515</v>
      </c>
      <c r="Q238" s="184">
        <f t="shared" si="76"/>
        <v>3.4812046154996036E-2</v>
      </c>
      <c r="R238" s="184">
        <f t="shared" si="76"/>
        <v>0.77296799648945158</v>
      </c>
      <c r="S238" s="184">
        <f t="shared" si="76"/>
        <v>0.13452114838886547</v>
      </c>
      <c r="T238" s="184">
        <f t="shared" si="76"/>
        <v>0.34245590296796047</v>
      </c>
      <c r="U238" s="184">
        <f t="shared" si="76"/>
        <v>1.8671055311214393</v>
      </c>
      <c r="V238" s="184">
        <f t="shared" si="76"/>
        <v>0.23333505749102604</v>
      </c>
      <c r="W238" s="184">
        <f t="shared" si="76"/>
        <v>4.6273857670342204</v>
      </c>
      <c r="X238" s="184"/>
      <c r="Y238" s="184">
        <f>STDEV(Y12:Y32,Y95:Y100,Y41:Y46,Y132:Y143)</f>
        <v>0.27835322593969108</v>
      </c>
      <c r="Z238" s="184"/>
      <c r="AA238" s="184">
        <f t="shared" ref="AA238:AK238" si="77">STDEV(AA12:AA32,AA95:AA100,AA41:AA46,AA132:AA143)</f>
        <v>18.459327908133766</v>
      </c>
      <c r="AB238" s="184">
        <f t="shared" si="77"/>
        <v>0.19628210958829467</v>
      </c>
      <c r="AC238" s="184">
        <f t="shared" si="77"/>
        <v>3.7326308789404776</v>
      </c>
      <c r="AD238" s="184">
        <f t="shared" si="77"/>
        <v>0.17847704141382179</v>
      </c>
      <c r="AE238" s="184">
        <f t="shared" si="77"/>
        <v>5.4022070503471982</v>
      </c>
      <c r="AF238" s="184">
        <f t="shared" si="77"/>
        <v>8.8583350215181461E-2</v>
      </c>
      <c r="AG238" s="184">
        <f t="shared" si="77"/>
        <v>29.661954086822742</v>
      </c>
      <c r="AH238" s="184">
        <f t="shared" si="77"/>
        <v>0.17526636780822735</v>
      </c>
      <c r="AI238" s="184">
        <f t="shared" si="77"/>
        <v>5.4611919671465621E-2</v>
      </c>
      <c r="AJ238" s="184">
        <f t="shared" si="77"/>
        <v>1.8842597263879481</v>
      </c>
      <c r="AK238" s="184">
        <f t="shared" si="77"/>
        <v>5.7467671737340371</v>
      </c>
    </row>
    <row r="239" spans="2:38" s="180" customFormat="1" ht="19.5" customHeight="1">
      <c r="D239" s="187" t="s">
        <v>47</v>
      </c>
      <c r="E239" s="178"/>
      <c r="F239" s="202"/>
      <c r="G239" s="184">
        <f t="shared" ref="G239:W239" si="78">MIN(G12:G32,G95:G100,G41:G46,G132:G143)</f>
        <v>11.166666666666668</v>
      </c>
      <c r="H239" s="519">
        <f t="shared" si="78"/>
        <v>0.43</v>
      </c>
      <c r="I239" s="184">
        <f t="shared" si="78"/>
        <v>300.21557039999999</v>
      </c>
      <c r="J239" s="184">
        <f t="shared" si="78"/>
        <v>27.055570399999965</v>
      </c>
      <c r="K239" s="184">
        <f t="shared" si="78"/>
        <v>3.7139516237370801E-2</v>
      </c>
      <c r="L239" s="184">
        <f t="shared" si="78"/>
        <v>0</v>
      </c>
      <c r="M239" s="184">
        <f t="shared" si="78"/>
        <v>0.18241944912335684</v>
      </c>
      <c r="N239" s="184">
        <f t="shared" si="78"/>
        <v>0.30603489986430726</v>
      </c>
      <c r="O239" s="184">
        <f t="shared" si="78"/>
        <v>4.2443014776914083E-2</v>
      </c>
      <c r="P239" s="184">
        <f t="shared" si="78"/>
        <v>3.2618517476188894E-2</v>
      </c>
      <c r="Q239" s="184">
        <f t="shared" si="78"/>
        <v>8.4351175859876532E-3</v>
      </c>
      <c r="R239" s="184">
        <f t="shared" si="78"/>
        <v>0.10070790635647306</v>
      </c>
      <c r="S239" s="184">
        <f t="shared" si="78"/>
        <v>5.2697306753372843E-2</v>
      </c>
      <c r="T239" s="184">
        <f t="shared" si="78"/>
        <v>0</v>
      </c>
      <c r="U239" s="184">
        <f t="shared" si="78"/>
        <v>0.3844970758332516</v>
      </c>
      <c r="V239" s="184">
        <f t="shared" si="78"/>
        <v>7.2221608666072412E-2</v>
      </c>
      <c r="W239" s="184">
        <f t="shared" si="78"/>
        <v>1.3724394382877243</v>
      </c>
      <c r="X239" s="184"/>
      <c r="Y239" s="184">
        <f>MIN(Y12:Y32,Y95:Y100,Y41:Y46,Y132:Y143)</f>
        <v>0.44779952567278208</v>
      </c>
      <c r="Z239" s="184"/>
      <c r="AA239" s="184">
        <f t="shared" ref="AA239:AK239" si="79">MIN(AA12:AA32,AA95:AA100,AA41:AA46,AA132:AA143)</f>
        <v>-2.0964003523151962</v>
      </c>
      <c r="AB239" s="184">
        <f t="shared" si="79"/>
        <v>1.8111055630255214E-2</v>
      </c>
      <c r="AC239" s="184">
        <f t="shared" si="79"/>
        <v>-8.9457843642551058</v>
      </c>
      <c r="AD239" s="184">
        <f t="shared" si="79"/>
        <v>4.7314307683993577E-2</v>
      </c>
      <c r="AE239" s="184">
        <f t="shared" si="79"/>
        <v>3.9584366900392491</v>
      </c>
      <c r="AF239" s="184">
        <f t="shared" si="79"/>
        <v>2.1729031929507616E-2</v>
      </c>
      <c r="AG239" s="184">
        <f t="shared" si="79"/>
        <v>1.984</v>
      </c>
      <c r="AH239" s="184">
        <f t="shared" si="79"/>
        <v>33.068387943146554</v>
      </c>
      <c r="AI239" s="184">
        <f t="shared" si="79"/>
        <v>1.4821657683166173E-3</v>
      </c>
      <c r="AJ239" s="184">
        <f t="shared" si="79"/>
        <v>21.500166902338286</v>
      </c>
      <c r="AK239" s="184">
        <f t="shared" si="79"/>
        <v>-29.467853087938707</v>
      </c>
    </row>
    <row r="240" spans="2:38" s="180" customFormat="1" ht="19.5" customHeight="1">
      <c r="D240" s="179" t="s">
        <v>48</v>
      </c>
      <c r="E240" s="178"/>
      <c r="F240" s="202"/>
      <c r="G240" s="177">
        <f t="shared" ref="G240:W240" si="80">MAX(G12:G32,G95:G100,G41:G46,G132:G143)</f>
        <v>88.208333333333329</v>
      </c>
      <c r="H240" s="520">
        <f t="shared" si="80"/>
        <v>0.91200000000000003</v>
      </c>
      <c r="I240" s="177">
        <f t="shared" si="80"/>
        <v>306.06</v>
      </c>
      <c r="J240" s="177">
        <f t="shared" si="80"/>
        <v>32.9</v>
      </c>
      <c r="K240" s="177">
        <f t="shared" si="80"/>
        <v>1.564444988615294</v>
      </c>
      <c r="L240" s="177">
        <f t="shared" si="80"/>
        <v>0.71051224092263587</v>
      </c>
      <c r="M240" s="177">
        <f t="shared" si="80"/>
        <v>2.0969911326574922</v>
      </c>
      <c r="N240" s="177">
        <f t="shared" si="80"/>
        <v>14.65671005258814</v>
      </c>
      <c r="O240" s="177">
        <f t="shared" si="80"/>
        <v>0.71451155289712465</v>
      </c>
      <c r="P240" s="177">
        <f t="shared" si="80"/>
        <v>2.4810576226791956</v>
      </c>
      <c r="Q240" s="177">
        <f t="shared" si="80"/>
        <v>0.16255316131582809</v>
      </c>
      <c r="R240" s="177">
        <f t="shared" si="80"/>
        <v>3.723970839335041</v>
      </c>
      <c r="S240" s="177">
        <f t="shared" si="80"/>
        <v>0.70596677204061387</v>
      </c>
      <c r="T240" s="177">
        <f t="shared" si="80"/>
        <v>1.5584390242471335</v>
      </c>
      <c r="U240" s="177">
        <f t="shared" si="80"/>
        <v>6.59054441804847</v>
      </c>
      <c r="V240" s="177">
        <f t="shared" si="80"/>
        <v>1.1677175384798368</v>
      </c>
      <c r="W240" s="177">
        <f t="shared" si="80"/>
        <v>24.422300551058889</v>
      </c>
      <c r="X240" s="177"/>
      <c r="Y240" s="177">
        <f>MAX(Y12:Y32,Y95:Y100,Y41:Y46,Y132:Y143)</f>
        <v>2.0813826607908767</v>
      </c>
      <c r="Z240" s="177"/>
      <c r="AA240" s="177">
        <f t="shared" ref="AA240:AK240" si="81">MAX(AA12:AA32,AA95:AA100,AA41:AA46,AA132:AA143)</f>
        <v>75.387294249552369</v>
      </c>
      <c r="AB240" s="177">
        <f t="shared" si="81"/>
        <v>0.7779438623543421</v>
      </c>
      <c r="AC240" s="177">
        <f t="shared" si="81"/>
        <v>6.221659370882759</v>
      </c>
      <c r="AD240" s="177">
        <f t="shared" si="81"/>
        <v>0.75739493775505995</v>
      </c>
      <c r="AE240" s="177">
        <f t="shared" si="81"/>
        <v>34.350755891828108</v>
      </c>
      <c r="AF240" s="177">
        <f t="shared" si="81"/>
        <v>0.36153654354317666</v>
      </c>
      <c r="AG240" s="177">
        <f t="shared" si="81"/>
        <v>154.6</v>
      </c>
      <c r="AH240" s="177">
        <f t="shared" si="81"/>
        <v>33.85955156963513</v>
      </c>
      <c r="AI240" s="177">
        <f t="shared" si="81"/>
        <v>0.35453155294938954</v>
      </c>
      <c r="AJ240" s="177">
        <f t="shared" si="81"/>
        <v>33.589426437953968</v>
      </c>
      <c r="AK240" s="177">
        <f t="shared" si="81"/>
        <v>0.95638579972786175</v>
      </c>
    </row>
    <row r="241" spans="3:37" s="180" customFormat="1" ht="19.5" customHeight="1">
      <c r="F241" s="286"/>
      <c r="H241" s="194"/>
      <c r="K241" s="185">
        <f t="shared" ref="K241:S241" si="82">SUM(K12:K32,K95:K100,K41:K46,K132:K143)/SUM($G$12:$G$32,$G$95:$G$100,$G$41:$G$46,$G$132:$G$143)</f>
        <v>9.8883434339488308E-3</v>
      </c>
      <c r="L241" s="185">
        <f t="shared" si="82"/>
        <v>3.0258532417523128E-3</v>
      </c>
      <c r="M241" s="185">
        <f t="shared" si="82"/>
        <v>1.8400042290600733E-2</v>
      </c>
      <c r="N241" s="185">
        <f t="shared" si="82"/>
        <v>8.1430306280817391E-2</v>
      </c>
      <c r="O241" s="185">
        <f t="shared" si="82"/>
        <v>4.4349689292212495E-3</v>
      </c>
      <c r="P241" s="185">
        <f t="shared" si="82"/>
        <v>1.3513134093538708E-2</v>
      </c>
      <c r="Q241" s="185">
        <f t="shared" si="82"/>
        <v>1.1469873023866857E-3</v>
      </c>
      <c r="R241" s="185">
        <f t="shared" si="82"/>
        <v>2.3172744453107415E-2</v>
      </c>
      <c r="S241" s="185">
        <f t="shared" si="82"/>
        <v>5.1690461219829984E-3</v>
      </c>
      <c r="T241" s="186"/>
      <c r="U241" s="197"/>
      <c r="V241" s="196"/>
      <c r="W241" s="195">
        <f>SUM(K241:S241)</f>
        <v>0.16018142614735631</v>
      </c>
      <c r="X241" s="269"/>
      <c r="AI241" s="194"/>
    </row>
    <row r="242" spans="3:37" s="180" customFormat="1" ht="19.5" customHeight="1">
      <c r="C242" s="200" t="s">
        <v>240</v>
      </c>
      <c r="D242" s="192" t="s">
        <v>45</v>
      </c>
      <c r="E242" s="178"/>
      <c r="F242" s="202">
        <f>COUNT(G33:G36,G47:G53,G67:G73,G101:G108,G144)</f>
        <v>24</v>
      </c>
      <c r="G242" s="191">
        <f t="shared" ref="G242:W242" si="83">AVERAGE(G33:G36,G47:G53,G67:G73,G101:G108,G144)</f>
        <v>90.40387941919191</v>
      </c>
      <c r="H242" s="518">
        <f t="shared" si="83"/>
        <v>0.65344791666666668</v>
      </c>
      <c r="I242" s="191">
        <f t="shared" si="83"/>
        <v>300.1744221125</v>
      </c>
      <c r="J242" s="191">
        <f t="shared" si="83"/>
        <v>27.014422112499958</v>
      </c>
      <c r="K242" s="191">
        <f t="shared" si="83"/>
        <v>0.38678830214537685</v>
      </c>
      <c r="L242" s="191">
        <f t="shared" si="83"/>
        <v>7.0064010514961986E-2</v>
      </c>
      <c r="M242" s="191">
        <f t="shared" si="83"/>
        <v>1.491602767969163</v>
      </c>
      <c r="N242" s="191">
        <f t="shared" si="83"/>
        <v>4.3814034089823073</v>
      </c>
      <c r="O242" s="191">
        <f t="shared" si="83"/>
        <v>0.48872255248492991</v>
      </c>
      <c r="P242" s="191">
        <f t="shared" si="83"/>
        <v>1.1692897588090323</v>
      </c>
      <c r="Q242" s="191">
        <f t="shared" si="83"/>
        <v>4.1365383803449098E-2</v>
      </c>
      <c r="R242" s="191">
        <f t="shared" si="83"/>
        <v>1.0864964292220123</v>
      </c>
      <c r="S242" s="191">
        <f t="shared" si="83"/>
        <v>0.47231851554717874</v>
      </c>
      <c r="T242" s="191">
        <f t="shared" si="83"/>
        <v>8.1691999696297604E-2</v>
      </c>
      <c r="U242" s="191">
        <f t="shared" si="83"/>
        <v>1.9584046964667146</v>
      </c>
      <c r="V242" s="191">
        <f t="shared" si="83"/>
        <v>0.31915459082589109</v>
      </c>
      <c r="W242" s="191">
        <f t="shared" si="83"/>
        <v>9.5880511294784103</v>
      </c>
      <c r="X242" s="191"/>
      <c r="Y242" s="191">
        <f>AVERAGE(Y33:Y36,Y47:Y53,Y67:Y73,Y101:Y108,Y144)</f>
        <v>0.84266541655053417</v>
      </c>
      <c r="Z242" s="191"/>
      <c r="AA242" s="191">
        <f t="shared" ref="AA242:AK242" si="84">AVERAGE(AA33:AA36,AA47:AA53,AA67:AA73,AA101:AA108,AA144)</f>
        <v>59.203170562023026</v>
      </c>
      <c r="AB242" s="191">
        <f t="shared" si="84"/>
        <v>0.28038613441786148</v>
      </c>
      <c r="AC242" s="191">
        <f t="shared" si="84"/>
        <v>2.097684259600062</v>
      </c>
      <c r="AD242" s="191">
        <f t="shared" si="84"/>
        <v>0.23047723143979326</v>
      </c>
      <c r="AE242" s="191">
        <f t="shared" si="84"/>
        <v>14.035919025762567</v>
      </c>
      <c r="AF242" s="191">
        <f t="shared" si="84"/>
        <v>0.16404312908964794</v>
      </c>
      <c r="AG242" s="191">
        <f t="shared" si="84"/>
        <v>65.514291666666665</v>
      </c>
      <c r="AH242" s="191">
        <f t="shared" si="84"/>
        <v>33.868827674094618</v>
      </c>
      <c r="AI242" s="191">
        <f t="shared" si="84"/>
        <v>1.980747536806694E-2</v>
      </c>
      <c r="AJ242" s="191">
        <f t="shared" si="84"/>
        <v>33.198966485907661</v>
      </c>
      <c r="AK242" s="191">
        <f t="shared" si="84"/>
        <v>-19.128164389290756</v>
      </c>
    </row>
    <row r="243" spans="3:37" s="180" customFormat="1" ht="19.5" customHeight="1">
      <c r="C243" s="200" t="s">
        <v>230</v>
      </c>
      <c r="D243" s="187" t="s">
        <v>46</v>
      </c>
      <c r="E243" s="178"/>
      <c r="F243" s="202"/>
      <c r="G243" s="184">
        <f t="shared" ref="G243:W243" si="85">STDEV(G33:G36,G47:G53,G67:G73,G101:G108,G144)</f>
        <v>40.765714807092905</v>
      </c>
      <c r="H243" s="519">
        <f t="shared" si="85"/>
        <v>0.11154137415167915</v>
      </c>
      <c r="I243" s="184">
        <f t="shared" si="85"/>
        <v>2.6201129388718014</v>
      </c>
      <c r="J243" s="184">
        <f t="shared" si="85"/>
        <v>2.6201129388718014</v>
      </c>
      <c r="K243" s="184">
        <f t="shared" si="85"/>
        <v>0.31916595741241011</v>
      </c>
      <c r="L243" s="184">
        <f t="shared" si="85"/>
        <v>0.11235133766590912</v>
      </c>
      <c r="M243" s="184">
        <f t="shared" si="85"/>
        <v>2.0736980261235569</v>
      </c>
      <c r="N243" s="184">
        <f t="shared" si="85"/>
        <v>2.7821773409200166</v>
      </c>
      <c r="O243" s="184">
        <f t="shared" si="85"/>
        <v>0.82005879125652503</v>
      </c>
      <c r="P243" s="184">
        <f t="shared" si="85"/>
        <v>1.1973899710803884</v>
      </c>
      <c r="Q243" s="184">
        <f t="shared" si="85"/>
        <v>2.3642943905122924E-2</v>
      </c>
      <c r="R243" s="184">
        <f t="shared" si="85"/>
        <v>0.4715026301748641</v>
      </c>
      <c r="S243" s="184">
        <f t="shared" si="85"/>
        <v>0.48809662364615147</v>
      </c>
      <c r="T243" s="184">
        <f t="shared" si="85"/>
        <v>0.11982070106685193</v>
      </c>
      <c r="U243" s="184">
        <f t="shared" si="85"/>
        <v>1.6479473636930511</v>
      </c>
      <c r="V243" s="184">
        <f t="shared" si="85"/>
        <v>0.21885317039150184</v>
      </c>
      <c r="W243" s="184">
        <f t="shared" si="85"/>
        <v>6.7345035119039496</v>
      </c>
      <c r="X243" s="184"/>
      <c r="Y243" s="184">
        <f>STDEV(Y33:Y36,Y47:Y53,Y67:Y73,Y101:Y108,Y144)</f>
        <v>0.25859306777924684</v>
      </c>
      <c r="Z243" s="184"/>
      <c r="AA243" s="184">
        <f t="shared" ref="AA243:AK243" si="86">STDEV(AA33:AA36,AA47:AA53,AA67:AA73,AA101:AA108,AA144)</f>
        <v>9.5509460804540733</v>
      </c>
      <c r="AB243" s="184">
        <f t="shared" si="86"/>
        <v>0.23730542681902408</v>
      </c>
      <c r="AC243" s="184">
        <f t="shared" si="86"/>
        <v>2.4444268915438707</v>
      </c>
      <c r="AD243" s="184">
        <f t="shared" si="86"/>
        <v>0.17297734678526921</v>
      </c>
      <c r="AE243" s="184">
        <f t="shared" si="86"/>
        <v>5.5129197125674354</v>
      </c>
      <c r="AF243" s="184">
        <f t="shared" si="86"/>
        <v>0.11743873329295937</v>
      </c>
      <c r="AG243" s="184">
        <f t="shared" si="86"/>
        <v>73.105145363123412</v>
      </c>
      <c r="AH243" s="184">
        <f t="shared" si="86"/>
        <v>0.36772839603810042</v>
      </c>
      <c r="AI243" s="184">
        <f t="shared" si="86"/>
        <v>1.8451746244348505E-2</v>
      </c>
      <c r="AJ243" s="184">
        <f t="shared" si="86"/>
        <v>0.76267795685601414</v>
      </c>
      <c r="AK243" s="184">
        <f t="shared" si="86"/>
        <v>5.6066502675791234</v>
      </c>
    </row>
    <row r="244" spans="3:37" s="180" customFormat="1" ht="19.5" customHeight="1">
      <c r="D244" s="187" t="s">
        <v>47</v>
      </c>
      <c r="E244" s="178"/>
      <c r="F244" s="202"/>
      <c r="G244" s="184">
        <f t="shared" ref="G244:W244" si="87">MIN(G33:G36,G47:G53,G67:G73,G101:G108,G144)</f>
        <v>24.166666666666668</v>
      </c>
      <c r="H244" s="519">
        <f t="shared" si="87"/>
        <v>0.35</v>
      </c>
      <c r="I244" s="184">
        <f t="shared" si="87"/>
        <v>291</v>
      </c>
      <c r="J244" s="184">
        <f t="shared" si="87"/>
        <v>17.839999999999975</v>
      </c>
      <c r="K244" s="184">
        <f t="shared" si="87"/>
        <v>8.4234589882961383E-2</v>
      </c>
      <c r="L244" s="184">
        <f t="shared" si="87"/>
        <v>0</v>
      </c>
      <c r="M244" s="184">
        <f t="shared" si="87"/>
        <v>0.20631541020532757</v>
      </c>
      <c r="N244" s="184">
        <f t="shared" si="87"/>
        <v>0.72397996114476193</v>
      </c>
      <c r="O244" s="184">
        <f t="shared" si="87"/>
        <v>9.6828683317063374E-2</v>
      </c>
      <c r="P244" s="184">
        <f t="shared" si="87"/>
        <v>9.3181166351349792E-2</v>
      </c>
      <c r="Q244" s="184">
        <f t="shared" si="87"/>
        <v>1.3932077116614603E-2</v>
      </c>
      <c r="R244" s="184">
        <f t="shared" si="87"/>
        <v>0.25213375592883402</v>
      </c>
      <c r="S244" s="184">
        <f t="shared" si="87"/>
        <v>0.12928666280422044</v>
      </c>
      <c r="T244" s="184">
        <f t="shared" si="87"/>
        <v>0</v>
      </c>
      <c r="U244" s="184">
        <f t="shared" si="87"/>
        <v>8.9074443385553218E-2</v>
      </c>
      <c r="V244" s="184">
        <f t="shared" si="87"/>
        <v>4.2235650539558744E-2</v>
      </c>
      <c r="W244" s="184">
        <f t="shared" si="87"/>
        <v>2.8322253020909995</v>
      </c>
      <c r="X244" s="184"/>
      <c r="Y244" s="184">
        <f>MIN(Y33:Y36,Y47:Y53,Y67:Y73,Y101:Y108,Y144)</f>
        <v>0.23872624749034826</v>
      </c>
      <c r="Z244" s="184"/>
      <c r="AA244" s="184">
        <f t="shared" ref="AA244:AK244" si="88">MIN(AA33:AA36,AA47:AA53,AA67:AA73,AA101:AA108,AA144)</f>
        <v>35.680220267470197</v>
      </c>
      <c r="AB244" s="184">
        <f t="shared" si="88"/>
        <v>6.7815788147632403E-3</v>
      </c>
      <c r="AC244" s="184">
        <f t="shared" si="88"/>
        <v>-3.6793386014621703</v>
      </c>
      <c r="AD244" s="184">
        <f t="shared" si="88"/>
        <v>2.9501231511586429E-2</v>
      </c>
      <c r="AE244" s="184">
        <f t="shared" si="88"/>
        <v>3.5139789045258589</v>
      </c>
      <c r="AF244" s="184">
        <f t="shared" si="88"/>
        <v>1.0371010639709195E-2</v>
      </c>
      <c r="AG244" s="184">
        <f t="shared" si="88"/>
        <v>7.0529999999999999</v>
      </c>
      <c r="AH244" s="184">
        <f t="shared" si="88"/>
        <v>33.349846586609644</v>
      </c>
      <c r="AI244" s="184">
        <f t="shared" si="88"/>
        <v>9.1504967680680824E-3</v>
      </c>
      <c r="AJ244" s="184">
        <f t="shared" si="88"/>
        <v>30.352587519858236</v>
      </c>
      <c r="AK244" s="184">
        <f t="shared" si="88"/>
        <v>-29.26643984446898</v>
      </c>
    </row>
    <row r="245" spans="3:37" s="180" customFormat="1" ht="19.5" customHeight="1">
      <c r="D245" s="179" t="s">
        <v>48</v>
      </c>
      <c r="E245" s="178"/>
      <c r="F245" s="202"/>
      <c r="G245" s="177">
        <f t="shared" ref="G245:W245" si="89">MAX(G33:G36,G47:G53,G67:G73,G101:G108,G144)</f>
        <v>171.36399999999998</v>
      </c>
      <c r="H245" s="520">
        <f t="shared" si="89"/>
        <v>0.84</v>
      </c>
      <c r="I245" s="177">
        <f t="shared" si="89"/>
        <v>303.95</v>
      </c>
      <c r="J245" s="177">
        <f t="shared" si="89"/>
        <v>30.789999999999964</v>
      </c>
      <c r="K245" s="177">
        <f t="shared" si="89"/>
        <v>1.3156051909793893</v>
      </c>
      <c r="L245" s="177">
        <f t="shared" si="89"/>
        <v>0.44784323175918284</v>
      </c>
      <c r="M245" s="177">
        <f t="shared" si="89"/>
        <v>8.1835318076528054</v>
      </c>
      <c r="N245" s="177">
        <f t="shared" si="89"/>
        <v>10.339326313534905</v>
      </c>
      <c r="O245" s="177">
        <f t="shared" si="89"/>
        <v>3.5823520525766313</v>
      </c>
      <c r="P245" s="177">
        <f t="shared" si="89"/>
        <v>4.5064272391255971</v>
      </c>
      <c r="Q245" s="177">
        <f t="shared" si="89"/>
        <v>0.10683980727422988</v>
      </c>
      <c r="R245" s="177">
        <f t="shared" si="89"/>
        <v>2.4636156882397806</v>
      </c>
      <c r="S245" s="177">
        <f t="shared" si="89"/>
        <v>2.2675127659991587</v>
      </c>
      <c r="T245" s="177">
        <f t="shared" si="89"/>
        <v>0.39066687266150424</v>
      </c>
      <c r="U245" s="177">
        <f t="shared" si="89"/>
        <v>6.3839369610130365</v>
      </c>
      <c r="V245" s="177">
        <f t="shared" si="89"/>
        <v>0.9840785488292989</v>
      </c>
      <c r="W245" s="177">
        <f t="shared" si="89"/>
        <v>30.168255948049342</v>
      </c>
      <c r="X245" s="177"/>
      <c r="Y245" s="177">
        <f>MAX(Y33:Y36,Y47:Y53,Y67:Y73,Y101:Y108,Y144)</f>
        <v>1.3893415738058061</v>
      </c>
      <c r="Z245" s="177"/>
      <c r="AA245" s="177">
        <f t="shared" ref="AA245:AK245" si="90">MAX(AA33:AA36,AA47:AA53,AA67:AA73,AA101:AA108,AA144)</f>
        <v>74.153378951854492</v>
      </c>
      <c r="AB245" s="177">
        <f t="shared" si="90"/>
        <v>0.81260678036075262</v>
      </c>
      <c r="AC245" s="177">
        <f t="shared" si="90"/>
        <v>7.5858303700631096</v>
      </c>
      <c r="AD245" s="177">
        <f t="shared" si="90"/>
        <v>0.6090784905364599</v>
      </c>
      <c r="AE245" s="177">
        <f t="shared" si="90"/>
        <v>29.120973420389046</v>
      </c>
      <c r="AF245" s="177">
        <f t="shared" si="90"/>
        <v>0.49983132266085795</v>
      </c>
      <c r="AG245" s="177">
        <f t="shared" si="90"/>
        <v>313.10000000000002</v>
      </c>
      <c r="AH245" s="177">
        <f t="shared" si="90"/>
        <v>35.175273539518898</v>
      </c>
      <c r="AI245" s="177">
        <f t="shared" si="90"/>
        <v>9.4656354625192216E-2</v>
      </c>
      <c r="AJ245" s="177">
        <f t="shared" si="90"/>
        <v>34.275676326716521</v>
      </c>
      <c r="AK245" s="177">
        <f t="shared" si="90"/>
        <v>-4.5256423593969153</v>
      </c>
    </row>
    <row r="246" spans="3:37" s="180" customFormat="1" ht="19.5" customHeight="1">
      <c r="F246" s="286"/>
      <c r="H246" s="194"/>
      <c r="K246" s="185">
        <f t="shared" ref="K246:S246" si="91">SUM(K33:K36,K47:K53,K67:K73,K101:K108,K144)/SUM($G$33:$G$36,$G$47:$G$53,$G$67:$G$73,$G$101:$G$108,$G$144)</f>
        <v>4.2784480558835979E-3</v>
      </c>
      <c r="L246" s="185">
        <f t="shared" si="91"/>
        <v>7.7501110533192497E-4</v>
      </c>
      <c r="M246" s="185">
        <f t="shared" si="91"/>
        <v>1.6499322568368779E-2</v>
      </c>
      <c r="N246" s="185">
        <f t="shared" si="91"/>
        <v>4.8464772055480797E-2</v>
      </c>
      <c r="O246" s="185">
        <f t="shared" si="91"/>
        <v>5.4059909334065442E-3</v>
      </c>
      <c r="P246" s="185">
        <f t="shared" si="91"/>
        <v>1.2934066174164677E-2</v>
      </c>
      <c r="Q246" s="185">
        <f t="shared" si="91"/>
        <v>4.5756204345659537E-4</v>
      </c>
      <c r="R246" s="185">
        <f t="shared" si="91"/>
        <v>1.2018250059646877E-2</v>
      </c>
      <c r="S246" s="185">
        <f t="shared" si="91"/>
        <v>5.2245381346644939E-3</v>
      </c>
      <c r="T246" s="186"/>
      <c r="U246" s="197"/>
      <c r="V246" s="196"/>
      <c r="W246" s="195">
        <f>SUM(K246:S246)</f>
        <v>0.10605796113040429</v>
      </c>
      <c r="X246" s="269"/>
      <c r="AI246" s="194"/>
    </row>
    <row r="247" spans="3:37" s="180" customFormat="1" ht="19.5" customHeight="1">
      <c r="C247" s="282" t="s">
        <v>240</v>
      </c>
      <c r="D247" s="192" t="s">
        <v>45</v>
      </c>
      <c r="E247" s="178"/>
      <c r="F247" s="202">
        <f>COUNT(G38:G39,G54:G63,G74:G84,G109:G119,G146:G155)</f>
        <v>43</v>
      </c>
      <c r="G247" s="191">
        <f t="shared" ref="G247:W247" si="92">AVERAGE(G38:G39,G54:G63,G74:G84,G109:G119,G146:G155)</f>
        <v>187.12418664281455</v>
      </c>
      <c r="H247" s="518">
        <f t="shared" si="92"/>
        <v>0.6416279069767441</v>
      </c>
      <c r="I247" s="191">
        <f t="shared" si="92"/>
        <v>293.47441860465113</v>
      </c>
      <c r="J247" s="191">
        <f t="shared" si="92"/>
        <v>20.314418604651134</v>
      </c>
      <c r="K247" s="191">
        <f t="shared" si="92"/>
        <v>0.92801643499939213</v>
      </c>
      <c r="L247" s="191">
        <f t="shared" si="92"/>
        <v>4.5683788189923517E-2</v>
      </c>
      <c r="M247" s="191">
        <f t="shared" si="92"/>
        <v>4.743466167322425</v>
      </c>
      <c r="N247" s="191">
        <f t="shared" si="92"/>
        <v>9.6440442501271608</v>
      </c>
      <c r="O247" s="191">
        <f t="shared" si="92"/>
        <v>0.28604528484299174</v>
      </c>
      <c r="P247" s="191">
        <f t="shared" si="92"/>
        <v>2.6918400931048816</v>
      </c>
      <c r="Q247" s="191">
        <f t="shared" si="92"/>
        <v>0.11359729816330941</v>
      </c>
      <c r="R247" s="191">
        <f t="shared" si="92"/>
        <v>2.0587477274185026</v>
      </c>
      <c r="S247" s="191">
        <f t="shared" si="92"/>
        <v>0.86481475143958952</v>
      </c>
      <c r="T247" s="191">
        <f t="shared" si="92"/>
        <v>2.0836788930763003E-2</v>
      </c>
      <c r="U247" s="191">
        <f t="shared" si="92"/>
        <v>3.5530232004238171</v>
      </c>
      <c r="V247" s="191">
        <f t="shared" si="92"/>
        <v>0.50956381486457547</v>
      </c>
      <c r="W247" s="191">
        <f t="shared" si="92"/>
        <v>21.376255795608177</v>
      </c>
      <c r="X247" s="191"/>
      <c r="Y247" s="191">
        <f>AVERAGE(Y38:Y39,Y54:Y63,Y74:Y84,Y109:Y119,Y146:Y155)</f>
        <v>1.0405229855056544</v>
      </c>
      <c r="Z247" s="191"/>
      <c r="AA247" s="191">
        <f t="shared" ref="AA247:AK247" si="93">AVERAGE(AA38:AA39,AA54:AA63,AA74:AA84,AA109:AA119,AA146:AA155)</f>
        <v>69.240289379223668</v>
      </c>
      <c r="AB247" s="191">
        <f t="shared" si="93"/>
        <v>0.29473263973638575</v>
      </c>
      <c r="AC247" s="191">
        <f t="shared" si="93"/>
        <v>1.5204069172631032</v>
      </c>
      <c r="AD247" s="191">
        <f t="shared" si="93"/>
        <v>0.17959472561338563</v>
      </c>
      <c r="AE247" s="191">
        <f t="shared" si="93"/>
        <v>13.763164818467711</v>
      </c>
      <c r="AF247" s="191">
        <f t="shared" si="93"/>
        <v>0.20575333952323499</v>
      </c>
      <c r="AG247" s="191">
        <f t="shared" si="93"/>
        <v>73.930232558139508</v>
      </c>
      <c r="AH247" s="191">
        <f t="shared" si="93"/>
        <v>34.795173316199183</v>
      </c>
      <c r="AI247" s="191">
        <f t="shared" si="93"/>
        <v>9.4184914403997191E-2</v>
      </c>
      <c r="AJ247" s="191">
        <f t="shared" si="93"/>
        <v>31.516417257352543</v>
      </c>
      <c r="AK247" s="191">
        <f t="shared" si="93"/>
        <v>-17.753252438884818</v>
      </c>
    </row>
    <row r="248" spans="3:37" s="180" customFormat="1" ht="19.5" customHeight="1">
      <c r="C248" s="282" t="s">
        <v>231</v>
      </c>
      <c r="D248" s="187" t="s">
        <v>46</v>
      </c>
      <c r="E248" s="178"/>
      <c r="F248" s="202"/>
      <c r="G248" s="184">
        <f t="shared" ref="G248:W248" si="94">STDEV(G38:G39,G54:G63,G74:G84,G109:G119,G146:G155)</f>
        <v>61.311373961523735</v>
      </c>
      <c r="H248" s="519">
        <f t="shared" si="94"/>
        <v>0.12425339379399086</v>
      </c>
      <c r="I248" s="184">
        <f t="shared" si="94"/>
        <v>2.7852539444157842</v>
      </c>
      <c r="J248" s="184">
        <f t="shared" si="94"/>
        <v>2.7852539444157713</v>
      </c>
      <c r="K248" s="184">
        <f t="shared" si="94"/>
        <v>0.84311928137471015</v>
      </c>
      <c r="L248" s="184">
        <f t="shared" si="94"/>
        <v>6.3680808534806108E-2</v>
      </c>
      <c r="M248" s="184">
        <f t="shared" si="94"/>
        <v>3.7867507300303531</v>
      </c>
      <c r="N248" s="184">
        <f t="shared" si="94"/>
        <v>7.8914580621550048</v>
      </c>
      <c r="O248" s="184">
        <f t="shared" si="94"/>
        <v>0.24289017234190383</v>
      </c>
      <c r="P248" s="184">
        <f t="shared" si="94"/>
        <v>1.8615882410074946</v>
      </c>
      <c r="Q248" s="184">
        <f t="shared" si="94"/>
        <v>0.10328715500818371</v>
      </c>
      <c r="R248" s="184">
        <f t="shared" si="94"/>
        <v>2.0458518065594768</v>
      </c>
      <c r="S248" s="184">
        <f t="shared" si="94"/>
        <v>0.7520966629954714</v>
      </c>
      <c r="T248" s="184">
        <f t="shared" si="94"/>
        <v>3.8142740430209605E-2</v>
      </c>
      <c r="U248" s="184">
        <f t="shared" si="94"/>
        <v>2.4915101929013228</v>
      </c>
      <c r="V248" s="184">
        <f t="shared" si="94"/>
        <v>0.28801883072448958</v>
      </c>
      <c r="W248" s="184">
        <f t="shared" si="94"/>
        <v>15.130753700805991</v>
      </c>
      <c r="X248" s="184"/>
      <c r="Y248" s="184">
        <f>STDEV(Y38:Y39,Y54:Y63,Y74:Y84,Y109:Y119,Y146:Y155)</f>
        <v>0.27861107675628255</v>
      </c>
      <c r="Z248" s="184"/>
      <c r="AA248" s="184">
        <f t="shared" ref="AA248:AK248" si="95">STDEV(AA38:AA39,AA54:AA63,AA74:AA84,AA109:AA119,AA146:AA155)</f>
        <v>5.3037625425556083</v>
      </c>
      <c r="AB248" s="184">
        <f t="shared" si="95"/>
        <v>0.20972059420184364</v>
      </c>
      <c r="AC248" s="184">
        <f t="shared" si="95"/>
        <v>1.847734612022413</v>
      </c>
      <c r="AD248" s="184">
        <f t="shared" si="95"/>
        <v>0.10588844547821505</v>
      </c>
      <c r="AE248" s="184">
        <f t="shared" si="95"/>
        <v>5.0183178552576972</v>
      </c>
      <c r="AF248" s="184">
        <f t="shared" si="95"/>
        <v>0.13217775018928699</v>
      </c>
      <c r="AG248" s="184">
        <f t="shared" si="95"/>
        <v>94.42116009712808</v>
      </c>
      <c r="AH248" s="184">
        <f t="shared" si="95"/>
        <v>0.43503340158923448</v>
      </c>
      <c r="AI248" s="184">
        <f t="shared" si="95"/>
        <v>0.10572148857824254</v>
      </c>
      <c r="AJ248" s="184">
        <f t="shared" si="95"/>
        <v>3.6909922915791538</v>
      </c>
      <c r="AK248" s="184">
        <f t="shared" si="95"/>
        <v>5.8616487263649724</v>
      </c>
    </row>
    <row r="249" spans="3:37" s="180" customFormat="1" ht="19.5" customHeight="1">
      <c r="D249" s="187" t="s">
        <v>47</v>
      </c>
      <c r="E249" s="178"/>
      <c r="F249" s="202"/>
      <c r="G249" s="184">
        <f t="shared" ref="G249:W249" si="96">MIN(G38:G39,G54:G63,G74:G84,G109:G119,G146:G155)</f>
        <v>65.208333333333329</v>
      </c>
      <c r="H249" s="519">
        <f t="shared" si="96"/>
        <v>0.34</v>
      </c>
      <c r="I249" s="184">
        <f t="shared" si="96"/>
        <v>288</v>
      </c>
      <c r="J249" s="184">
        <f t="shared" si="96"/>
        <v>14.839999999999975</v>
      </c>
      <c r="K249" s="184">
        <f t="shared" si="96"/>
        <v>7.9805596608573795E-2</v>
      </c>
      <c r="L249" s="184">
        <f t="shared" si="96"/>
        <v>0</v>
      </c>
      <c r="M249" s="184">
        <f t="shared" si="96"/>
        <v>0.22681534122259381</v>
      </c>
      <c r="N249" s="184">
        <f t="shared" si="96"/>
        <v>0.570099201023059</v>
      </c>
      <c r="O249" s="184">
        <f t="shared" si="96"/>
        <v>3.3684360965799194E-2</v>
      </c>
      <c r="P249" s="184">
        <f t="shared" si="96"/>
        <v>0.14417409675018131</v>
      </c>
      <c r="Q249" s="184">
        <f t="shared" si="96"/>
        <v>3.8119775902045608E-3</v>
      </c>
      <c r="R249" s="184">
        <f t="shared" si="96"/>
        <v>8.8694552451961492E-2</v>
      </c>
      <c r="S249" s="184">
        <f t="shared" si="96"/>
        <v>3.5856517156245819E-2</v>
      </c>
      <c r="T249" s="184">
        <f t="shared" si="96"/>
        <v>0</v>
      </c>
      <c r="U249" s="184">
        <f t="shared" si="96"/>
        <v>0.41376212627062958</v>
      </c>
      <c r="V249" s="184">
        <f t="shared" si="96"/>
        <v>0.10130184794919485</v>
      </c>
      <c r="W249" s="184">
        <f t="shared" si="96"/>
        <v>1.7431849581337622</v>
      </c>
      <c r="X249" s="184"/>
      <c r="Y249" s="184">
        <f>MIN(Y38:Y39,Y54:Y63,Y74:Y84,Y109:Y119,Y146:Y155)</f>
        <v>0.60834288121772351</v>
      </c>
      <c r="Z249" s="184"/>
      <c r="AA249" s="184">
        <f t="shared" ref="AA249:AK249" si="97">MIN(AA38:AA39,AA54:AA63,AA74:AA84,AA109:AA119,AA146:AA155)</f>
        <v>57.037522978917572</v>
      </c>
      <c r="AB249" s="184">
        <f t="shared" si="97"/>
        <v>7.6944324737799486E-3</v>
      </c>
      <c r="AC249" s="184">
        <f t="shared" si="97"/>
        <v>-2.8694603612065457</v>
      </c>
      <c r="AD249" s="184">
        <f t="shared" si="97"/>
        <v>3.9363634679552242E-2</v>
      </c>
      <c r="AE249" s="184">
        <f t="shared" si="97"/>
        <v>0.41832805319441224</v>
      </c>
      <c r="AF249" s="184">
        <f t="shared" si="97"/>
        <v>3.795626837325515E-2</v>
      </c>
      <c r="AG249" s="184">
        <f t="shared" si="97"/>
        <v>3.0259999999999998</v>
      </c>
      <c r="AH249" s="184">
        <f t="shared" si="97"/>
        <v>33.751862458471763</v>
      </c>
      <c r="AI249" s="184">
        <f t="shared" si="97"/>
        <v>6.4670101156152114E-3</v>
      </c>
      <c r="AJ249" s="184">
        <f t="shared" si="97"/>
        <v>22.103830127482176</v>
      </c>
      <c r="AK249" s="184">
        <f t="shared" si="97"/>
        <v>-33.735499059449396</v>
      </c>
    </row>
    <row r="250" spans="3:37" s="180" customFormat="1" ht="19.5" customHeight="1">
      <c r="D250" s="179" t="s">
        <v>48</v>
      </c>
      <c r="E250" s="178"/>
      <c r="F250" s="178"/>
      <c r="G250" s="177">
        <f t="shared" ref="G250:W250" si="98">MAX(G38:G39,G54:G63,G74:G84,G109:G119,G146:G155)</f>
        <v>326.25599999999997</v>
      </c>
      <c r="H250" s="520">
        <f t="shared" si="98"/>
        <v>0.87</v>
      </c>
      <c r="I250" s="177">
        <f t="shared" si="98"/>
        <v>299.75</v>
      </c>
      <c r="J250" s="177">
        <f t="shared" si="98"/>
        <v>26.589999999999975</v>
      </c>
      <c r="K250" s="177">
        <f t="shared" si="98"/>
        <v>3.2117538469906846</v>
      </c>
      <c r="L250" s="177">
        <f t="shared" si="98"/>
        <v>0.22037919242446138</v>
      </c>
      <c r="M250" s="177">
        <f t="shared" si="98"/>
        <v>16.118872737377526</v>
      </c>
      <c r="N250" s="177">
        <f t="shared" si="98"/>
        <v>46.148283683906705</v>
      </c>
      <c r="O250" s="177">
        <f t="shared" si="98"/>
        <v>1.2393293233990701</v>
      </c>
      <c r="P250" s="177">
        <f t="shared" si="98"/>
        <v>8.5055069475988798</v>
      </c>
      <c r="Q250" s="177">
        <f t="shared" si="98"/>
        <v>0.54332211531117702</v>
      </c>
      <c r="R250" s="177">
        <f t="shared" si="98"/>
        <v>11.562099383929253</v>
      </c>
      <c r="S250" s="177">
        <f t="shared" si="98"/>
        <v>4.2053042647081664</v>
      </c>
      <c r="T250" s="177">
        <f t="shared" si="98"/>
        <v>0.21366838743145344</v>
      </c>
      <c r="U250" s="177">
        <f t="shared" si="98"/>
        <v>10.537883096044094</v>
      </c>
      <c r="V250" s="177">
        <f t="shared" si="98"/>
        <v>1.3557120041881339</v>
      </c>
      <c r="W250" s="177">
        <f t="shared" si="98"/>
        <v>74.682248821925327</v>
      </c>
      <c r="X250" s="177"/>
      <c r="Y250" s="177">
        <f>MAX(Y38:Y39,Y54:Y63,Y74:Y84,Y109:Y119,Y146:Y155)</f>
        <v>1.9454984962411486</v>
      </c>
      <c r="Z250" s="177"/>
      <c r="AA250" s="177">
        <f t="shared" ref="AA250:AK250" si="99">MAX(AA38:AA39,AA54:AA63,AA74:AA84,AA109:AA119,AA146:AA155)</f>
        <v>78.73780833251918</v>
      </c>
      <c r="AB250" s="177">
        <f t="shared" si="99"/>
        <v>0.78784214177132872</v>
      </c>
      <c r="AC250" s="177">
        <f t="shared" si="99"/>
        <v>6.7673579648084852</v>
      </c>
      <c r="AD250" s="177">
        <f t="shared" si="99"/>
        <v>0.45112372441009235</v>
      </c>
      <c r="AE250" s="177">
        <f t="shared" si="99"/>
        <v>25.097079080951161</v>
      </c>
      <c r="AF250" s="177">
        <f t="shared" si="99"/>
        <v>0.63495228174525553</v>
      </c>
      <c r="AG250" s="177">
        <f t="shared" si="99"/>
        <v>453.4</v>
      </c>
      <c r="AH250" s="177">
        <f t="shared" si="99"/>
        <v>35.62157222222222</v>
      </c>
      <c r="AI250" s="177">
        <f t="shared" si="99"/>
        <v>0.37515610764132173</v>
      </c>
      <c r="AJ250" s="177">
        <f t="shared" si="99"/>
        <v>35.276317008787466</v>
      </c>
      <c r="AK250" s="177">
        <f t="shared" si="99"/>
        <v>-6.4750716147841558</v>
      </c>
    </row>
    <row r="251" spans="3:37" s="180" customFormat="1" ht="19.5" customHeight="1">
      <c r="D251" s="178"/>
      <c r="E251" s="178"/>
      <c r="F251" s="183">
        <f>SUM(F231:F247)</f>
        <v>146</v>
      </c>
      <c r="G251" s="185"/>
      <c r="H251" s="185"/>
      <c r="I251" s="185"/>
      <c r="J251" s="202"/>
      <c r="K251" s="185">
        <f t="shared" ref="K251:S251" si="100">SUM(K38:K39,K54:K63,K74:K84,K109:K119,K146:K155)/SUM($G$38:$G$39,$G$54:$G$63,$G$74:$G$84,$G$109:$G$119,$G$146:$G$155)</f>
        <v>4.9593612223459054E-3</v>
      </c>
      <c r="L251" s="185">
        <f t="shared" si="100"/>
        <v>2.4413620178948545E-4</v>
      </c>
      <c r="M251" s="185">
        <f t="shared" si="100"/>
        <v>2.5349294778108104E-2</v>
      </c>
      <c r="N251" s="185">
        <f t="shared" si="100"/>
        <v>5.153820264045212E-2</v>
      </c>
      <c r="O251" s="185">
        <f t="shared" si="100"/>
        <v>1.5286387611078802E-3</v>
      </c>
      <c r="P251" s="185">
        <f t="shared" si="100"/>
        <v>1.4385313525734149E-2</v>
      </c>
      <c r="Q251" s="185">
        <f t="shared" si="100"/>
        <v>6.0706902833542104E-4</v>
      </c>
      <c r="R251" s="185">
        <f t="shared" si="100"/>
        <v>1.1002039684737661E-2</v>
      </c>
      <c r="S251" s="185">
        <f t="shared" si="100"/>
        <v>4.6216086063228211E-3</v>
      </c>
      <c r="T251" s="186"/>
      <c r="U251" s="185"/>
      <c r="V251" s="185"/>
      <c r="W251" s="195">
        <f>SUM(K251:S251)</f>
        <v>0.11423566444893354</v>
      </c>
      <c r="X251" s="195"/>
      <c r="Y251" s="183"/>
      <c r="Z251" s="183"/>
      <c r="AA251" s="199"/>
      <c r="AB251" s="183"/>
      <c r="AC251" s="199"/>
      <c r="AD251" s="183"/>
      <c r="AE251" s="183"/>
      <c r="AF251" s="183"/>
      <c r="AG251" s="183"/>
      <c r="AH251" s="183"/>
      <c r="AI251" s="183"/>
      <c r="AJ251" s="183"/>
    </row>
    <row r="252" spans="3:37" s="180" customFormat="1" ht="19.5" customHeight="1">
      <c r="E252" s="278"/>
      <c r="J252" s="202"/>
      <c r="T252" s="193"/>
      <c r="AA252" s="221" t="s">
        <v>52</v>
      </c>
      <c r="AB252" s="211"/>
      <c r="AC252" s="211"/>
      <c r="AD252" s="211"/>
      <c r="AE252" s="258" t="s">
        <v>40</v>
      </c>
      <c r="AF252" s="240"/>
      <c r="AG252" s="222" t="s">
        <v>82</v>
      </c>
      <c r="AH252" s="238"/>
      <c r="AI252" s="239"/>
      <c r="AJ252" s="238"/>
      <c r="AK252" s="205"/>
    </row>
    <row r="253" spans="3:37" s="180" customFormat="1" ht="19.5" customHeight="1">
      <c r="E253" s="174"/>
      <c r="F253" s="174"/>
      <c r="G253" s="268" t="s">
        <v>83</v>
      </c>
      <c r="H253" s="235" t="s">
        <v>84</v>
      </c>
      <c r="I253" s="257" t="s">
        <v>85</v>
      </c>
      <c r="J253" s="235" t="s">
        <v>86</v>
      </c>
      <c r="K253" s="221" t="s">
        <v>32</v>
      </c>
      <c r="L253" s="220" t="s">
        <v>33</v>
      </c>
      <c r="M253" s="219" t="s">
        <v>87</v>
      </c>
      <c r="N253" s="218" t="s">
        <v>88</v>
      </c>
      <c r="O253" s="217" t="s">
        <v>39</v>
      </c>
      <c r="P253" s="217" t="s">
        <v>40</v>
      </c>
      <c r="Q253" s="217" t="s">
        <v>41</v>
      </c>
      <c r="R253" s="217" t="s">
        <v>42</v>
      </c>
      <c r="S253" s="216" t="s">
        <v>43</v>
      </c>
      <c r="T253" s="214" t="s">
        <v>37</v>
      </c>
      <c r="U253" s="214" t="s">
        <v>89</v>
      </c>
      <c r="V253" s="214" t="s">
        <v>90</v>
      </c>
      <c r="W253" s="214" t="s">
        <v>91</v>
      </c>
      <c r="X253" s="214" t="s">
        <v>92</v>
      </c>
      <c r="Y253" s="213" t="s">
        <v>44</v>
      </c>
      <c r="Z253" s="174"/>
      <c r="AA253" s="277" t="s">
        <v>55</v>
      </c>
      <c r="AB253" s="276"/>
      <c r="AC253" s="277" t="s">
        <v>56</v>
      </c>
      <c r="AD253" s="276"/>
      <c r="AE253" s="275" t="s">
        <v>56</v>
      </c>
      <c r="AF253" s="274" t="s">
        <v>46</v>
      </c>
      <c r="AG253" s="273" t="s">
        <v>93</v>
      </c>
      <c r="AH253" s="271" t="s">
        <v>94</v>
      </c>
      <c r="AI253" s="272" t="s">
        <v>95</v>
      </c>
      <c r="AJ253" s="271" t="s">
        <v>96</v>
      </c>
      <c r="AK253" s="270" t="s">
        <v>97</v>
      </c>
    </row>
    <row r="254" spans="3:37" s="180" customFormat="1" ht="19.5" customHeight="1">
      <c r="C254" s="180">
        <v>2019</v>
      </c>
      <c r="D254" s="192" t="s">
        <v>45</v>
      </c>
      <c r="E254" s="178"/>
      <c r="F254" s="178"/>
      <c r="G254" s="191">
        <f t="shared" ref="G254:Y254" si="101">AVERAGE(G3:G38)</f>
        <v>53.461775185732151</v>
      </c>
      <c r="H254" s="521">
        <f t="shared" si="101"/>
        <v>0.75538602941176503</v>
      </c>
      <c r="I254" s="191">
        <f t="shared" si="101"/>
        <v>300.99827822352944</v>
      </c>
      <c r="J254" s="191">
        <f t="shared" si="101"/>
        <v>27.838278223529382</v>
      </c>
      <c r="K254" s="191">
        <f t="shared" si="101"/>
        <v>0.55761400814112694</v>
      </c>
      <c r="L254" s="191">
        <f t="shared" si="101"/>
        <v>0.2076221352277694</v>
      </c>
      <c r="M254" s="191">
        <f t="shared" si="101"/>
        <v>1.0701481787709302</v>
      </c>
      <c r="N254" s="191">
        <f t="shared" si="101"/>
        <v>4.6373290220599843</v>
      </c>
      <c r="O254" s="191">
        <f t="shared" si="101"/>
        <v>0.20203822125355486</v>
      </c>
      <c r="P254" s="191">
        <f t="shared" si="101"/>
        <v>0.59525833109799864</v>
      </c>
      <c r="Q254" s="191">
        <f t="shared" si="101"/>
        <v>7.4187603841542937E-2</v>
      </c>
      <c r="R254" s="191">
        <f t="shared" si="101"/>
        <v>1.8345695047053496</v>
      </c>
      <c r="S254" s="191">
        <f t="shared" si="101"/>
        <v>0.26952349558975164</v>
      </c>
      <c r="T254" s="191">
        <f t="shared" si="101"/>
        <v>0.28938771862109869</v>
      </c>
      <c r="U254" s="191">
        <f t="shared" si="101"/>
        <v>3.0489410014361238</v>
      </c>
      <c r="V254" s="191">
        <f t="shared" si="101"/>
        <v>0.26880219462602462</v>
      </c>
      <c r="W254" s="191">
        <f t="shared" si="101"/>
        <v>9.4482905006880085</v>
      </c>
      <c r="X254" s="521">
        <f t="shared" si="101"/>
        <v>0.21925563323750183</v>
      </c>
      <c r="Y254" s="191">
        <f t="shared" si="101"/>
        <v>0.96036645720658864</v>
      </c>
      <c r="Z254" s="191"/>
      <c r="AA254" s="191">
        <f t="shared" ref="AA254:AK254" si="102">AVERAGE(AA3:AA38)</f>
        <v>43.126128416509879</v>
      </c>
      <c r="AB254" s="191">
        <f t="shared" si="102"/>
        <v>0.29742094252661067</v>
      </c>
      <c r="AC254" s="191">
        <f t="shared" si="102"/>
        <v>-0.57810308635748608</v>
      </c>
      <c r="AD254" s="191">
        <f t="shared" si="102"/>
        <v>0.25789543282958205</v>
      </c>
      <c r="AE254" s="191">
        <f t="shared" si="102"/>
        <v>20.619319391075585</v>
      </c>
      <c r="AF254" s="191">
        <f t="shared" si="102"/>
        <v>0.19971393386651576</v>
      </c>
      <c r="AG254" s="191">
        <f t="shared" si="102"/>
        <v>44.002812500000005</v>
      </c>
      <c r="AH254" s="191">
        <f t="shared" si="102"/>
        <v>33.763491828405989</v>
      </c>
      <c r="AI254" s="191">
        <f t="shared" si="102"/>
        <v>1.3235914468901527E-2</v>
      </c>
      <c r="AJ254" s="191">
        <f t="shared" si="102"/>
        <v>33.315432853505698</v>
      </c>
      <c r="AK254" s="191">
        <f t="shared" si="102"/>
        <v>-12.696113462430111</v>
      </c>
    </row>
    <row r="255" spans="3:37" s="180" customFormat="1" ht="19.5" customHeight="1">
      <c r="D255" s="187" t="s">
        <v>46</v>
      </c>
      <c r="E255" s="178"/>
      <c r="F255" s="178"/>
      <c r="G255" s="184">
        <f t="shared" ref="G255:Y255" si="103">STDEV(G3:G38)</f>
        <v>44.752351713062254</v>
      </c>
      <c r="H255" s="522">
        <f t="shared" si="103"/>
        <v>8.7295081301081226E-2</v>
      </c>
      <c r="I255" s="184">
        <f t="shared" si="103"/>
        <v>2.6855157530611455</v>
      </c>
      <c r="J255" s="184">
        <f t="shared" si="103"/>
        <v>2.6855157530611455</v>
      </c>
      <c r="K255" s="184">
        <f t="shared" si="103"/>
        <v>0.42599758706938645</v>
      </c>
      <c r="L255" s="184">
        <f t="shared" si="103"/>
        <v>0.21105107080786054</v>
      </c>
      <c r="M255" s="184">
        <f t="shared" si="103"/>
        <v>0.90443940005031898</v>
      </c>
      <c r="N255" s="184">
        <f t="shared" si="103"/>
        <v>3.45081090028056</v>
      </c>
      <c r="O255" s="184">
        <f t="shared" si="103"/>
        <v>0.13893130827795991</v>
      </c>
      <c r="P255" s="184">
        <f t="shared" si="103"/>
        <v>0.66291893753793152</v>
      </c>
      <c r="Q255" s="184">
        <f t="shared" si="103"/>
        <v>5.2402332712796602E-2</v>
      </c>
      <c r="R255" s="184">
        <f t="shared" si="103"/>
        <v>1.5120668178319159</v>
      </c>
      <c r="S255" s="184">
        <f t="shared" si="103"/>
        <v>0.18214210760611904</v>
      </c>
      <c r="T255" s="184">
        <f t="shared" si="103"/>
        <v>0.37920388180446007</v>
      </c>
      <c r="U255" s="184">
        <f t="shared" si="103"/>
        <v>1.8793750093636652</v>
      </c>
      <c r="V255" s="184">
        <f t="shared" si="103"/>
        <v>0.14848194659851568</v>
      </c>
      <c r="W255" s="184">
        <f t="shared" si="103"/>
        <v>6.1059737228381268</v>
      </c>
      <c r="X255" s="522">
        <f t="shared" si="103"/>
        <v>0.14808018713438123</v>
      </c>
      <c r="Y255" s="184">
        <f t="shared" si="103"/>
        <v>0.2631045553450303</v>
      </c>
      <c r="Z255" s="184"/>
      <c r="AA255" s="184">
        <f t="shared" ref="AA255:AK255" si="104">STDEV(AA3:AA38)</f>
        <v>19.94501426432635</v>
      </c>
      <c r="AB255" s="184">
        <f t="shared" si="104"/>
        <v>0.20783734634303819</v>
      </c>
      <c r="AC255" s="184">
        <f t="shared" si="104"/>
        <v>3.2110308507244811</v>
      </c>
      <c r="AD255" s="184">
        <f t="shared" si="104"/>
        <v>0.16198573104726824</v>
      </c>
      <c r="AE255" s="184">
        <f t="shared" si="104"/>
        <v>4.7541516964001431</v>
      </c>
      <c r="AF255" s="184">
        <f t="shared" si="104"/>
        <v>0.11692622111829185</v>
      </c>
      <c r="AG255" s="184">
        <f t="shared" si="104"/>
        <v>34.163405741153461</v>
      </c>
      <c r="AH255" s="184">
        <f t="shared" si="104"/>
        <v>0.38764509777418876</v>
      </c>
      <c r="AI255" s="184">
        <f t="shared" si="104"/>
        <v>5.7691714630984312E-3</v>
      </c>
      <c r="AJ255" s="184">
        <f t="shared" si="104"/>
        <v>0.3194367023408119</v>
      </c>
      <c r="AK255" s="184">
        <f t="shared" si="104"/>
        <v>4.7403604015112624</v>
      </c>
    </row>
    <row r="256" spans="3:37" s="180" customFormat="1" ht="19.5" customHeight="1">
      <c r="D256" s="187" t="s">
        <v>47</v>
      </c>
      <c r="E256" s="178"/>
      <c r="F256" s="178"/>
      <c r="G256" s="184">
        <f t="shared" ref="G256:Y256" si="105">MIN(G3:G38)</f>
        <v>18.120833333333334</v>
      </c>
      <c r="H256" s="522">
        <f t="shared" si="105"/>
        <v>0.56374999999999997</v>
      </c>
      <c r="I256" s="184">
        <f t="shared" si="105"/>
        <v>289</v>
      </c>
      <c r="J256" s="184">
        <f t="shared" si="105"/>
        <v>15.839999999999975</v>
      </c>
      <c r="K256" s="184">
        <f t="shared" si="105"/>
        <v>6.5017769071741449E-2</v>
      </c>
      <c r="L256" s="184">
        <f t="shared" si="105"/>
        <v>0</v>
      </c>
      <c r="M256" s="184">
        <f t="shared" si="105"/>
        <v>0.28805730615141079</v>
      </c>
      <c r="N256" s="184">
        <f t="shared" si="105"/>
        <v>0.80780112192989129</v>
      </c>
      <c r="O256" s="184">
        <f t="shared" si="105"/>
        <v>5.9675832714387755E-2</v>
      </c>
      <c r="P256" s="184">
        <f t="shared" si="105"/>
        <v>3.2618517476188894E-2</v>
      </c>
      <c r="Q256" s="184">
        <f t="shared" si="105"/>
        <v>1.3275427159471049E-2</v>
      </c>
      <c r="R256" s="184">
        <f t="shared" si="105"/>
        <v>0.36526701304456077</v>
      </c>
      <c r="S256" s="184">
        <f t="shared" si="105"/>
        <v>7.8361337400246617E-2</v>
      </c>
      <c r="T256" s="184">
        <f t="shared" si="105"/>
        <v>0</v>
      </c>
      <c r="U256" s="184">
        <f t="shared" si="105"/>
        <v>0.5515468945130616</v>
      </c>
      <c r="V256" s="184">
        <f t="shared" si="105"/>
        <v>6.6030684458098551E-2</v>
      </c>
      <c r="W256" s="184">
        <f t="shared" si="105"/>
        <v>1.9953812307867251</v>
      </c>
      <c r="X256" s="522">
        <f t="shared" si="105"/>
        <v>4.3722940101493434E-2</v>
      </c>
      <c r="Y256" s="184">
        <f t="shared" si="105"/>
        <v>0.58874232767029533</v>
      </c>
      <c r="Z256" s="184"/>
      <c r="AA256" s="184">
        <f t="shared" ref="AA256:AK256" si="106">MIN(AA3:AA38)</f>
        <v>-2.0964003523151962</v>
      </c>
      <c r="AB256" s="184">
        <f t="shared" si="106"/>
        <v>1.8111055630255214E-2</v>
      </c>
      <c r="AC256" s="184">
        <f t="shared" si="106"/>
        <v>-8.9457843642551058</v>
      </c>
      <c r="AD256" s="184">
        <f t="shared" si="106"/>
        <v>4.7314307683993577E-2</v>
      </c>
      <c r="AE256" s="184">
        <f t="shared" si="106"/>
        <v>9.1748941845834313</v>
      </c>
      <c r="AF256" s="184">
        <f t="shared" si="106"/>
        <v>2.1729031929507616E-2</v>
      </c>
      <c r="AG256" s="184">
        <f t="shared" si="106"/>
        <v>5.05</v>
      </c>
      <c r="AH256" s="184">
        <f t="shared" si="106"/>
        <v>33.109000989781222</v>
      </c>
      <c r="AI256" s="184">
        <f t="shared" si="106"/>
        <v>3.9408475294199713E-3</v>
      </c>
      <c r="AJ256" s="184">
        <f t="shared" si="106"/>
        <v>32.748093520272292</v>
      </c>
      <c r="AK256" s="184">
        <f t="shared" si="106"/>
        <v>-23.810906860427579</v>
      </c>
    </row>
    <row r="257" spans="3:37" s="180" customFormat="1" ht="19.5" customHeight="1">
      <c r="D257" s="179" t="s">
        <v>48</v>
      </c>
      <c r="E257" s="178"/>
      <c r="F257" s="178"/>
      <c r="G257" s="177">
        <f t="shared" ref="G257:Y257" si="107">MAX(G3:G38)</f>
        <v>262.96800000000002</v>
      </c>
      <c r="H257" s="523">
        <f t="shared" si="107"/>
        <v>0.87375000000000003</v>
      </c>
      <c r="I257" s="177">
        <f t="shared" si="107"/>
        <v>305.74114229999998</v>
      </c>
      <c r="J257" s="177">
        <f t="shared" si="107"/>
        <v>32.581142299999954</v>
      </c>
      <c r="K257" s="177">
        <f t="shared" si="107"/>
        <v>1.564444988615294</v>
      </c>
      <c r="L257" s="177">
        <f t="shared" si="107"/>
        <v>0.71051224092263587</v>
      </c>
      <c r="M257" s="177">
        <f t="shared" si="107"/>
        <v>5.0313697399455384</v>
      </c>
      <c r="N257" s="177">
        <f t="shared" si="107"/>
        <v>14.65671005258814</v>
      </c>
      <c r="O257" s="177">
        <f t="shared" si="107"/>
        <v>0.71451155289712465</v>
      </c>
      <c r="P257" s="177">
        <f t="shared" si="107"/>
        <v>2.8432851454460515</v>
      </c>
      <c r="Q257" s="177">
        <f t="shared" si="107"/>
        <v>0.23133928564714912</v>
      </c>
      <c r="R257" s="177">
        <f t="shared" si="107"/>
        <v>8.14432579339827</v>
      </c>
      <c r="S257" s="177">
        <f t="shared" si="107"/>
        <v>0.70596677204061387</v>
      </c>
      <c r="T257" s="177">
        <f t="shared" si="107"/>
        <v>1.5584390242471335</v>
      </c>
      <c r="U257" s="177">
        <f t="shared" si="107"/>
        <v>6.59054441804847</v>
      </c>
      <c r="V257" s="177">
        <f t="shared" si="107"/>
        <v>0.64110598888541348</v>
      </c>
      <c r="W257" s="177">
        <f t="shared" si="107"/>
        <v>25.246535896006289</v>
      </c>
      <c r="X257" s="523">
        <f t="shared" si="107"/>
        <v>0.75554697905763168</v>
      </c>
      <c r="Y257" s="177">
        <f t="shared" si="107"/>
        <v>2.0813826607908767</v>
      </c>
      <c r="Z257" s="177"/>
      <c r="AA257" s="177">
        <f t="shared" ref="AA257:AK257" si="108">MAX(AA3:AA38)</f>
        <v>70.197833711567071</v>
      </c>
      <c r="AB257" s="177">
        <f t="shared" si="108"/>
        <v>0.97952222627323693</v>
      </c>
      <c r="AC257" s="177">
        <f t="shared" si="108"/>
        <v>6.221659370882759</v>
      </c>
      <c r="AD257" s="177">
        <f t="shared" si="108"/>
        <v>0.72906985415148873</v>
      </c>
      <c r="AE257" s="177">
        <f t="shared" si="108"/>
        <v>34.350755891828108</v>
      </c>
      <c r="AF257" s="177">
        <f t="shared" si="108"/>
        <v>0.41372842384176317</v>
      </c>
      <c r="AG257" s="177">
        <f t="shared" si="108"/>
        <v>154.6</v>
      </c>
      <c r="AH257" s="177">
        <f t="shared" si="108"/>
        <v>35.471776470588239</v>
      </c>
      <c r="AI257" s="177">
        <f t="shared" si="108"/>
        <v>2.7659267251630676E-2</v>
      </c>
      <c r="AJ257" s="177">
        <f t="shared" si="108"/>
        <v>34.50054010243845</v>
      </c>
      <c r="AK257" s="177">
        <f t="shared" si="108"/>
        <v>0.95638579972786175</v>
      </c>
    </row>
    <row r="258" spans="3:37" s="180" customFormat="1" ht="19.5" customHeight="1">
      <c r="H258" s="536"/>
      <c r="X258" s="536"/>
    </row>
    <row r="259" spans="3:37" s="180" customFormat="1" ht="19.5" customHeight="1">
      <c r="C259" s="180">
        <v>2020</v>
      </c>
      <c r="D259" s="192" t="s">
        <v>45</v>
      </c>
      <c r="E259" s="178"/>
      <c r="F259" s="178"/>
      <c r="G259" s="191">
        <f t="shared" ref="G259:Y259" si="109">AVERAGE(G39:G57)</f>
        <v>91.01326068376072</v>
      </c>
      <c r="H259" s="521">
        <f t="shared" si="109"/>
        <v>0.53433333333333333</v>
      </c>
      <c r="I259" s="191">
        <f t="shared" si="109"/>
        <v>297.60000000000002</v>
      </c>
      <c r="J259" s="191">
        <f t="shared" si="109"/>
        <v>24.439999999999976</v>
      </c>
      <c r="K259" s="191">
        <f t="shared" si="109"/>
        <v>0.49115818089932378</v>
      </c>
      <c r="L259" s="191">
        <f t="shared" si="109"/>
        <v>7.6030159906854078E-2</v>
      </c>
      <c r="M259" s="191">
        <f t="shared" si="109"/>
        <v>1.935487336099762</v>
      </c>
      <c r="N259" s="191">
        <f t="shared" si="109"/>
        <v>4.0843907807311526</v>
      </c>
      <c r="O259" s="191">
        <f t="shared" si="109"/>
        <v>0.16675370145601312</v>
      </c>
      <c r="P259" s="191">
        <f t="shared" si="109"/>
        <v>1.365747402822042</v>
      </c>
      <c r="Q259" s="191">
        <f t="shared" si="109"/>
        <v>5.2157539877449817E-2</v>
      </c>
      <c r="R259" s="191">
        <f t="shared" si="109"/>
        <v>1.2627200045570008</v>
      </c>
      <c r="S259" s="191">
        <f t="shared" si="109"/>
        <v>0.45501453768303957</v>
      </c>
      <c r="T259" s="191">
        <f t="shared" si="109"/>
        <v>0.15820959049045888</v>
      </c>
      <c r="U259" s="191">
        <f t="shared" si="109"/>
        <v>2.7853120567523253</v>
      </c>
      <c r="V259" s="191">
        <f t="shared" si="109"/>
        <v>0.41714114933010293</v>
      </c>
      <c r="W259" s="191">
        <f t="shared" si="109"/>
        <v>9.8894596440326374</v>
      </c>
      <c r="X259" s="521">
        <f t="shared" si="109"/>
        <v>0.12164195423337647</v>
      </c>
      <c r="Y259" s="191">
        <f t="shared" si="109"/>
        <v>0.80798492951699263</v>
      </c>
      <c r="Z259" s="191"/>
      <c r="AA259" s="191">
        <f t="shared" ref="AA259:AK259" si="110">AVERAGE(AA39:AA57)</f>
        <v>56.153416394713076</v>
      </c>
      <c r="AB259" s="191">
        <f t="shared" si="110"/>
        <v>0.41102135429603498</v>
      </c>
      <c r="AC259" s="191">
        <f t="shared" si="110"/>
        <v>1.5293881741474282</v>
      </c>
      <c r="AD259" s="191">
        <f t="shared" si="110"/>
        <v>0.3479979403999014</v>
      </c>
      <c r="AE259" s="191">
        <f t="shared" si="110"/>
        <v>14.429823305177177</v>
      </c>
      <c r="AF259" s="191">
        <f t="shared" si="110"/>
        <v>0.21677769421002249</v>
      </c>
      <c r="AG259" s="191">
        <f t="shared" si="110"/>
        <v>73.512357142857141</v>
      </c>
      <c r="AH259" s="191">
        <f t="shared" si="110"/>
        <v>34.212085790972864</v>
      </c>
      <c r="AI259" s="191">
        <f t="shared" si="110"/>
        <v>1.9378992414628194E-2</v>
      </c>
      <c r="AJ259" s="191">
        <f t="shared" si="110"/>
        <v>33.544251739394049</v>
      </c>
      <c r="AK259" s="191">
        <f t="shared" si="110"/>
        <v>-19.054628884180861</v>
      </c>
    </row>
    <row r="260" spans="3:37" s="180" customFormat="1" ht="19.5" customHeight="1">
      <c r="D260" s="187" t="s">
        <v>46</v>
      </c>
      <c r="E260" s="178"/>
      <c r="F260" s="178"/>
      <c r="G260" s="184">
        <f t="shared" ref="G260:Y260" si="111">STDEV(G39:G57)</f>
        <v>70.9633376907817</v>
      </c>
      <c r="H260" s="522">
        <f t="shared" si="111"/>
        <v>0.1441460899160823</v>
      </c>
      <c r="I260" s="184">
        <f t="shared" si="111"/>
        <v>5.3825113628703622</v>
      </c>
      <c r="J260" s="184">
        <f t="shared" si="111"/>
        <v>5.3825113628703649</v>
      </c>
      <c r="K260" s="184">
        <f t="shared" si="111"/>
        <v>0.3607033805376767</v>
      </c>
      <c r="L260" s="184">
        <f t="shared" si="111"/>
        <v>7.3945390737179068E-2</v>
      </c>
      <c r="M260" s="184">
        <f t="shared" si="111"/>
        <v>2.4543870772372181</v>
      </c>
      <c r="N260" s="184">
        <f t="shared" si="111"/>
        <v>3.5036619852853947</v>
      </c>
      <c r="O260" s="184">
        <f t="shared" si="111"/>
        <v>8.0479350243076758E-2</v>
      </c>
      <c r="P260" s="184">
        <f t="shared" si="111"/>
        <v>1.5646548448427484</v>
      </c>
      <c r="Q260" s="184">
        <f t="shared" si="111"/>
        <v>4.2382237157203254E-2</v>
      </c>
      <c r="R260" s="184">
        <f t="shared" si="111"/>
        <v>0.89263334557662999</v>
      </c>
      <c r="S260" s="184">
        <f t="shared" si="111"/>
        <v>0.41403122575121293</v>
      </c>
      <c r="T260" s="184">
        <f t="shared" si="111"/>
        <v>0.14799705786201531</v>
      </c>
      <c r="U260" s="184">
        <f t="shared" si="111"/>
        <v>1.4087011996608598</v>
      </c>
      <c r="V260" s="184">
        <f t="shared" si="111"/>
        <v>0.24952135940824216</v>
      </c>
      <c r="W260" s="184">
        <f t="shared" si="111"/>
        <v>8.5443788450839175</v>
      </c>
      <c r="X260" s="522">
        <f t="shared" si="111"/>
        <v>6.3592175402647416E-2</v>
      </c>
      <c r="Y260" s="184">
        <f t="shared" si="111"/>
        <v>0.21792474469455492</v>
      </c>
      <c r="Z260" s="184"/>
      <c r="AA260" s="184">
        <f t="shared" ref="AA260:AK260" si="112">STDEV(AA39:AA57)</f>
        <v>14.397365146429495</v>
      </c>
      <c r="AB260" s="184">
        <f t="shared" si="112"/>
        <v>0.2524495101872074</v>
      </c>
      <c r="AC260" s="184">
        <f t="shared" si="112"/>
        <v>2.3470694636519838</v>
      </c>
      <c r="AD260" s="184">
        <f t="shared" si="112"/>
        <v>0.20782070234968136</v>
      </c>
      <c r="AE260" s="184">
        <f t="shared" si="112"/>
        <v>6.0711987850765965</v>
      </c>
      <c r="AF260" s="184">
        <f t="shared" si="112"/>
        <v>9.4987738470696789E-2</v>
      </c>
      <c r="AG260" s="184">
        <f t="shared" si="112"/>
        <v>71.471753684296772</v>
      </c>
      <c r="AH260" s="184">
        <f t="shared" si="112"/>
        <v>0.77407347637440704</v>
      </c>
      <c r="AI260" s="184">
        <f t="shared" si="112"/>
        <v>1.5344949530132924E-2</v>
      </c>
      <c r="AJ260" s="184">
        <f t="shared" si="112"/>
        <v>0.71346772110900636</v>
      </c>
      <c r="AK260" s="184">
        <f t="shared" si="112"/>
        <v>5.9444888226662291</v>
      </c>
    </row>
    <row r="261" spans="3:37" s="180" customFormat="1" ht="19.5" customHeight="1">
      <c r="D261" s="187" t="s">
        <v>47</v>
      </c>
      <c r="E261" s="178"/>
      <c r="F261" s="178"/>
      <c r="G261" s="184">
        <f t="shared" ref="G261:Y261" si="113">MIN(G39:G57)</f>
        <v>11.166666666666668</v>
      </c>
      <c r="H261" s="522">
        <f t="shared" si="113"/>
        <v>0.34</v>
      </c>
      <c r="I261" s="184">
        <f t="shared" si="113"/>
        <v>288</v>
      </c>
      <c r="J261" s="184">
        <f t="shared" si="113"/>
        <v>14.839999999999975</v>
      </c>
      <c r="K261" s="184">
        <f t="shared" si="113"/>
        <v>8.1148583489899367E-2</v>
      </c>
      <c r="L261" s="184">
        <f t="shared" si="113"/>
        <v>0</v>
      </c>
      <c r="M261" s="184">
        <f t="shared" si="113"/>
        <v>0.18241944912335684</v>
      </c>
      <c r="N261" s="184">
        <f t="shared" si="113"/>
        <v>0.30603489986430726</v>
      </c>
      <c r="O261" s="184">
        <f t="shared" si="113"/>
        <v>4.2443014776914083E-2</v>
      </c>
      <c r="P261" s="184">
        <f t="shared" si="113"/>
        <v>6.6714201603395626E-2</v>
      </c>
      <c r="Q261" s="184">
        <f t="shared" si="113"/>
        <v>8.4351175859876532E-3</v>
      </c>
      <c r="R261" s="184">
        <f t="shared" si="113"/>
        <v>0.33655176092830758</v>
      </c>
      <c r="S261" s="184">
        <f t="shared" si="113"/>
        <v>5.2697306753372843E-2</v>
      </c>
      <c r="T261" s="184">
        <f t="shared" si="113"/>
        <v>0</v>
      </c>
      <c r="U261" s="184">
        <f t="shared" si="113"/>
        <v>0.68898735662629962</v>
      </c>
      <c r="V261" s="184">
        <f t="shared" si="113"/>
        <v>0.12389870475747905</v>
      </c>
      <c r="W261" s="184">
        <f t="shared" si="113"/>
        <v>1.3724394382877243</v>
      </c>
      <c r="X261" s="522">
        <f t="shared" si="113"/>
        <v>2.6498122282951602E-2</v>
      </c>
      <c r="Y261" s="184">
        <f t="shared" si="113"/>
        <v>0.44779952567278208</v>
      </c>
      <c r="Z261" s="184"/>
      <c r="AA261" s="184">
        <f t="shared" ref="AA261:AK261" si="114">MIN(AA39:AA57)</f>
        <v>32.703835716967546</v>
      </c>
      <c r="AB261" s="184">
        <f t="shared" si="114"/>
        <v>0.13171320588257288</v>
      </c>
      <c r="AC261" s="184">
        <f t="shared" si="114"/>
        <v>-2.0968695142121443</v>
      </c>
      <c r="AD261" s="184">
        <f t="shared" si="114"/>
        <v>6.9990745170089325E-2</v>
      </c>
      <c r="AE261" s="184">
        <f t="shared" si="114"/>
        <v>3.9584366900392491</v>
      </c>
      <c r="AF261" s="184">
        <f t="shared" si="114"/>
        <v>3.795626837325515E-2</v>
      </c>
      <c r="AG261" s="184">
        <f t="shared" si="114"/>
        <v>7.0529999999999999</v>
      </c>
      <c r="AH261" s="184">
        <f t="shared" si="114"/>
        <v>33.478454785478547</v>
      </c>
      <c r="AI261" s="184">
        <f t="shared" si="114"/>
        <v>9.6460656325081679E-3</v>
      </c>
      <c r="AJ261" s="184">
        <f t="shared" si="114"/>
        <v>32.52856866524624</v>
      </c>
      <c r="AK261" s="184">
        <f t="shared" si="114"/>
        <v>-29.467853087938707</v>
      </c>
    </row>
    <row r="262" spans="3:37" s="180" customFormat="1" ht="19.5" customHeight="1">
      <c r="D262" s="179" t="s">
        <v>48</v>
      </c>
      <c r="E262" s="178"/>
      <c r="F262" s="178"/>
      <c r="G262" s="177">
        <f t="shared" ref="G262:Y262" si="115">MAX(G39:G57)</f>
        <v>241.38800000000006</v>
      </c>
      <c r="H262" s="523">
        <f t="shared" si="115"/>
        <v>0.78</v>
      </c>
      <c r="I262" s="177">
        <f t="shared" si="115"/>
        <v>303</v>
      </c>
      <c r="J262" s="177">
        <f t="shared" si="115"/>
        <v>29.839999999999975</v>
      </c>
      <c r="K262" s="177">
        <f t="shared" si="115"/>
        <v>1.2203269291161074</v>
      </c>
      <c r="L262" s="177">
        <f t="shared" si="115"/>
        <v>0.2406260440252953</v>
      </c>
      <c r="M262" s="177">
        <f t="shared" si="115"/>
        <v>8.1835318076528054</v>
      </c>
      <c r="N262" s="177">
        <f t="shared" si="115"/>
        <v>10.100517784052954</v>
      </c>
      <c r="O262" s="177">
        <f t="shared" si="115"/>
        <v>0.36869301877845384</v>
      </c>
      <c r="P262" s="177">
        <f t="shared" si="115"/>
        <v>4.5064272391255971</v>
      </c>
      <c r="Q262" s="177">
        <f t="shared" si="115"/>
        <v>0.16271148888060624</v>
      </c>
      <c r="R262" s="177">
        <f t="shared" si="115"/>
        <v>3.6378356516735963</v>
      </c>
      <c r="S262" s="177">
        <f t="shared" si="115"/>
        <v>1.3703840883053027</v>
      </c>
      <c r="T262" s="177">
        <f t="shared" si="115"/>
        <v>0.41196865357580637</v>
      </c>
      <c r="U262" s="177">
        <f t="shared" si="115"/>
        <v>5.1983522465132355</v>
      </c>
      <c r="V262" s="177">
        <f t="shared" si="115"/>
        <v>0.9840785488292989</v>
      </c>
      <c r="W262" s="177">
        <f t="shared" si="115"/>
        <v>24.989834841596302</v>
      </c>
      <c r="X262" s="523">
        <f t="shared" si="115"/>
        <v>0.26015508491871286</v>
      </c>
      <c r="Y262" s="177">
        <f t="shared" si="115"/>
        <v>1.3893415738058061</v>
      </c>
      <c r="Z262" s="177"/>
      <c r="AA262" s="177">
        <f t="shared" ref="AA262:AK262" si="116">MAX(AA39:AA57)</f>
        <v>74.153378951854492</v>
      </c>
      <c r="AB262" s="177">
        <f t="shared" si="116"/>
        <v>0.81260678036075262</v>
      </c>
      <c r="AC262" s="177">
        <f t="shared" si="116"/>
        <v>5.326020914057163</v>
      </c>
      <c r="AD262" s="177">
        <f t="shared" si="116"/>
        <v>0.75739493775505995</v>
      </c>
      <c r="AE262" s="177">
        <f t="shared" si="116"/>
        <v>25.097079080951161</v>
      </c>
      <c r="AF262" s="177">
        <f t="shared" si="116"/>
        <v>0.38426209272848832</v>
      </c>
      <c r="AG262" s="177">
        <f t="shared" si="116"/>
        <v>211.1</v>
      </c>
      <c r="AH262" s="177">
        <f t="shared" si="116"/>
        <v>35.62157222222222</v>
      </c>
      <c r="AI262" s="177">
        <f t="shared" si="116"/>
        <v>6.3625233345837653E-2</v>
      </c>
      <c r="AJ262" s="177">
        <f t="shared" si="116"/>
        <v>35.276317008787466</v>
      </c>
      <c r="AK262" s="177">
        <f t="shared" si="116"/>
        <v>-10.179237927836265</v>
      </c>
    </row>
    <row r="263" spans="3:37" s="180" customFormat="1" ht="19.5" customHeight="1">
      <c r="H263" s="536"/>
      <c r="X263" s="536"/>
    </row>
    <row r="264" spans="3:37" s="180" customFormat="1" ht="19.5" customHeight="1">
      <c r="C264" s="180">
        <v>2021</v>
      </c>
      <c r="D264" s="192" t="s">
        <v>45</v>
      </c>
      <c r="E264" s="178"/>
      <c r="F264" s="178"/>
      <c r="G264" s="191">
        <f t="shared" ref="G264:Y264" si="117">AVERAGE(G58:G77)</f>
        <v>151.67635576923075</v>
      </c>
      <c r="H264" s="521">
        <f t="shared" si="117"/>
        <v>0.59762499999999996</v>
      </c>
      <c r="I264" s="191">
        <f t="shared" si="117"/>
        <v>296.62812500000001</v>
      </c>
      <c r="J264" s="191">
        <f t="shared" si="117"/>
        <v>23.468124999999961</v>
      </c>
      <c r="K264" s="191">
        <f t="shared" si="117"/>
        <v>0.60516307406004233</v>
      </c>
      <c r="L264" s="191">
        <f t="shared" si="117"/>
        <v>5.8529538580318355E-2</v>
      </c>
      <c r="M264" s="191">
        <f t="shared" si="117"/>
        <v>2.884937114147756</v>
      </c>
      <c r="N264" s="191">
        <f t="shared" si="117"/>
        <v>9.9054963592396952</v>
      </c>
      <c r="O264" s="191">
        <f t="shared" si="117"/>
        <v>0.3122832126896169</v>
      </c>
      <c r="P264" s="191">
        <f t="shared" si="117"/>
        <v>2.2850560413921475</v>
      </c>
      <c r="Q264" s="191">
        <f t="shared" si="117"/>
        <v>0.11750071143136943</v>
      </c>
      <c r="R264" s="191">
        <f t="shared" si="117"/>
        <v>2.7026806023209069</v>
      </c>
      <c r="S264" s="191">
        <f t="shared" si="117"/>
        <v>0.852513046590331</v>
      </c>
      <c r="T264" s="191">
        <f t="shared" si="117"/>
        <v>5.0499191080176739E-2</v>
      </c>
      <c r="U264" s="191">
        <f t="shared" si="117"/>
        <v>2.1023427517597857</v>
      </c>
      <c r="V264" s="191">
        <f t="shared" si="117"/>
        <v>0.25074952919965054</v>
      </c>
      <c r="W264" s="191">
        <f t="shared" si="117"/>
        <v>19.724159700452187</v>
      </c>
      <c r="X264" s="521">
        <f t="shared" si="117"/>
        <v>0.11145329598235292</v>
      </c>
      <c r="Y264" s="191">
        <f t="shared" si="117"/>
        <v>0.84412230954523193</v>
      </c>
      <c r="Z264" s="191"/>
      <c r="AA264" s="191">
        <f t="shared" ref="AA264:AK264" si="118">AVERAGE(AA58:AA77)</f>
        <v>62.319243598051052</v>
      </c>
      <c r="AB264" s="191">
        <f t="shared" si="118"/>
        <v>0.32106791863171075</v>
      </c>
      <c r="AC264" s="191">
        <f t="shared" si="118"/>
        <v>2.9008525492888015</v>
      </c>
      <c r="AD264" s="191">
        <f t="shared" si="118"/>
        <v>0.24404902174793916</v>
      </c>
      <c r="AE264" s="191">
        <f t="shared" si="118"/>
        <v>14.658451199930251</v>
      </c>
      <c r="AF264" s="191">
        <f t="shared" si="118"/>
        <v>0.20985083016154532</v>
      </c>
      <c r="AG264" s="191">
        <f t="shared" si="118"/>
        <v>71.440000000000012</v>
      </c>
      <c r="AH264" s="191">
        <f t="shared" si="118"/>
        <v>34.372614183065629</v>
      </c>
      <c r="AI264" s="191">
        <f t="shared" si="118"/>
        <v>2.4152736014024304E-2</v>
      </c>
      <c r="AJ264" s="191">
        <f t="shared" si="118"/>
        <v>33.53741364187249</v>
      </c>
      <c r="AK264" s="191">
        <f t="shared" si="118"/>
        <v>-18.878962441942235</v>
      </c>
    </row>
    <row r="265" spans="3:37" s="180" customFormat="1" ht="19.5" customHeight="1">
      <c r="D265" s="187" t="s">
        <v>46</v>
      </c>
      <c r="E265" s="178"/>
      <c r="F265" s="178"/>
      <c r="G265" s="184">
        <f t="shared" ref="G265:Y265" si="119">STDEV(G58:G77)</f>
        <v>69.262636285999747</v>
      </c>
      <c r="H265" s="522">
        <f t="shared" si="119"/>
        <v>0.11119225092904059</v>
      </c>
      <c r="I265" s="184">
        <f t="shared" si="119"/>
        <v>4.7845225728383731</v>
      </c>
      <c r="J265" s="184">
        <f t="shared" si="119"/>
        <v>4.7845225728383669</v>
      </c>
      <c r="K265" s="184">
        <f t="shared" si="119"/>
        <v>0.65080664285500489</v>
      </c>
      <c r="L265" s="184">
        <f t="shared" si="119"/>
        <v>7.244539123494087E-2</v>
      </c>
      <c r="M265" s="184">
        <f t="shared" si="119"/>
        <v>4.2870140033252904</v>
      </c>
      <c r="N265" s="184">
        <f t="shared" si="119"/>
        <v>12.993272913269236</v>
      </c>
      <c r="O265" s="184">
        <f t="shared" si="119"/>
        <v>0.34099926931230157</v>
      </c>
      <c r="P265" s="184">
        <f t="shared" si="119"/>
        <v>3.0336582733523536</v>
      </c>
      <c r="Q265" s="184">
        <f t="shared" si="119"/>
        <v>0.15783298780396979</v>
      </c>
      <c r="R265" s="184">
        <f t="shared" si="119"/>
        <v>3.2102382237660945</v>
      </c>
      <c r="S265" s="184">
        <f t="shared" si="119"/>
        <v>1.2043688344901733</v>
      </c>
      <c r="T265" s="184">
        <f t="shared" si="119"/>
        <v>8.0918118144307494E-2</v>
      </c>
      <c r="U265" s="184">
        <f t="shared" si="119"/>
        <v>1.2894803866890827</v>
      </c>
      <c r="V265" s="184">
        <f t="shared" si="119"/>
        <v>0.15285939073737731</v>
      </c>
      <c r="W265" s="184">
        <f t="shared" si="119"/>
        <v>24.52322993820518</v>
      </c>
      <c r="X265" s="522">
        <f t="shared" si="119"/>
        <v>0.10275439098407929</v>
      </c>
      <c r="Y265" s="184">
        <f t="shared" si="119"/>
        <v>0.21231333770689315</v>
      </c>
      <c r="Z265" s="184"/>
      <c r="AA265" s="184">
        <f t="shared" ref="AA265:AK265" si="120">STDEV(AA58:AA77)</f>
        <v>9.1888495745145153</v>
      </c>
      <c r="AB265" s="184">
        <f t="shared" si="120"/>
        <v>0.23980299850089098</v>
      </c>
      <c r="AC265" s="184">
        <f t="shared" si="120"/>
        <v>2.3355529778435886</v>
      </c>
      <c r="AD265" s="184">
        <f t="shared" si="120"/>
        <v>9.1995361030173334E-2</v>
      </c>
      <c r="AE265" s="184">
        <f t="shared" si="120"/>
        <v>5.7828842590928646</v>
      </c>
      <c r="AF265" s="184">
        <f t="shared" si="120"/>
        <v>0.18763984725075328</v>
      </c>
      <c r="AG265" s="184">
        <f t="shared" si="120"/>
        <v>89.517041952915307</v>
      </c>
      <c r="AH265" s="184">
        <f t="shared" si="120"/>
        <v>0.67866725833106767</v>
      </c>
      <c r="AI265" s="184">
        <f t="shared" si="120"/>
        <v>2.2229430827077755E-2</v>
      </c>
      <c r="AJ265" s="184">
        <f t="shared" si="120"/>
        <v>0.81885950257773144</v>
      </c>
      <c r="AK265" s="184">
        <f t="shared" si="120"/>
        <v>6.1751437926053976</v>
      </c>
    </row>
    <row r="266" spans="3:37" s="180" customFormat="1" ht="19.5" customHeight="1">
      <c r="D266" s="187" t="s">
        <v>47</v>
      </c>
      <c r="E266" s="178"/>
      <c r="F266" s="178"/>
      <c r="G266" s="184">
        <f t="shared" ref="G266:Y266" si="121">MIN(G58:G77)</f>
        <v>54.695999999999977</v>
      </c>
      <c r="H266" s="522">
        <f t="shared" si="121"/>
        <v>0.36</v>
      </c>
      <c r="I266" s="184">
        <f t="shared" si="121"/>
        <v>290</v>
      </c>
      <c r="J266" s="184">
        <f t="shared" si="121"/>
        <v>16.839999999999975</v>
      </c>
      <c r="K266" s="184">
        <f t="shared" si="121"/>
        <v>7.9805596608573795E-2</v>
      </c>
      <c r="L266" s="184">
        <f t="shared" si="121"/>
        <v>0</v>
      </c>
      <c r="M266" s="184">
        <f t="shared" si="121"/>
        <v>0.20631541020532757</v>
      </c>
      <c r="N266" s="184">
        <f t="shared" si="121"/>
        <v>1.1184323186105243</v>
      </c>
      <c r="O266" s="184">
        <f t="shared" si="121"/>
        <v>7.1567377655048142E-2</v>
      </c>
      <c r="P266" s="184">
        <f t="shared" si="121"/>
        <v>0.10677073946695008</v>
      </c>
      <c r="Q266" s="184">
        <f t="shared" si="121"/>
        <v>1.7435465682469727E-2</v>
      </c>
      <c r="R266" s="184">
        <f t="shared" si="121"/>
        <v>0.68219356981190182</v>
      </c>
      <c r="S266" s="184">
        <f t="shared" si="121"/>
        <v>9.3493645973516976E-2</v>
      </c>
      <c r="T266" s="184">
        <f t="shared" si="121"/>
        <v>0</v>
      </c>
      <c r="U266" s="184">
        <f t="shared" si="121"/>
        <v>0.36461803150315458</v>
      </c>
      <c r="V266" s="184">
        <f t="shared" si="121"/>
        <v>4.2235650539558744E-2</v>
      </c>
      <c r="W266" s="184">
        <f t="shared" si="121"/>
        <v>2.7243002852702678</v>
      </c>
      <c r="X266" s="522">
        <f t="shared" si="121"/>
        <v>1.7454959668816911E-2</v>
      </c>
      <c r="Y266" s="184">
        <f t="shared" si="121"/>
        <v>0.48149467130491391</v>
      </c>
      <c r="Z266" s="184"/>
      <c r="AA266" s="184">
        <f t="shared" ref="AA266:AK266" si="122">MIN(AA58:AA77)</f>
        <v>38.470400781742875</v>
      </c>
      <c r="AB266" s="184">
        <f t="shared" si="122"/>
        <v>4.4748388012256703E-2</v>
      </c>
      <c r="AC266" s="184">
        <f t="shared" si="122"/>
        <v>-0.52053593430172729</v>
      </c>
      <c r="AD266" s="184">
        <f t="shared" si="122"/>
        <v>0.13587538348857506</v>
      </c>
      <c r="AE266" s="184">
        <f t="shared" si="122"/>
        <v>3.9581127268132241</v>
      </c>
      <c r="AF266" s="184">
        <f t="shared" si="122"/>
        <v>7.1276556046678832E-2</v>
      </c>
      <c r="AG266" s="184">
        <f t="shared" si="122"/>
        <v>10.1</v>
      </c>
      <c r="AH266" s="184">
        <f t="shared" si="122"/>
        <v>33.349846586609644</v>
      </c>
      <c r="AI266" s="184">
        <f t="shared" si="122"/>
        <v>9.6536130461310939E-3</v>
      </c>
      <c r="AJ266" s="184">
        <f t="shared" si="122"/>
        <v>31.765762693068851</v>
      </c>
      <c r="AK266" s="184">
        <f t="shared" si="122"/>
        <v>-30.322531297548782</v>
      </c>
    </row>
    <row r="267" spans="3:37" s="180" customFormat="1" ht="19.5" customHeight="1">
      <c r="D267" s="179" t="s">
        <v>48</v>
      </c>
      <c r="E267" s="178"/>
      <c r="F267" s="178"/>
      <c r="G267" s="177">
        <f t="shared" ref="G267:Y267" si="123">MAX(G58:G77)</f>
        <v>326.25599999999997</v>
      </c>
      <c r="H267" s="523">
        <f t="shared" si="123"/>
        <v>0.69400000000000006</v>
      </c>
      <c r="I267" s="177">
        <f t="shared" si="123"/>
        <v>303.95</v>
      </c>
      <c r="J267" s="177">
        <f t="shared" si="123"/>
        <v>30.789999999999964</v>
      </c>
      <c r="K267" s="177">
        <f t="shared" si="123"/>
        <v>2.2725804550515551</v>
      </c>
      <c r="L267" s="177">
        <f t="shared" si="123"/>
        <v>0.22037919242446138</v>
      </c>
      <c r="M267" s="177">
        <f t="shared" si="123"/>
        <v>12.844233220778278</v>
      </c>
      <c r="N267" s="177">
        <f t="shared" si="123"/>
        <v>46.148283683906705</v>
      </c>
      <c r="O267" s="177">
        <f t="shared" si="123"/>
        <v>1.2393293233990701</v>
      </c>
      <c r="P267" s="177">
        <f t="shared" si="123"/>
        <v>8.5055069475988798</v>
      </c>
      <c r="Q267" s="177">
        <f t="shared" si="123"/>
        <v>0.54332211531117702</v>
      </c>
      <c r="R267" s="177">
        <f t="shared" si="123"/>
        <v>11.562099383929253</v>
      </c>
      <c r="S267" s="177">
        <f t="shared" si="123"/>
        <v>4.2053042647081664</v>
      </c>
      <c r="T267" s="177">
        <f t="shared" si="123"/>
        <v>0.29289776805590051</v>
      </c>
      <c r="U267" s="177">
        <f t="shared" si="123"/>
        <v>4.4448943437829467</v>
      </c>
      <c r="V267" s="177">
        <f t="shared" si="123"/>
        <v>0.57626857800379883</v>
      </c>
      <c r="W267" s="177">
        <f t="shared" si="123"/>
        <v>74.682248821925327</v>
      </c>
      <c r="X267" s="523">
        <f t="shared" si="123"/>
        <v>0.36077819097992381</v>
      </c>
      <c r="Y267" s="177">
        <f t="shared" si="123"/>
        <v>1.3837138399077591</v>
      </c>
      <c r="Z267" s="177"/>
      <c r="AA267" s="177">
        <f t="shared" ref="AA267:AK267" si="124">MAX(AA58:AA77)</f>
        <v>75.971780136905622</v>
      </c>
      <c r="AB267" s="177">
        <f t="shared" si="124"/>
        <v>0.78784214177132872</v>
      </c>
      <c r="AC267" s="177">
        <f t="shared" si="124"/>
        <v>7.5858303700631096</v>
      </c>
      <c r="AD267" s="177">
        <f t="shared" si="124"/>
        <v>0.41703051631634952</v>
      </c>
      <c r="AE267" s="177">
        <f t="shared" si="124"/>
        <v>22.88281645905202</v>
      </c>
      <c r="AF267" s="177">
        <f t="shared" si="124"/>
        <v>0.63495228174525553</v>
      </c>
      <c r="AG267" s="177">
        <f t="shared" si="124"/>
        <v>352.5</v>
      </c>
      <c r="AH267" s="177">
        <f t="shared" si="124"/>
        <v>35.323013793103449</v>
      </c>
      <c r="AI267" s="177">
        <f t="shared" si="124"/>
        <v>8.5563739965458005E-2</v>
      </c>
      <c r="AJ267" s="177">
        <f t="shared" si="124"/>
        <v>34.562373911147397</v>
      </c>
      <c r="AK267" s="177">
        <f t="shared" si="124"/>
        <v>-10.936542388998948</v>
      </c>
    </row>
    <row r="268" spans="3:37" s="180" customFormat="1" ht="19.5" customHeight="1">
      <c r="H268" s="536"/>
      <c r="X268" s="536"/>
    </row>
    <row r="269" spans="3:37" s="180" customFormat="1" ht="19.5" customHeight="1">
      <c r="C269" s="180">
        <v>2022</v>
      </c>
      <c r="D269" s="192" t="s">
        <v>45</v>
      </c>
      <c r="E269" s="178"/>
      <c r="F269" s="178"/>
      <c r="G269" s="191">
        <f t="shared" ref="G269:Y269" si="125">AVERAGE(G78:G112)</f>
        <v>108.34956684491982</v>
      </c>
      <c r="H269" s="521">
        <f t="shared" si="125"/>
        <v>0.67123529411764726</v>
      </c>
      <c r="I269" s="191">
        <f t="shared" si="125"/>
        <v>299.47941176470579</v>
      </c>
      <c r="J269" s="191">
        <f t="shared" si="125"/>
        <v>26.319411764705833</v>
      </c>
      <c r="K269" s="191">
        <f t="shared" si="125"/>
        <v>0.50815397484390989</v>
      </c>
      <c r="L269" s="191">
        <f t="shared" si="125"/>
        <v>4.2124437574829386E-2</v>
      </c>
      <c r="M269" s="191">
        <f t="shared" si="125"/>
        <v>2.3610917881074296</v>
      </c>
      <c r="N269" s="191">
        <f t="shared" si="125"/>
        <v>6.4185018937967317</v>
      </c>
      <c r="O269" s="191">
        <f t="shared" si="125"/>
        <v>0.45777791877421825</v>
      </c>
      <c r="P269" s="191">
        <f t="shared" si="125"/>
        <v>1.3677573366808835</v>
      </c>
      <c r="Q269" s="191">
        <f t="shared" si="125"/>
        <v>6.3678075071589957E-2</v>
      </c>
      <c r="R269" s="191">
        <f t="shared" si="125"/>
        <v>1.6428692937003551</v>
      </c>
      <c r="S269" s="191">
        <f t="shared" si="125"/>
        <v>0.60735885157344338</v>
      </c>
      <c r="T269" s="191">
        <f t="shared" si="125"/>
        <v>3.2694970782231936E-2</v>
      </c>
      <c r="U269" s="191">
        <f t="shared" si="125"/>
        <v>2.2473852508234398</v>
      </c>
      <c r="V269" s="191">
        <f t="shared" si="125"/>
        <v>0.36547582624287694</v>
      </c>
      <c r="W269" s="191">
        <f t="shared" si="125"/>
        <v>13.469313570123392</v>
      </c>
      <c r="X269" s="521">
        <f t="shared" si="125"/>
        <v>0.14544840501130482</v>
      </c>
      <c r="Y269" s="191">
        <f t="shared" si="125"/>
        <v>0.97644665394954655</v>
      </c>
      <c r="Z269" s="191"/>
      <c r="AA269" s="191">
        <f t="shared" ref="AA269:AK269" si="126">AVERAGE(AA78:AA112)</f>
        <v>66.279956397503611</v>
      </c>
      <c r="AB269" s="191">
        <f t="shared" si="126"/>
        <v>0.23865065221034301</v>
      </c>
      <c r="AC269" s="191">
        <f t="shared" si="126"/>
        <v>2.4907114719209038</v>
      </c>
      <c r="AD269" s="191">
        <f t="shared" si="126"/>
        <v>9.9103905855044583E-2</v>
      </c>
      <c r="AE269" s="191">
        <f t="shared" si="126"/>
        <v>14.362558189439532</v>
      </c>
      <c r="AF269" s="191">
        <f t="shared" si="126"/>
        <v>0.13999894409741853</v>
      </c>
      <c r="AG269" s="191">
        <f t="shared" si="126"/>
        <v>55.677941176470583</v>
      </c>
      <c r="AH269" s="191">
        <f t="shared" si="126"/>
        <v>33.969636914466612</v>
      </c>
      <c r="AI269" s="191">
        <f t="shared" si="126"/>
        <v>4.6290193787276834E-2</v>
      </c>
      <c r="AJ269" s="191">
        <f t="shared" si="126"/>
        <v>32.383444652774529</v>
      </c>
      <c r="AK269" s="191">
        <f t="shared" si="126"/>
        <v>-18.020886463334985</v>
      </c>
    </row>
    <row r="270" spans="3:37" s="180" customFormat="1" ht="19.5" customHeight="1">
      <c r="D270" s="187" t="s">
        <v>46</v>
      </c>
      <c r="E270" s="178"/>
      <c r="F270" s="178"/>
      <c r="G270" s="184">
        <f t="shared" ref="G270:Y270" si="127">STDEV(G78:G112)</f>
        <v>54.776693735612405</v>
      </c>
      <c r="H270" s="522">
        <f t="shared" si="127"/>
        <v>6.6193041300257077E-2</v>
      </c>
      <c r="I270" s="184">
        <f t="shared" si="127"/>
        <v>4.0549654866643738</v>
      </c>
      <c r="J270" s="184">
        <f t="shared" si="127"/>
        <v>4.0549654866643534</v>
      </c>
      <c r="K270" s="184">
        <f t="shared" si="127"/>
        <v>0.59993927099992517</v>
      </c>
      <c r="L270" s="184">
        <f t="shared" si="127"/>
        <v>4.2971810406280619E-2</v>
      </c>
      <c r="M270" s="184">
        <f t="shared" si="127"/>
        <v>2.1632534890327637</v>
      </c>
      <c r="N270" s="184">
        <f t="shared" si="127"/>
        <v>4.264977977014615</v>
      </c>
      <c r="O270" s="184">
        <f t="shared" si="127"/>
        <v>0.69495734963645339</v>
      </c>
      <c r="P270" s="184">
        <f t="shared" si="127"/>
        <v>0.88780042359682487</v>
      </c>
      <c r="Q270" s="184">
        <f t="shared" si="127"/>
        <v>7.3173147018566601E-2</v>
      </c>
      <c r="R270" s="184">
        <f t="shared" si="127"/>
        <v>1.7230472335366833</v>
      </c>
      <c r="S270" s="184">
        <f t="shared" si="127"/>
        <v>0.54036794783145892</v>
      </c>
      <c r="T270" s="184">
        <f t="shared" si="127"/>
        <v>4.237623211144409E-2</v>
      </c>
      <c r="U270" s="184">
        <f t="shared" si="127"/>
        <v>2.5535076028003316</v>
      </c>
      <c r="V270" s="184">
        <f t="shared" si="127"/>
        <v>0.19530386094697019</v>
      </c>
      <c r="W270" s="184">
        <f t="shared" si="127"/>
        <v>9.1780719797636738</v>
      </c>
      <c r="X270" s="522">
        <f t="shared" si="127"/>
        <v>0.10523482682728605</v>
      </c>
      <c r="Y270" s="184">
        <f t="shared" si="127"/>
        <v>0.26141182209331548</v>
      </c>
      <c r="Z270" s="184"/>
      <c r="AA270" s="184">
        <f t="shared" ref="AA270:AK270" si="128">STDEV(AA78:AA112)</f>
        <v>6.7550582663234398</v>
      </c>
      <c r="AB270" s="184">
        <f t="shared" si="128"/>
        <v>0.18628111874341863</v>
      </c>
      <c r="AC270" s="184">
        <f t="shared" si="128"/>
        <v>1.4947277292270207</v>
      </c>
      <c r="AD270" s="184">
        <f t="shared" si="128"/>
        <v>6.9851706057625029E-2</v>
      </c>
      <c r="AE270" s="184">
        <f t="shared" si="128"/>
        <v>5.1899278562978388</v>
      </c>
      <c r="AF270" s="184">
        <f t="shared" si="128"/>
        <v>9.6638712468822857E-2</v>
      </c>
      <c r="AG270" s="184">
        <f t="shared" si="128"/>
        <v>54.92655056717615</v>
      </c>
      <c r="AH270" s="184">
        <f t="shared" si="128"/>
        <v>0.56772549306345077</v>
      </c>
      <c r="AI270" s="184">
        <f t="shared" si="128"/>
        <v>7.0791806374485344E-2</v>
      </c>
      <c r="AJ270" s="184">
        <f t="shared" si="128"/>
        <v>2.3118335503661731</v>
      </c>
      <c r="AK270" s="184">
        <f t="shared" si="128"/>
        <v>5.8302923559813982</v>
      </c>
    </row>
    <row r="271" spans="3:37" s="180" customFormat="1" ht="19.5" customHeight="1">
      <c r="D271" s="187" t="s">
        <v>47</v>
      </c>
      <c r="E271" s="178"/>
      <c r="F271" s="178"/>
      <c r="G271" s="184">
        <f t="shared" ref="G271:Y271" si="129">MIN(G78:G112)</f>
        <v>29.876000000000005</v>
      </c>
      <c r="H271" s="522">
        <f t="shared" si="129"/>
        <v>0.55899999999999994</v>
      </c>
      <c r="I271" s="184">
        <f t="shared" si="129"/>
        <v>291.75</v>
      </c>
      <c r="J271" s="184">
        <f t="shared" si="129"/>
        <v>18.589999999999975</v>
      </c>
      <c r="K271" s="184">
        <f t="shared" si="129"/>
        <v>8.5522471190690869E-2</v>
      </c>
      <c r="L271" s="184">
        <f t="shared" si="129"/>
        <v>0</v>
      </c>
      <c r="M271" s="184">
        <f t="shared" si="129"/>
        <v>0.30482686378270885</v>
      </c>
      <c r="N271" s="184">
        <f t="shared" si="129"/>
        <v>0.570099201023059</v>
      </c>
      <c r="O271" s="184">
        <f t="shared" si="129"/>
        <v>3.3684360965799194E-2</v>
      </c>
      <c r="P271" s="184">
        <f t="shared" si="129"/>
        <v>9.3181166351349792E-2</v>
      </c>
      <c r="Q271" s="184">
        <f t="shared" si="129"/>
        <v>3.8119775902045608E-3</v>
      </c>
      <c r="R271" s="184">
        <f t="shared" si="129"/>
        <v>8.8694552451961492E-2</v>
      </c>
      <c r="S271" s="184">
        <f t="shared" si="129"/>
        <v>3.5856517156245819E-2</v>
      </c>
      <c r="T271" s="184">
        <f t="shared" si="129"/>
        <v>0</v>
      </c>
      <c r="U271" s="184">
        <f t="shared" si="129"/>
        <v>8.9074443385553218E-2</v>
      </c>
      <c r="V271" s="184">
        <f t="shared" si="129"/>
        <v>8.0317207177800623E-2</v>
      </c>
      <c r="W271" s="184">
        <f t="shared" si="129"/>
        <v>1.7431849581337622</v>
      </c>
      <c r="X271" s="522">
        <f t="shared" si="129"/>
        <v>1.1855497688550846E-2</v>
      </c>
      <c r="Y271" s="184">
        <f t="shared" si="129"/>
        <v>0.23872624749034826</v>
      </c>
      <c r="Z271" s="184"/>
      <c r="AA271" s="184">
        <f t="shared" ref="AA271:AK271" si="130">MIN(AA78:AA112)</f>
        <v>47.897418006079455</v>
      </c>
      <c r="AB271" s="184">
        <f t="shared" si="130"/>
        <v>6.7815788147632403E-3</v>
      </c>
      <c r="AC271" s="184">
        <f t="shared" si="130"/>
        <v>-0.11393553942508146</v>
      </c>
      <c r="AD271" s="184">
        <f t="shared" si="130"/>
        <v>2.7063443560911022E-2</v>
      </c>
      <c r="AE271" s="184">
        <f t="shared" si="130"/>
        <v>0.41832805319441224</v>
      </c>
      <c r="AF271" s="184">
        <f t="shared" si="130"/>
        <v>1.0371010639709195E-2</v>
      </c>
      <c r="AG271" s="184">
        <f t="shared" si="130"/>
        <v>3.0259999999999998</v>
      </c>
      <c r="AH271" s="184">
        <f t="shared" si="130"/>
        <v>33.255595896930906</v>
      </c>
      <c r="AI271" s="184">
        <f t="shared" si="130"/>
        <v>9.1504967680680824E-3</v>
      </c>
      <c r="AJ271" s="184">
        <f t="shared" si="130"/>
        <v>25.029781151560556</v>
      </c>
      <c r="AK271" s="184">
        <f t="shared" si="130"/>
        <v>-33.735499059449396</v>
      </c>
    </row>
    <row r="272" spans="3:37" s="180" customFormat="1" ht="19.5" customHeight="1">
      <c r="D272" s="179" t="s">
        <v>48</v>
      </c>
      <c r="E272" s="178"/>
      <c r="F272" s="178"/>
      <c r="G272" s="177">
        <f t="shared" ref="G272:Y272" si="131">MAX(G78:G112)</f>
        <v>220.39600000000007</v>
      </c>
      <c r="H272" s="523">
        <f t="shared" si="131"/>
        <v>0.80599999999999994</v>
      </c>
      <c r="I272" s="177">
        <f t="shared" si="131"/>
        <v>304.64999999999998</v>
      </c>
      <c r="J272" s="177">
        <f t="shared" si="131"/>
        <v>31.489999999999952</v>
      </c>
      <c r="K272" s="177">
        <f t="shared" si="131"/>
        <v>3.2250925521053033</v>
      </c>
      <c r="L272" s="177">
        <f t="shared" si="131"/>
        <v>0.21005833558964548</v>
      </c>
      <c r="M272" s="177">
        <f t="shared" si="131"/>
        <v>7.6124512414772063</v>
      </c>
      <c r="N272" s="177">
        <f t="shared" si="131"/>
        <v>22.714721202152163</v>
      </c>
      <c r="O272" s="177">
        <f t="shared" si="131"/>
        <v>3.5823520525766313</v>
      </c>
      <c r="P272" s="177">
        <f t="shared" si="131"/>
        <v>3.1349954643285693</v>
      </c>
      <c r="Q272" s="177">
        <f t="shared" si="131"/>
        <v>0.36919869319674398</v>
      </c>
      <c r="R272" s="177">
        <f t="shared" si="131"/>
        <v>9.3532809562620454</v>
      </c>
      <c r="S272" s="177">
        <f t="shared" si="131"/>
        <v>2.4055828325207673</v>
      </c>
      <c r="T272" s="177">
        <f t="shared" si="131"/>
        <v>0.21366838743145344</v>
      </c>
      <c r="U272" s="177">
        <f t="shared" si="131"/>
        <v>10.976259441584212</v>
      </c>
      <c r="V272" s="177">
        <f t="shared" si="131"/>
        <v>0.80905758090314006</v>
      </c>
      <c r="W272" s="177">
        <f t="shared" si="131"/>
        <v>45.518069161881805</v>
      </c>
      <c r="X272" s="523">
        <f t="shared" si="131"/>
        <v>0.46233012323906331</v>
      </c>
      <c r="Y272" s="177">
        <f t="shared" si="131"/>
        <v>1.696232601717897</v>
      </c>
      <c r="Z272" s="177"/>
      <c r="AA272" s="177">
        <f t="shared" ref="AA272:AK272" si="132">MAX(AA78:AA112)</f>
        <v>77.11056432957588</v>
      </c>
      <c r="AB272" s="177">
        <f t="shared" si="132"/>
        <v>0.71105058033456392</v>
      </c>
      <c r="AC272" s="177">
        <f t="shared" si="132"/>
        <v>6.0115760049177309</v>
      </c>
      <c r="AD272" s="177">
        <f t="shared" si="132"/>
        <v>0.31801261719932228</v>
      </c>
      <c r="AE272" s="177">
        <f t="shared" si="132"/>
        <v>29.130518521871085</v>
      </c>
      <c r="AF272" s="177">
        <f t="shared" si="132"/>
        <v>0.49983132266085795</v>
      </c>
      <c r="AG272" s="177">
        <f t="shared" si="132"/>
        <v>313.10000000000002</v>
      </c>
      <c r="AH272" s="177">
        <f t="shared" si="132"/>
        <v>35.065132990574121</v>
      </c>
      <c r="AI272" s="177">
        <f t="shared" si="132"/>
        <v>0.2763275066581441</v>
      </c>
      <c r="AJ272" s="177">
        <f t="shared" si="132"/>
        <v>34.505704764916118</v>
      </c>
      <c r="AK272" s="177">
        <f t="shared" si="132"/>
        <v>-4.1149934158409103</v>
      </c>
    </row>
    <row r="273" spans="1:39" s="180" customFormat="1" ht="19.5" customHeight="1">
      <c r="H273" s="536"/>
      <c r="X273" s="536"/>
    </row>
    <row r="274" spans="1:39" s="180" customFormat="1" ht="19.5" customHeight="1">
      <c r="C274" s="180">
        <v>2023</v>
      </c>
      <c r="D274" s="192" t="s">
        <v>45</v>
      </c>
      <c r="E274" s="178"/>
      <c r="F274" s="178"/>
      <c r="G274" s="191">
        <f t="shared" ref="G274:Y274" si="133">AVERAGE(G113:G125,G128:G144)</f>
        <v>104.2407222222222</v>
      </c>
      <c r="H274" s="521">
        <f t="shared" si="133"/>
        <v>0.68923333333333325</v>
      </c>
      <c r="I274" s="191">
        <f t="shared" si="133"/>
        <v>301.08566666666673</v>
      </c>
      <c r="J274" s="191">
        <f t="shared" si="133"/>
        <v>27.925666666666643</v>
      </c>
      <c r="K274" s="191">
        <f t="shared" si="133"/>
        <v>0.60807015298840716</v>
      </c>
      <c r="L274" s="191">
        <f t="shared" si="133"/>
        <v>1.86618349618871E-2</v>
      </c>
      <c r="M274" s="191">
        <f t="shared" si="133"/>
        <v>2.3203212102579687</v>
      </c>
      <c r="N274" s="191">
        <f t="shared" si="133"/>
        <v>6.6157630253456663</v>
      </c>
      <c r="O274" s="191">
        <f t="shared" si="133"/>
        <v>0.19693324190170089</v>
      </c>
      <c r="P274" s="191">
        <f t="shared" si="133"/>
        <v>1.5608368875691727</v>
      </c>
      <c r="Q274" s="191">
        <f t="shared" si="133"/>
        <v>6.841193850787243E-2</v>
      </c>
      <c r="R274" s="191">
        <f t="shared" si="133"/>
        <v>1.0864530364674543</v>
      </c>
      <c r="S274" s="191">
        <f t="shared" si="133"/>
        <v>0.54256359723670144</v>
      </c>
      <c r="T274" s="191">
        <f t="shared" si="133"/>
        <v>7.6483687556326233E-3</v>
      </c>
      <c r="U274" s="191">
        <f t="shared" si="133"/>
        <v>2.9721990499281832</v>
      </c>
      <c r="V274" s="191">
        <f t="shared" si="133"/>
        <v>0.39739751699625875</v>
      </c>
      <c r="W274" s="191">
        <f t="shared" si="133"/>
        <v>13.018014925236828</v>
      </c>
      <c r="X274" s="521">
        <f t="shared" si="133"/>
        <v>0.15463055956755958</v>
      </c>
      <c r="Y274" s="191">
        <f t="shared" si="133"/>
        <v>1.1262573739023589</v>
      </c>
      <c r="Z274" s="191"/>
      <c r="AA274" s="191">
        <f t="shared" ref="AA274:AK274" si="134">AVERAGE(AA113:AA125,AA128:AA144)</f>
        <v>71.275573247775654</v>
      </c>
      <c r="AB274" s="191">
        <f t="shared" si="134"/>
        <v>0.23645145571941414</v>
      </c>
      <c r="AC274" s="191">
        <f t="shared" si="134"/>
        <v>1.1330766608317824</v>
      </c>
      <c r="AD274" s="191">
        <f t="shared" si="134"/>
        <v>0.16576966872327728</v>
      </c>
      <c r="AE274" s="191">
        <f t="shared" si="134"/>
        <v>14.873742900987752</v>
      </c>
      <c r="AF274" s="191">
        <f t="shared" si="134"/>
        <v>0.14244868431394278</v>
      </c>
      <c r="AG274" s="191">
        <f t="shared" si="134"/>
        <v>62.117766666666654</v>
      </c>
      <c r="AH274" s="191">
        <f t="shared" si="134"/>
        <v>33.747439661127807</v>
      </c>
      <c r="AI274" s="191">
        <f t="shared" si="134"/>
        <v>7.9518599017126101E-2</v>
      </c>
      <c r="AJ274" s="191">
        <f t="shared" si="134"/>
        <v>31.037206398826925</v>
      </c>
      <c r="AK274" s="191">
        <f t="shared" si="134"/>
        <v>-16.163463497839185</v>
      </c>
    </row>
    <row r="275" spans="1:39" s="180" customFormat="1" ht="19.5" customHeight="1">
      <c r="D275" s="187" t="s">
        <v>46</v>
      </c>
      <c r="E275" s="178"/>
      <c r="F275" s="178"/>
      <c r="G275" s="184">
        <f t="shared" ref="G275:Y275" si="135">STDEV(G113:G125,G128:G144)</f>
        <v>76.703785869544546</v>
      </c>
      <c r="H275" s="522">
        <f t="shared" si="135"/>
        <v>9.4701594252807025E-2</v>
      </c>
      <c r="I275" s="184">
        <f t="shared" si="135"/>
        <v>3.8349820692233338</v>
      </c>
      <c r="J275" s="184">
        <f t="shared" si="135"/>
        <v>3.8349820692233552</v>
      </c>
      <c r="K275" s="184">
        <f t="shared" si="135"/>
        <v>0.67753306756403009</v>
      </c>
      <c r="L275" s="184">
        <f t="shared" si="135"/>
        <v>3.2082001411582503E-2</v>
      </c>
      <c r="M275" s="184">
        <f t="shared" si="135"/>
        <v>2.5193256704278708</v>
      </c>
      <c r="N275" s="184">
        <f t="shared" si="135"/>
        <v>4.1181010468318071</v>
      </c>
      <c r="O275" s="184">
        <f t="shared" si="135"/>
        <v>9.2995997287325216E-2</v>
      </c>
      <c r="P275" s="184">
        <f t="shared" si="135"/>
        <v>0.90940910738404979</v>
      </c>
      <c r="Q275" s="184">
        <f t="shared" si="135"/>
        <v>3.9833768424563092E-2</v>
      </c>
      <c r="R275" s="184">
        <f t="shared" si="135"/>
        <v>0.72070434103913417</v>
      </c>
      <c r="S275" s="184">
        <f t="shared" si="135"/>
        <v>0.41249024719816585</v>
      </c>
      <c r="T275" s="184">
        <f t="shared" si="135"/>
        <v>1.3162836252684516E-2</v>
      </c>
      <c r="U275" s="184">
        <f t="shared" si="135"/>
        <v>2.077541942113001</v>
      </c>
      <c r="V275" s="184">
        <f t="shared" si="135"/>
        <v>0.29537798929328002</v>
      </c>
      <c r="W275" s="184">
        <f t="shared" si="135"/>
        <v>8.0503011621387461</v>
      </c>
      <c r="X275" s="522">
        <f t="shared" si="135"/>
        <v>0.1221721284274052</v>
      </c>
      <c r="Y275" s="184">
        <f t="shared" si="135"/>
        <v>0.25877182212561978</v>
      </c>
      <c r="Z275" s="184"/>
      <c r="AA275" s="184">
        <f t="shared" ref="AA275:AK275" si="136">STDEV(AA113:AA125,AA128:AA144)</f>
        <v>3.5395049291223892</v>
      </c>
      <c r="AB275" s="184">
        <f t="shared" si="136"/>
        <v>0.13205215210415419</v>
      </c>
      <c r="AC275" s="184">
        <f t="shared" si="136"/>
        <v>0.99049496199843368</v>
      </c>
      <c r="AD275" s="184">
        <f t="shared" si="136"/>
        <v>8.1176572447689013E-2</v>
      </c>
      <c r="AE275" s="184">
        <f t="shared" si="136"/>
        <v>4.1211422811453406</v>
      </c>
      <c r="AF275" s="184">
        <f t="shared" si="136"/>
        <v>4.3091960605965464E-2</v>
      </c>
      <c r="AG275" s="184">
        <f t="shared" si="136"/>
        <v>86.191081681096648</v>
      </c>
      <c r="AH275" s="184">
        <f t="shared" si="136"/>
        <v>0.5351800370377181</v>
      </c>
      <c r="AI275" s="184">
        <f t="shared" si="136"/>
        <v>0.11849703907277319</v>
      </c>
      <c r="AJ275" s="184">
        <f t="shared" si="136"/>
        <v>3.8443909991604888</v>
      </c>
      <c r="AK275" s="184">
        <f t="shared" si="136"/>
        <v>5.6390798378422504</v>
      </c>
    </row>
    <row r="276" spans="1:39" s="180" customFormat="1" ht="19.5" customHeight="1">
      <c r="D276" s="187" t="s">
        <v>47</v>
      </c>
      <c r="E276" s="178"/>
      <c r="F276" s="178"/>
      <c r="G276" s="184">
        <f t="shared" ref="G276:Y276" si="137">MIN(G113:G125,G128:G144)</f>
        <v>24.166666666666668</v>
      </c>
      <c r="H276" s="522">
        <f t="shared" si="137"/>
        <v>0.498</v>
      </c>
      <c r="I276" s="184">
        <f t="shared" si="137"/>
        <v>289.64999999999998</v>
      </c>
      <c r="J276" s="184">
        <f t="shared" si="137"/>
        <v>16.489999999999952</v>
      </c>
      <c r="K276" s="184">
        <f t="shared" si="137"/>
        <v>3.7139516237370801E-2</v>
      </c>
      <c r="L276" s="184">
        <f t="shared" si="137"/>
        <v>0</v>
      </c>
      <c r="M276" s="184">
        <f t="shared" si="137"/>
        <v>0.28380577037023219</v>
      </c>
      <c r="N276" s="184">
        <f t="shared" si="137"/>
        <v>0.69862468936930955</v>
      </c>
      <c r="O276" s="184">
        <f t="shared" si="137"/>
        <v>7.5780645966029722E-2</v>
      </c>
      <c r="P276" s="184">
        <f t="shared" si="137"/>
        <v>0.28880665967189156</v>
      </c>
      <c r="Q276" s="184">
        <f t="shared" si="137"/>
        <v>1.8265417339139868E-2</v>
      </c>
      <c r="R276" s="184">
        <f t="shared" si="137"/>
        <v>0.10070790635647306</v>
      </c>
      <c r="S276" s="184">
        <f t="shared" si="137"/>
        <v>0.10040723107212521</v>
      </c>
      <c r="T276" s="184">
        <f t="shared" si="137"/>
        <v>0</v>
      </c>
      <c r="U276" s="184">
        <f t="shared" si="137"/>
        <v>0.4665758094510159</v>
      </c>
      <c r="V276" s="184">
        <f t="shared" si="137"/>
        <v>6.5268723428102096E-2</v>
      </c>
      <c r="W276" s="184">
        <f t="shared" si="137"/>
        <v>2.7928189894273232</v>
      </c>
      <c r="X276" s="522">
        <f t="shared" si="137"/>
        <v>4.2560251406705052E-2</v>
      </c>
      <c r="Y276" s="184">
        <f t="shared" si="137"/>
        <v>0.76266338659376531</v>
      </c>
      <c r="Z276" s="184"/>
      <c r="AA276" s="184">
        <f t="shared" ref="AA276:AK276" si="138">MIN(AA113:AA125,AA128:AA144)</f>
        <v>65.913381075843986</v>
      </c>
      <c r="AB276" s="184">
        <f t="shared" si="138"/>
        <v>8.3026007566974237E-3</v>
      </c>
      <c r="AC276" s="184">
        <f t="shared" si="138"/>
        <v>-0.81264446840860405</v>
      </c>
      <c r="AD276" s="184">
        <f t="shared" si="138"/>
        <v>6.667010024696661E-2</v>
      </c>
      <c r="AE276" s="184">
        <f t="shared" si="138"/>
        <v>2.5369711195361702</v>
      </c>
      <c r="AF276" s="184">
        <f t="shared" si="138"/>
        <v>5.3777518525457556E-2</v>
      </c>
      <c r="AG276" s="184">
        <f t="shared" si="138"/>
        <v>1.984</v>
      </c>
      <c r="AH276" s="184">
        <f t="shared" si="138"/>
        <v>32.988679243437147</v>
      </c>
      <c r="AI276" s="184">
        <f t="shared" si="138"/>
        <v>3.9640277944210273E-4</v>
      </c>
      <c r="AJ276" s="184">
        <f t="shared" si="138"/>
        <v>20.330480294787982</v>
      </c>
      <c r="AK276" s="184">
        <f t="shared" si="138"/>
        <v>-30.811106077568866</v>
      </c>
    </row>
    <row r="277" spans="1:39" s="180" customFormat="1" ht="19.5" customHeight="1">
      <c r="D277" s="179" t="s">
        <v>48</v>
      </c>
      <c r="E277" s="178"/>
      <c r="F277" s="178"/>
      <c r="G277" s="177">
        <f t="shared" ref="G277:Y277" si="139">MAX(G113:G125,G128:G144)</f>
        <v>321.048</v>
      </c>
      <c r="H277" s="523">
        <f t="shared" si="139"/>
        <v>0.91200000000000003</v>
      </c>
      <c r="I277" s="177">
        <f t="shared" si="139"/>
        <v>306.64999999999998</v>
      </c>
      <c r="J277" s="177">
        <f t="shared" si="139"/>
        <v>33.489999999999952</v>
      </c>
      <c r="K277" s="177">
        <f t="shared" si="139"/>
        <v>3.2117538469906846</v>
      </c>
      <c r="L277" s="177">
        <f t="shared" si="139"/>
        <v>0.1536541582625619</v>
      </c>
      <c r="M277" s="177">
        <f t="shared" si="139"/>
        <v>10.141524927215677</v>
      </c>
      <c r="N277" s="177">
        <f t="shared" si="139"/>
        <v>17.48444289984479</v>
      </c>
      <c r="O277" s="177">
        <f t="shared" si="139"/>
        <v>0.39478060385991398</v>
      </c>
      <c r="P277" s="177">
        <f t="shared" si="139"/>
        <v>3.4960628851144135</v>
      </c>
      <c r="Q277" s="177">
        <f t="shared" si="139"/>
        <v>0.14667101327111748</v>
      </c>
      <c r="R277" s="177">
        <f t="shared" si="139"/>
        <v>2.80867599581949</v>
      </c>
      <c r="S277" s="177">
        <f t="shared" si="139"/>
        <v>1.5527832310172047</v>
      </c>
      <c r="T277" s="177">
        <f t="shared" si="139"/>
        <v>5.619571346764992E-2</v>
      </c>
      <c r="U277" s="177">
        <f t="shared" si="139"/>
        <v>8.380083084220697</v>
      </c>
      <c r="V277" s="177">
        <f t="shared" si="139"/>
        <v>1.1677175384798368</v>
      </c>
      <c r="W277" s="177">
        <f t="shared" si="139"/>
        <v>36.88848329309824</v>
      </c>
      <c r="X277" s="523">
        <f t="shared" si="139"/>
        <v>0.66924160242331054</v>
      </c>
      <c r="Y277" s="177">
        <f t="shared" si="139"/>
        <v>1.9454984962411486</v>
      </c>
      <c r="Z277" s="177"/>
      <c r="AA277" s="177">
        <f t="shared" ref="AA277:AK277" si="140">MAX(AA113:AA125,AA128:AA144)</f>
        <v>78.73780833251918</v>
      </c>
      <c r="AB277" s="177">
        <f t="shared" si="140"/>
        <v>0.45832815937816285</v>
      </c>
      <c r="AC277" s="177">
        <f t="shared" si="140"/>
        <v>2.0108329574106985</v>
      </c>
      <c r="AD277" s="177">
        <f t="shared" si="140"/>
        <v>0.36593569206438142</v>
      </c>
      <c r="AE277" s="177">
        <f t="shared" si="140"/>
        <v>24.180939873001932</v>
      </c>
      <c r="AF277" s="177">
        <f t="shared" si="140"/>
        <v>0.2298306385424897</v>
      </c>
      <c r="AG277" s="177">
        <f t="shared" si="140"/>
        <v>453.4</v>
      </c>
      <c r="AH277" s="177">
        <f t="shared" si="140"/>
        <v>35.374963887450377</v>
      </c>
      <c r="AI277" s="177">
        <f t="shared" si="140"/>
        <v>0.39654311254372604</v>
      </c>
      <c r="AJ277" s="177">
        <f t="shared" si="140"/>
        <v>34.320846847429905</v>
      </c>
      <c r="AK277" s="177">
        <f t="shared" si="140"/>
        <v>-1.9235079754195965</v>
      </c>
    </row>
    <row r="278" spans="1:39" s="180" customFormat="1" ht="19.5" customHeight="1">
      <c r="D278" s="178"/>
      <c r="E278" s="178"/>
      <c r="F278" s="183"/>
      <c r="G278" s="183"/>
      <c r="H278" s="170"/>
      <c r="I278" s="183"/>
      <c r="J278" s="227"/>
      <c r="K278" s="185">
        <f t="shared" ref="K278:S278" si="141">SUM(K$120:K$126)/SUM($G$120:$G$126)</f>
        <v>8.7362084605802064E-3</v>
      </c>
      <c r="L278" s="185">
        <f t="shared" si="141"/>
        <v>1.8602221138972505E-4</v>
      </c>
      <c r="M278" s="185">
        <f t="shared" si="141"/>
        <v>1.8465029477453293E-2</v>
      </c>
      <c r="N278" s="185">
        <f t="shared" si="141"/>
        <v>5.8938844504294451E-2</v>
      </c>
      <c r="O278" s="185">
        <f t="shared" si="141"/>
        <v>2.2640819600491637E-3</v>
      </c>
      <c r="P278" s="185">
        <f t="shared" si="141"/>
        <v>1.233818939326649E-2</v>
      </c>
      <c r="Q278" s="185">
        <f t="shared" si="141"/>
        <v>7.7272528280542061E-4</v>
      </c>
      <c r="R278" s="185">
        <f t="shared" si="141"/>
        <v>1.3932686608022094E-2</v>
      </c>
      <c r="S278" s="185">
        <f t="shared" si="141"/>
        <v>7.339693853054793E-3</v>
      </c>
      <c r="T278" s="186"/>
      <c r="U278" s="185"/>
      <c r="V278" s="198"/>
      <c r="W278" s="195">
        <f>SUM(K278:S278)</f>
        <v>0.12297348175091563</v>
      </c>
      <c r="X278" s="269"/>
      <c r="Y278" s="183"/>
      <c r="Z278" s="183"/>
      <c r="AA278" s="183"/>
      <c r="AB278" s="183"/>
      <c r="AC278" s="183"/>
      <c r="AD278" s="183"/>
    </row>
    <row r="279" spans="1:39" s="180" customFormat="1" ht="19.5" customHeight="1">
      <c r="J279" s="202"/>
      <c r="T279" s="193"/>
      <c r="AA279" s="221" t="s">
        <v>52</v>
      </c>
      <c r="AB279" s="211"/>
      <c r="AC279" s="211"/>
      <c r="AD279" s="211"/>
      <c r="AE279" s="258" t="s">
        <v>40</v>
      </c>
      <c r="AF279" s="240"/>
    </row>
    <row r="280" spans="1:39" s="180" customFormat="1" ht="19.5" customHeight="1">
      <c r="A280" s="171"/>
      <c r="B280" s="260"/>
      <c r="C280" s="260"/>
      <c r="D280" s="171"/>
      <c r="E280" s="171"/>
      <c r="F280" s="171"/>
      <c r="G280" s="268" t="s">
        <v>83</v>
      </c>
      <c r="H280" s="235" t="s">
        <v>84</v>
      </c>
      <c r="I280" s="257" t="s">
        <v>85</v>
      </c>
      <c r="J280" s="235" t="s">
        <v>86</v>
      </c>
      <c r="K280" s="221" t="s">
        <v>32</v>
      </c>
      <c r="L280" s="220" t="s">
        <v>33</v>
      </c>
      <c r="M280" s="219" t="s">
        <v>87</v>
      </c>
      <c r="N280" s="218" t="s">
        <v>88</v>
      </c>
      <c r="O280" s="217" t="s">
        <v>39</v>
      </c>
      <c r="P280" s="217" t="s">
        <v>40</v>
      </c>
      <c r="Q280" s="217" t="s">
        <v>41</v>
      </c>
      <c r="R280" s="217" t="s">
        <v>42</v>
      </c>
      <c r="S280" s="216" t="s">
        <v>43</v>
      </c>
      <c r="T280" s="214" t="s">
        <v>37</v>
      </c>
      <c r="U280" s="267" t="s">
        <v>89</v>
      </c>
      <c r="V280" s="267" t="s">
        <v>90</v>
      </c>
      <c r="W280" s="214" t="s">
        <v>91</v>
      </c>
      <c r="X280" s="214" t="s">
        <v>92</v>
      </c>
      <c r="Y280" s="213" t="s">
        <v>44</v>
      </c>
      <c r="Z280" s="171"/>
      <c r="AA280" s="234" t="s">
        <v>55</v>
      </c>
      <c r="AB280" s="233"/>
      <c r="AC280" s="234" t="s">
        <v>56</v>
      </c>
      <c r="AD280" s="233"/>
      <c r="AE280" s="232" t="s">
        <v>56</v>
      </c>
      <c r="AF280" s="231" t="s">
        <v>46</v>
      </c>
      <c r="AG280" s="256" t="s">
        <v>93</v>
      </c>
      <c r="AH280" s="229" t="s">
        <v>94</v>
      </c>
      <c r="AI280" s="230" t="s">
        <v>95</v>
      </c>
      <c r="AJ280" s="229" t="s">
        <v>96</v>
      </c>
      <c r="AK280" s="228" t="s">
        <v>97</v>
      </c>
      <c r="AL280" s="260"/>
      <c r="AM280" s="171"/>
    </row>
    <row r="281" spans="1:39" s="180" customFormat="1" ht="19.5" customHeight="1">
      <c r="B281" s="266" t="s">
        <v>236</v>
      </c>
      <c r="C281" s="262">
        <v>44119</v>
      </c>
      <c r="D281" s="265" t="s">
        <v>45</v>
      </c>
      <c r="E281" s="264"/>
      <c r="F281" s="264"/>
      <c r="G281" s="263">
        <f>AVERAGE(G48:G63)</f>
        <v>172.38576388888893</v>
      </c>
      <c r="H281" s="515">
        <f t="shared" ref="H281:AK281" si="142">AVERAGE(H48:H63)</f>
        <v>0.50583333333333336</v>
      </c>
      <c r="I281" s="263">
        <f t="shared" si="142"/>
        <v>293.33333333333331</v>
      </c>
      <c r="J281" s="263">
        <f t="shared" si="142"/>
        <v>20.173333333333307</v>
      </c>
      <c r="K281" s="263">
        <f>AVERAGE(K48:K63)</f>
        <v>0.90397932735215358</v>
      </c>
      <c r="L281" s="263">
        <f t="shared" si="142"/>
        <v>0.10153895162798972</v>
      </c>
      <c r="M281" s="263">
        <f t="shared" si="142"/>
        <v>5.5492159711322744</v>
      </c>
      <c r="N281" s="263">
        <f t="shared" si="142"/>
        <v>14.247603854190089</v>
      </c>
      <c r="O281" s="263">
        <f t="shared" si="142"/>
        <v>0.399876423051092</v>
      </c>
      <c r="P281" s="263">
        <f t="shared" si="142"/>
        <v>4.1672689126928351</v>
      </c>
      <c r="Q281" s="263">
        <f t="shared" si="142"/>
        <v>0.1699104809645022</v>
      </c>
      <c r="R281" s="263">
        <f t="shared" si="142"/>
        <v>3.6530280445145915</v>
      </c>
      <c r="S281" s="263">
        <f t="shared" si="142"/>
        <v>1.4103525820025087</v>
      </c>
      <c r="T281" s="515">
        <f t="shared" si="142"/>
        <v>5.7035161641232596E-2</v>
      </c>
      <c r="U281" s="263">
        <f t="shared" si="142"/>
        <v>2.7719654214571601</v>
      </c>
      <c r="V281" s="263">
        <f t="shared" si="142"/>
        <v>0.46591227580761602</v>
      </c>
      <c r="W281" s="263">
        <f t="shared" si="142"/>
        <v>30.602774547528039</v>
      </c>
      <c r="X281" s="515">
        <f t="shared" si="142"/>
        <v>0.17517674558362359</v>
      </c>
      <c r="Y281" s="263">
        <f t="shared" si="142"/>
        <v>0.83322278340629607</v>
      </c>
      <c r="Z281" s="263"/>
      <c r="AA281" s="263">
        <f t="shared" si="142"/>
        <v>67.907989790517448</v>
      </c>
      <c r="AB281" s="263">
        <f t="shared" si="142"/>
        <v>0.45833804495521058</v>
      </c>
      <c r="AC281" s="263">
        <f t="shared" si="142"/>
        <v>0.81498421418439193</v>
      </c>
      <c r="AD281" s="263">
        <f t="shared" si="142"/>
        <v>0.31225299144585339</v>
      </c>
      <c r="AE281" s="263">
        <f t="shared" si="142"/>
        <v>15.592698062638517</v>
      </c>
      <c r="AF281" s="263">
        <f t="shared" si="142"/>
        <v>0.27967641149491929</v>
      </c>
      <c r="AG281" s="263">
        <f t="shared" si="142"/>
        <v>143.58833333333334</v>
      </c>
      <c r="AH281" s="263">
        <f t="shared" si="142"/>
        <v>34.760708483928262</v>
      </c>
      <c r="AI281" s="263">
        <f t="shared" si="142"/>
        <v>3.2498313364175087E-2</v>
      </c>
      <c r="AJ281" s="263">
        <f t="shared" si="142"/>
        <v>33.624645703993735</v>
      </c>
      <c r="AK281" s="263">
        <f t="shared" si="142"/>
        <v>-17.962181499646544</v>
      </c>
      <c r="AL281" s="266" t="s">
        <v>236</v>
      </c>
      <c r="AM281" s="171"/>
    </row>
    <row r="282" spans="1:39" s="180" customFormat="1" ht="19.5" customHeight="1">
      <c r="B282" s="260"/>
      <c r="C282" s="262">
        <v>44239</v>
      </c>
      <c r="D282" s="187" t="s">
        <v>46</v>
      </c>
      <c r="E282" s="178"/>
      <c r="F282" s="178"/>
      <c r="G282" s="199">
        <f t="shared" ref="G282:AK282" si="143">STDEV(G31:G36)</f>
        <v>18.988190758117703</v>
      </c>
      <c r="H282" s="516">
        <f t="shared" si="143"/>
        <v>8.1203512341934236E-2</v>
      </c>
      <c r="I282" s="199">
        <f t="shared" si="143"/>
        <v>1.3468169016662239</v>
      </c>
      <c r="J282" s="199">
        <f t="shared" si="143"/>
        <v>1.3468169016662239</v>
      </c>
      <c r="K282" s="199">
        <f t="shared" si="143"/>
        <v>0.44530445017349801</v>
      </c>
      <c r="L282" s="199">
        <f t="shared" si="143"/>
        <v>0.27911858155857211</v>
      </c>
      <c r="M282" s="199">
        <f t="shared" si="143"/>
        <v>0.48374773987817316</v>
      </c>
      <c r="N282" s="199">
        <f t="shared" si="143"/>
        <v>4.9207834944529445</v>
      </c>
      <c r="O282" s="199">
        <f t="shared" si="143"/>
        <v>9.978328430887784E-2</v>
      </c>
      <c r="P282" s="199">
        <f t="shared" si="143"/>
        <v>1.0259129575614001</v>
      </c>
      <c r="Q282" s="199">
        <f t="shared" si="143"/>
        <v>4.0110738619345776E-2</v>
      </c>
      <c r="R282" s="199">
        <f t="shared" si="143"/>
        <v>1.0784634323978703</v>
      </c>
      <c r="S282" s="199">
        <f t="shared" si="143"/>
        <v>0.23885060484251161</v>
      </c>
      <c r="T282" s="516">
        <f t="shared" si="143"/>
        <v>0.60010652499365957</v>
      </c>
      <c r="U282" s="199">
        <f t="shared" si="143"/>
        <v>2.0372644886090598</v>
      </c>
      <c r="V282" s="199">
        <f t="shared" si="143"/>
        <v>0.17896412235228262</v>
      </c>
      <c r="W282" s="199">
        <f t="shared" si="143"/>
        <v>7.4197312998492357</v>
      </c>
      <c r="X282" s="516">
        <f t="shared" si="143"/>
        <v>0.26467895852249995</v>
      </c>
      <c r="Y282" s="199">
        <f t="shared" si="143"/>
        <v>0.17303321054161125</v>
      </c>
      <c r="Z282" s="199"/>
      <c r="AA282" s="199">
        <f t="shared" si="143"/>
        <v>24.401409424150923</v>
      </c>
      <c r="AB282" s="199"/>
      <c r="AC282" s="199">
        <f t="shared" si="143"/>
        <v>3.9117352858613632</v>
      </c>
      <c r="AD282" s="199"/>
      <c r="AE282" s="199">
        <f t="shared" si="143"/>
        <v>4.7815534971153975</v>
      </c>
      <c r="AF282" s="199"/>
      <c r="AG282" s="199">
        <f t="shared" si="143"/>
        <v>55.585549920820249</v>
      </c>
      <c r="AH282" s="199">
        <f t="shared" si="143"/>
        <v>0.18699286974076146</v>
      </c>
      <c r="AI282" s="199">
        <f t="shared" si="143"/>
        <v>7.289367674328179E-3</v>
      </c>
      <c r="AJ282" s="199">
        <f t="shared" si="143"/>
        <v>0.28903104912571198</v>
      </c>
      <c r="AK282" s="199">
        <f t="shared" si="143"/>
        <v>4.6079741905472211</v>
      </c>
      <c r="AL282" s="260"/>
      <c r="AM282" s="171"/>
    </row>
    <row r="283" spans="1:39" s="180" customFormat="1" ht="19.5" customHeight="1">
      <c r="B283" s="260"/>
      <c r="C283" s="514" t="s">
        <v>233</v>
      </c>
      <c r="D283" s="187" t="s">
        <v>47</v>
      </c>
      <c r="E283" s="178"/>
      <c r="F283" s="178"/>
      <c r="G283" s="202">
        <f>MIN(G48:G63)</f>
        <v>40.816000000000003</v>
      </c>
      <c r="H283" s="516">
        <f t="shared" ref="H283:AK283" si="144">MIN(H48:H63)</f>
        <v>0.34</v>
      </c>
      <c r="I283" s="202">
        <f t="shared" si="144"/>
        <v>290</v>
      </c>
      <c r="J283" s="202">
        <f t="shared" si="144"/>
        <v>16.839999999999975</v>
      </c>
      <c r="K283" s="202">
        <f t="shared" si="144"/>
        <v>0.29107348140112105</v>
      </c>
      <c r="L283" s="202">
        <f t="shared" si="144"/>
        <v>0</v>
      </c>
      <c r="M283" s="202">
        <f t="shared" si="144"/>
        <v>0.3112724089062105</v>
      </c>
      <c r="N283" s="202">
        <f t="shared" si="144"/>
        <v>0.96359825971866941</v>
      </c>
      <c r="O283" s="202">
        <f t="shared" si="144"/>
        <v>0.11728557872337395</v>
      </c>
      <c r="P283" s="202">
        <f t="shared" si="144"/>
        <v>0.18526780874898535</v>
      </c>
      <c r="Q283" s="202">
        <f t="shared" si="144"/>
        <v>1.5166792934415755E-2</v>
      </c>
      <c r="R283" s="202">
        <f t="shared" si="144"/>
        <v>0.57744176960777294</v>
      </c>
      <c r="S283" s="202">
        <f t="shared" si="144"/>
        <v>0.14842014591633951</v>
      </c>
      <c r="T283" s="516">
        <f t="shared" si="144"/>
        <v>0</v>
      </c>
      <c r="U283" s="202">
        <f t="shared" si="144"/>
        <v>0.98246197283855752</v>
      </c>
      <c r="V283" s="202">
        <f t="shared" si="144"/>
        <v>0.11376316381941662</v>
      </c>
      <c r="W283" s="202">
        <f t="shared" si="144"/>
        <v>2.8322253020909995</v>
      </c>
      <c r="X283" s="516">
        <f t="shared" si="144"/>
        <v>2.6498122282951602E-2</v>
      </c>
      <c r="Y283" s="202">
        <f t="shared" si="144"/>
        <v>0.68055787268408263</v>
      </c>
      <c r="Z283" s="202"/>
      <c r="AA283" s="202">
        <f t="shared" si="144"/>
        <v>44.586360197820262</v>
      </c>
      <c r="AB283" s="202"/>
      <c r="AC283" s="202">
        <f t="shared" si="144"/>
        <v>-2.0968695142121443</v>
      </c>
      <c r="AD283" s="202"/>
      <c r="AE283" s="202">
        <f t="shared" si="144"/>
        <v>6.534853461650183</v>
      </c>
      <c r="AF283" s="202"/>
      <c r="AG283" s="202">
        <f t="shared" si="144"/>
        <v>18.18</v>
      </c>
      <c r="AH283" s="202">
        <f t="shared" si="144"/>
        <v>33.478454785478547</v>
      </c>
      <c r="AI283" s="202">
        <f t="shared" si="144"/>
        <v>1.0036716227051648E-2</v>
      </c>
      <c r="AJ283" s="202">
        <f t="shared" si="144"/>
        <v>31.765762693068851</v>
      </c>
      <c r="AK283" s="202">
        <f t="shared" si="144"/>
        <v>-26.605872518400719</v>
      </c>
      <c r="AL283" s="260"/>
      <c r="AM283" s="171"/>
    </row>
    <row r="284" spans="1:39" s="180" customFormat="1" ht="19.5" customHeight="1">
      <c r="B284" s="260"/>
      <c r="C284" s="260"/>
      <c r="D284" s="179" t="s">
        <v>48</v>
      </c>
      <c r="E284" s="178"/>
      <c r="F284" s="178"/>
      <c r="G284" s="223">
        <f>MAX(G48:G63)</f>
        <v>326.25599999999997</v>
      </c>
      <c r="H284" s="517">
        <f t="shared" ref="H284:AK284" si="145">MAX(H48:H63)</f>
        <v>0.73</v>
      </c>
      <c r="I284" s="223">
        <f t="shared" si="145"/>
        <v>303</v>
      </c>
      <c r="J284" s="223">
        <f t="shared" si="145"/>
        <v>29.839999999999975</v>
      </c>
      <c r="K284" s="223">
        <f t="shared" si="145"/>
        <v>2.2725804550515551</v>
      </c>
      <c r="L284" s="223">
        <f t="shared" si="145"/>
        <v>0.2406260440252953</v>
      </c>
      <c r="M284" s="223">
        <f t="shared" si="145"/>
        <v>12.844233220778278</v>
      </c>
      <c r="N284" s="223">
        <f t="shared" si="145"/>
        <v>46.148283683906705</v>
      </c>
      <c r="O284" s="223">
        <f t="shared" si="145"/>
        <v>1.2393293233990701</v>
      </c>
      <c r="P284" s="223">
        <f t="shared" si="145"/>
        <v>8.5055069475988798</v>
      </c>
      <c r="Q284" s="223">
        <f t="shared" si="145"/>
        <v>0.54332211531117702</v>
      </c>
      <c r="R284" s="223">
        <f t="shared" si="145"/>
        <v>11.562099383929253</v>
      </c>
      <c r="S284" s="223">
        <f t="shared" si="145"/>
        <v>4.2053042647081664</v>
      </c>
      <c r="T284" s="517">
        <f t="shared" si="145"/>
        <v>0.33749828425543899</v>
      </c>
      <c r="U284" s="223">
        <f t="shared" si="145"/>
        <v>5.1983522465132355</v>
      </c>
      <c r="V284" s="223">
        <f t="shared" si="145"/>
        <v>0.9840785488292989</v>
      </c>
      <c r="W284" s="223">
        <f t="shared" si="145"/>
        <v>74.682248821925327</v>
      </c>
      <c r="X284" s="517">
        <f t="shared" si="145"/>
        <v>0.36077819097992381</v>
      </c>
      <c r="Y284" s="223">
        <f t="shared" si="145"/>
        <v>1.0002637140824575</v>
      </c>
      <c r="Z284" s="223"/>
      <c r="AA284" s="223">
        <f t="shared" si="145"/>
        <v>75.971780136905622</v>
      </c>
      <c r="AB284" s="223"/>
      <c r="AC284" s="223">
        <f t="shared" si="145"/>
        <v>2.61667896695963</v>
      </c>
      <c r="AD284" s="223"/>
      <c r="AE284" s="223">
        <f t="shared" si="145"/>
        <v>20.661420725419728</v>
      </c>
      <c r="AF284" s="223"/>
      <c r="AG284" s="223">
        <f t="shared" si="145"/>
        <v>352.5</v>
      </c>
      <c r="AH284" s="223">
        <f t="shared" si="145"/>
        <v>35.323013793103449</v>
      </c>
      <c r="AI284" s="223">
        <f t="shared" si="145"/>
        <v>8.5563739965458005E-2</v>
      </c>
      <c r="AJ284" s="223">
        <f t="shared" si="145"/>
        <v>34.562373911147397</v>
      </c>
      <c r="AK284" s="223">
        <f t="shared" si="145"/>
        <v>-11.104341967649123</v>
      </c>
      <c r="AL284" s="260"/>
      <c r="AM284" s="171"/>
    </row>
    <row r="285" spans="1:39" s="180" customFormat="1" ht="19.5" customHeight="1">
      <c r="B285" s="266" t="s">
        <v>237</v>
      </c>
      <c r="C285" s="262">
        <v>44484</v>
      </c>
      <c r="D285" s="265" t="s">
        <v>45</v>
      </c>
      <c r="E285" s="264"/>
      <c r="F285" s="264"/>
      <c r="G285" s="263">
        <f>AVERAGE(G68:G83)</f>
        <v>138.74710576923076</v>
      </c>
      <c r="H285" s="515">
        <f t="shared" ref="H285:AK285" si="146">AVERAGE(H68:H83)</f>
        <v>0.65699999999999992</v>
      </c>
      <c r="I285" s="263">
        <f t="shared" si="146"/>
        <v>296.8</v>
      </c>
      <c r="J285" s="263">
        <f t="shared" si="146"/>
        <v>23.639999999999951</v>
      </c>
      <c r="K285" s="263">
        <f t="shared" si="146"/>
        <v>0.28567120549903358</v>
      </c>
      <c r="L285" s="263">
        <f t="shared" si="146"/>
        <v>4.0371005937823737E-2</v>
      </c>
      <c r="M285" s="263">
        <f t="shared" si="146"/>
        <v>0.74820641150903899</v>
      </c>
      <c r="N285" s="263">
        <f t="shared" si="146"/>
        <v>3.8893943170177452</v>
      </c>
      <c r="O285" s="263">
        <f t="shared" si="146"/>
        <v>0.13576319724411864</v>
      </c>
      <c r="P285" s="263">
        <f>AVERAGE(P68:P83)</f>
        <v>0.62778041835904985</v>
      </c>
      <c r="Q285" s="263">
        <f t="shared" si="146"/>
        <v>3.7824558162888433E-2</v>
      </c>
      <c r="R285" s="263">
        <f t="shared" si="146"/>
        <v>1.2071337731074869</v>
      </c>
      <c r="S285" s="263">
        <f t="shared" si="146"/>
        <v>0.25113016710151198</v>
      </c>
      <c r="T285" s="515">
        <f t="shared" si="146"/>
        <v>5.761532726951768E-2</v>
      </c>
      <c r="U285" s="263">
        <f t="shared" si="146"/>
        <v>2.572613221408</v>
      </c>
      <c r="V285" s="263">
        <f t="shared" si="146"/>
        <v>0.23776819064890187</v>
      </c>
      <c r="W285" s="263">
        <f t="shared" si="146"/>
        <v>7.2232750539386954</v>
      </c>
      <c r="X285" s="515">
        <f t="shared" si="146"/>
        <v>5.909318154763258E-2</v>
      </c>
      <c r="Y285" s="263">
        <f t="shared" si="146"/>
        <v>0.93696452094330795</v>
      </c>
      <c r="Z285" s="263"/>
      <c r="AA285" s="263">
        <f t="shared" si="146"/>
        <v>61.437274138042021</v>
      </c>
      <c r="AB285" s="263">
        <f t="shared" si="146"/>
        <v>0.20664308984139887</v>
      </c>
      <c r="AC285" s="263">
        <f t="shared" si="146"/>
        <v>3.2563240088866903</v>
      </c>
      <c r="AD285" s="263">
        <f t="shared" si="146"/>
        <v>0.17647423990291733</v>
      </c>
      <c r="AE285" s="263">
        <f t="shared" si="146"/>
        <v>13.832870516854722</v>
      </c>
      <c r="AF285" s="263">
        <f t="shared" si="146"/>
        <v>0.13395182659171362</v>
      </c>
      <c r="AG285" s="263">
        <f t="shared" si="146"/>
        <v>27.437875000000005</v>
      </c>
      <c r="AH285" s="263">
        <f t="shared" si="146"/>
        <v>34.343282054004518</v>
      </c>
      <c r="AI285" s="263">
        <f t="shared" si="146"/>
        <v>4.7106806683855119E-2</v>
      </c>
      <c r="AJ285" s="263">
        <f t="shared" si="146"/>
        <v>32.715887174170462</v>
      </c>
      <c r="AK285" s="263">
        <f t="shared" si="146"/>
        <v>-18.883016657315739</v>
      </c>
      <c r="AL285" s="266" t="s">
        <v>237</v>
      </c>
      <c r="AM285" s="171"/>
    </row>
    <row r="286" spans="1:39" s="180" customFormat="1" ht="19.5" customHeight="1">
      <c r="B286" s="260"/>
      <c r="C286" s="262">
        <v>44605</v>
      </c>
      <c r="D286" s="187" t="s">
        <v>46</v>
      </c>
      <c r="E286" s="178"/>
      <c r="F286" s="178"/>
      <c r="G286" s="199">
        <f>STDEV(G68:G83)</f>
        <v>45.976532069334908</v>
      </c>
      <c r="H286" s="516">
        <f t="shared" ref="H286:AK286" si="147">STDEV(H68:H83)</f>
        <v>4.7445407224163093E-2</v>
      </c>
      <c r="I286" s="199">
        <f t="shared" si="147"/>
        <v>3.443641483468725</v>
      </c>
      <c r="J286" s="199">
        <f t="shared" si="147"/>
        <v>3.4436414834687326</v>
      </c>
      <c r="K286" s="199">
        <f t="shared" si="147"/>
        <v>0.21796826053371651</v>
      </c>
      <c r="L286" s="199">
        <f t="shared" si="147"/>
        <v>5.5436185183340411E-2</v>
      </c>
      <c r="M286" s="199">
        <f t="shared" si="147"/>
        <v>0.57818387855918973</v>
      </c>
      <c r="N286" s="199">
        <f t="shared" si="147"/>
        <v>2.606561274550943</v>
      </c>
      <c r="O286" s="199">
        <f t="shared" si="147"/>
        <v>5.9058030388553652E-2</v>
      </c>
      <c r="P286" s="199">
        <f t="shared" si="147"/>
        <v>0.53283381953377085</v>
      </c>
      <c r="Q286" s="199">
        <f t="shared" si="147"/>
        <v>1.8793518817752302E-2</v>
      </c>
      <c r="R286" s="199">
        <f t="shared" si="147"/>
        <v>0.57668898113965184</v>
      </c>
      <c r="S286" s="199">
        <f t="shared" si="147"/>
        <v>0.19154677976603271</v>
      </c>
      <c r="T286" s="516">
        <f t="shared" si="147"/>
        <v>8.2106596941809315E-2</v>
      </c>
      <c r="U286" s="199">
        <f t="shared" si="147"/>
        <v>2.4087089728030833</v>
      </c>
      <c r="V286" s="199">
        <f t="shared" si="147"/>
        <v>0.17140692987480236</v>
      </c>
      <c r="W286" s="199">
        <f t="shared" si="147"/>
        <v>4.0005434796215233</v>
      </c>
      <c r="X286" s="516">
        <f t="shared" si="147"/>
        <v>3.9447145903557579E-2</v>
      </c>
      <c r="Y286" s="199">
        <f t="shared" si="147"/>
        <v>0.29468204813230126</v>
      </c>
      <c r="Z286" s="199"/>
      <c r="AA286" s="199">
        <f t="shared" si="147"/>
        <v>7.9014115533044755</v>
      </c>
      <c r="AB286" s="199"/>
      <c r="AC286" s="199">
        <f t="shared" si="147"/>
        <v>2.106655225775464</v>
      </c>
      <c r="AD286" s="199"/>
      <c r="AE286" s="199">
        <f t="shared" si="147"/>
        <v>6.7734603058058944</v>
      </c>
      <c r="AF286" s="199"/>
      <c r="AG286" s="199">
        <f t="shared" si="147"/>
        <v>24.567415715061813</v>
      </c>
      <c r="AH286" s="199">
        <f t="shared" si="147"/>
        <v>0.4844872338335644</v>
      </c>
      <c r="AI286" s="199">
        <f t="shared" si="147"/>
        <v>8.5848544991945344E-2</v>
      </c>
      <c r="AJ286" s="199">
        <f t="shared" si="147"/>
        <v>2.8953103149924604</v>
      </c>
      <c r="AK286" s="199">
        <f t="shared" si="147"/>
        <v>8.0975788785349447</v>
      </c>
      <c r="AL286" s="260"/>
      <c r="AM286" s="171"/>
    </row>
    <row r="287" spans="1:39" s="180" customFormat="1" ht="19.5" customHeight="1">
      <c r="B287" s="260"/>
      <c r="C287" s="514" t="s">
        <v>234</v>
      </c>
      <c r="D287" s="187" t="s">
        <v>47</v>
      </c>
      <c r="E287" s="178"/>
      <c r="F287" s="178"/>
      <c r="G287" s="202">
        <f>MIN(G68:G83)</f>
        <v>54.695999999999977</v>
      </c>
      <c r="H287" s="516">
        <f t="shared" ref="H287:AK287" si="148">MIN(H68:H83)</f>
        <v>0.56499999999999995</v>
      </c>
      <c r="I287" s="202">
        <f t="shared" si="148"/>
        <v>292.54999999999995</v>
      </c>
      <c r="J287" s="202">
        <f t="shared" si="148"/>
        <v>19.38999999999993</v>
      </c>
      <c r="K287" s="202">
        <f t="shared" si="148"/>
        <v>7.9805596608573795E-2</v>
      </c>
      <c r="L287" s="202">
        <f t="shared" si="148"/>
        <v>0</v>
      </c>
      <c r="M287" s="202">
        <f t="shared" si="148"/>
        <v>0.20631541020532757</v>
      </c>
      <c r="N287" s="202">
        <f t="shared" si="148"/>
        <v>0.570099201023059</v>
      </c>
      <c r="O287" s="202">
        <f t="shared" si="148"/>
        <v>3.3684360965799194E-2</v>
      </c>
      <c r="P287" s="202">
        <f t="shared" si="148"/>
        <v>0.10677073946695008</v>
      </c>
      <c r="Q287" s="202">
        <f t="shared" si="148"/>
        <v>3.8119775902045608E-3</v>
      </c>
      <c r="R287" s="202">
        <f t="shared" si="148"/>
        <v>8.8694552451961492E-2</v>
      </c>
      <c r="S287" s="202">
        <f t="shared" si="148"/>
        <v>3.5856517156245819E-2</v>
      </c>
      <c r="T287" s="516">
        <f t="shared" si="148"/>
        <v>0</v>
      </c>
      <c r="U287" s="202">
        <f t="shared" si="148"/>
        <v>0.36461803150315458</v>
      </c>
      <c r="V287" s="202">
        <f t="shared" si="148"/>
        <v>4.2235650539558744E-2</v>
      </c>
      <c r="W287" s="202">
        <f t="shared" si="148"/>
        <v>1.7431849581337622</v>
      </c>
      <c r="X287" s="516">
        <f t="shared" si="148"/>
        <v>1.1855497688550846E-2</v>
      </c>
      <c r="Y287" s="202">
        <f t="shared" si="148"/>
        <v>0.56739615748172678</v>
      </c>
      <c r="Z287" s="202"/>
      <c r="AA287" s="202">
        <f t="shared" si="148"/>
        <v>38.470400781742875</v>
      </c>
      <c r="AB287" s="202"/>
      <c r="AC287" s="202">
        <f t="shared" si="148"/>
        <v>-0.43615647768336735</v>
      </c>
      <c r="AD287" s="202"/>
      <c r="AE287" s="202">
        <f t="shared" si="148"/>
        <v>0.41832805319441224</v>
      </c>
      <c r="AF287" s="202"/>
      <c r="AG287" s="202">
        <f t="shared" si="148"/>
        <v>3.0259999999999998</v>
      </c>
      <c r="AH287" s="202">
        <f t="shared" si="148"/>
        <v>33.349846586609644</v>
      </c>
      <c r="AI287" s="202">
        <f t="shared" si="148"/>
        <v>9.6536130461310939E-3</v>
      </c>
      <c r="AJ287" s="202">
        <f t="shared" si="148"/>
        <v>25.029781151560556</v>
      </c>
      <c r="AK287" s="202">
        <f t="shared" si="148"/>
        <v>-33.735499059449396</v>
      </c>
      <c r="AL287" s="260"/>
      <c r="AM287" s="171"/>
    </row>
    <row r="288" spans="1:39" s="180" customFormat="1" ht="19.5" customHeight="1">
      <c r="B288" s="260"/>
      <c r="C288" s="260"/>
      <c r="D288" s="179" t="s">
        <v>48</v>
      </c>
      <c r="E288" s="178"/>
      <c r="F288" s="178"/>
      <c r="G288" s="223">
        <f>MAX(G68:G83)</f>
        <v>215.59599999999998</v>
      </c>
      <c r="H288" s="517">
        <f t="shared" ref="H288:AK288" si="149">MAX(H68:H83)</f>
        <v>0.72499999999999998</v>
      </c>
      <c r="I288" s="223">
        <f t="shared" si="149"/>
        <v>303.95</v>
      </c>
      <c r="J288" s="223">
        <f t="shared" si="149"/>
        <v>30.789999999999964</v>
      </c>
      <c r="K288" s="223">
        <f t="shared" si="149"/>
        <v>0.99106962377724894</v>
      </c>
      <c r="L288" s="223">
        <f t="shared" si="149"/>
        <v>0.21005833558964548</v>
      </c>
      <c r="M288" s="223">
        <f t="shared" si="149"/>
        <v>1.9541507859822675</v>
      </c>
      <c r="N288" s="223">
        <f t="shared" si="149"/>
        <v>8.3250603799944951</v>
      </c>
      <c r="O288" s="223">
        <f t="shared" si="149"/>
        <v>0.23406486567037388</v>
      </c>
      <c r="P288" s="223">
        <f t="shared" si="149"/>
        <v>1.4571340785960547</v>
      </c>
      <c r="Q288" s="223">
        <f t="shared" si="149"/>
        <v>8.5904395898790412E-2</v>
      </c>
      <c r="R288" s="223">
        <f t="shared" si="149"/>
        <v>2.4202158232315507</v>
      </c>
      <c r="S288" s="223">
        <f t="shared" si="149"/>
        <v>0.79189344382366567</v>
      </c>
      <c r="T288" s="517">
        <f t="shared" si="149"/>
        <v>0.29289776805590051</v>
      </c>
      <c r="U288" s="223">
        <f t="shared" si="149"/>
        <v>10.537883096044094</v>
      </c>
      <c r="V288" s="223">
        <f t="shared" si="149"/>
        <v>0.73151642506772196</v>
      </c>
      <c r="W288" s="223">
        <f t="shared" si="149"/>
        <v>14.547236595526432</v>
      </c>
      <c r="X288" s="517">
        <f t="shared" si="149"/>
        <v>0.13537350265704853</v>
      </c>
      <c r="Y288" s="223">
        <f t="shared" si="149"/>
        <v>1.696232601717897</v>
      </c>
      <c r="Z288" s="223"/>
      <c r="AA288" s="223">
        <f t="shared" si="149"/>
        <v>72.384204274903354</v>
      </c>
      <c r="AB288" s="223"/>
      <c r="AC288" s="223">
        <f t="shared" si="149"/>
        <v>7.5858303700631096</v>
      </c>
      <c r="AD288" s="223"/>
      <c r="AE288" s="223">
        <f t="shared" si="149"/>
        <v>22.88281645905202</v>
      </c>
      <c r="AF288" s="223"/>
      <c r="AG288" s="223">
        <f t="shared" si="149"/>
        <v>74.739999999999995</v>
      </c>
      <c r="AH288" s="223">
        <f t="shared" si="149"/>
        <v>34.948272192787563</v>
      </c>
      <c r="AI288" s="223">
        <f t="shared" si="149"/>
        <v>0.2763275066581441</v>
      </c>
      <c r="AJ288" s="223">
        <f t="shared" si="149"/>
        <v>34.505704764916118</v>
      </c>
      <c r="AK288" s="223">
        <f t="shared" si="149"/>
        <v>-6.4750716147841558</v>
      </c>
      <c r="AL288" s="260"/>
      <c r="AM288" s="171"/>
    </row>
    <row r="289" spans="1:39" s="180" customFormat="1" ht="19.5" customHeight="1">
      <c r="B289" s="266" t="s">
        <v>238</v>
      </c>
      <c r="C289" s="262">
        <v>44854</v>
      </c>
      <c r="D289" s="265" t="s">
        <v>45</v>
      </c>
      <c r="E289" s="264"/>
      <c r="F289" s="264"/>
      <c r="G289" s="263">
        <f>AVERAGE(G103:G117)</f>
        <v>161.71795151515155</v>
      </c>
      <c r="H289" s="515">
        <f t="shared" ref="H289:AK289" si="150">AVERAGE(H103:H117)</f>
        <v>0.67399999999999993</v>
      </c>
      <c r="I289" s="263">
        <f t="shared" si="150"/>
        <v>296.76333333333332</v>
      </c>
      <c r="J289" s="263">
        <f t="shared" si="150"/>
        <v>23.603333333333278</v>
      </c>
      <c r="K289" s="263">
        <f t="shared" si="150"/>
        <v>0.54744088558623594</v>
      </c>
      <c r="L289" s="263">
        <f t="shared" si="150"/>
        <v>2.3218075106134974E-2</v>
      </c>
      <c r="M289" s="263">
        <f t="shared" si="150"/>
        <v>4.0236931729321288</v>
      </c>
      <c r="N289" s="263">
        <f t="shared" si="150"/>
        <v>8.2395459632547592</v>
      </c>
      <c r="O289" s="263">
        <f t="shared" si="150"/>
        <v>0.61259490008413164</v>
      </c>
      <c r="P289" s="263">
        <f t="shared" si="150"/>
        <v>2.1049361293586588</v>
      </c>
      <c r="Q289" s="263">
        <f t="shared" si="150"/>
        <v>5.2866034820870614E-2</v>
      </c>
      <c r="R289" s="263">
        <f t="shared" si="150"/>
        <v>1.4024783460037429</v>
      </c>
      <c r="S289" s="263">
        <f t="shared" si="150"/>
        <v>0.87939517680595536</v>
      </c>
      <c r="T289" s="515">
        <f t="shared" si="150"/>
        <v>1.1018640727497664E-2</v>
      </c>
      <c r="U289" s="263">
        <f t="shared" si="150"/>
        <v>1.9056795574341312</v>
      </c>
      <c r="V289" s="263">
        <f t="shared" si="150"/>
        <v>0.45515975646028328</v>
      </c>
      <c r="W289" s="263">
        <f t="shared" si="150"/>
        <v>17.886168683952619</v>
      </c>
      <c r="X289" s="515">
        <f t="shared" si="150"/>
        <v>0.12001749716596652</v>
      </c>
      <c r="Y289" s="263">
        <f t="shared" si="150"/>
        <v>1.0286760006005846</v>
      </c>
      <c r="Z289" s="263"/>
      <c r="AA289" s="263">
        <f t="shared" si="150"/>
        <v>69.83134420364496</v>
      </c>
      <c r="AB289" s="263">
        <f t="shared" si="150"/>
        <v>0.2876954272507567</v>
      </c>
      <c r="AC289" s="263">
        <f t="shared" si="150"/>
        <v>1.0746964585094487</v>
      </c>
      <c r="AD289" s="263">
        <f t="shared" si="150"/>
        <v>0.14224605046492597</v>
      </c>
      <c r="AE289" s="263">
        <f t="shared" si="150"/>
        <v>11.97418917992073</v>
      </c>
      <c r="AF289" s="263">
        <f t="shared" si="150"/>
        <v>0.11987564723771185</v>
      </c>
      <c r="AG289" s="263">
        <f t="shared" si="150"/>
        <v>93.42613333333334</v>
      </c>
      <c r="AH289" s="263">
        <f t="shared" si="150"/>
        <v>34.348387263489649</v>
      </c>
      <c r="AI289" s="263">
        <f t="shared" si="150"/>
        <v>9.4722761638827008E-2</v>
      </c>
      <c r="AJ289" s="263">
        <f t="shared" si="150"/>
        <v>31.064579899481437</v>
      </c>
      <c r="AK289" s="263">
        <f t="shared" si="150"/>
        <v>-19.090390719560705</v>
      </c>
      <c r="AL289" s="266" t="s">
        <v>238</v>
      </c>
      <c r="AM289" s="171"/>
    </row>
    <row r="290" spans="1:39" s="180" customFormat="1" ht="19.5" customHeight="1">
      <c r="B290" s="260"/>
      <c r="C290" s="262">
        <v>44966</v>
      </c>
      <c r="D290" s="187" t="s">
        <v>46</v>
      </c>
      <c r="E290" s="178"/>
      <c r="F290" s="178"/>
      <c r="G290" s="199">
        <f>STDEV(G103:G117)</f>
        <v>61.99298067667101</v>
      </c>
      <c r="H290" s="516">
        <f t="shared" ref="H290:AK290" si="151">STDEV(H103:H117)</f>
        <v>7.4078144068081678E-2</v>
      </c>
      <c r="I290" s="199">
        <f t="shared" si="151"/>
        <v>3.404590738288237</v>
      </c>
      <c r="J290" s="199">
        <f t="shared" si="151"/>
        <v>3.4045907382882459</v>
      </c>
      <c r="K290" s="199">
        <f t="shared" si="151"/>
        <v>0.75499740082414579</v>
      </c>
      <c r="L290" s="199">
        <f t="shared" si="151"/>
        <v>1.4442128615598206E-2</v>
      </c>
      <c r="M290" s="199">
        <f t="shared" si="151"/>
        <v>3.0944979634801206</v>
      </c>
      <c r="N290" s="199">
        <f t="shared" si="151"/>
        <v>3.5722737165698151</v>
      </c>
      <c r="O290" s="199">
        <f t="shared" si="151"/>
        <v>0.916573955051184</v>
      </c>
      <c r="P290" s="199">
        <f t="shared" si="151"/>
        <v>0.72522349023655042</v>
      </c>
      <c r="Q290" s="199">
        <f t="shared" si="151"/>
        <v>3.0494576241493366E-2</v>
      </c>
      <c r="R290" s="199">
        <f t="shared" si="151"/>
        <v>0.59060912682999445</v>
      </c>
      <c r="S290" s="199">
        <f t="shared" si="151"/>
        <v>0.49897249829157692</v>
      </c>
      <c r="T290" s="516">
        <f t="shared" si="151"/>
        <v>1.1331827153690589E-2</v>
      </c>
      <c r="U290" s="199">
        <f t="shared" si="151"/>
        <v>2.0916167338221383</v>
      </c>
      <c r="V290" s="199">
        <f t="shared" si="151"/>
        <v>0.22543562086717733</v>
      </c>
      <c r="W290" s="199">
        <f t="shared" si="151"/>
        <v>8.415148307765401</v>
      </c>
      <c r="X290" s="516">
        <f t="shared" si="151"/>
        <v>6.3326157061995625E-2</v>
      </c>
      <c r="Y290" s="199">
        <f t="shared" si="151"/>
        <v>0.32520411574743946</v>
      </c>
      <c r="Z290" s="199"/>
      <c r="AA290" s="199">
        <f t="shared" si="151"/>
        <v>5.1260141737262925</v>
      </c>
      <c r="AB290" s="199"/>
      <c r="AC290" s="199">
        <f t="shared" si="151"/>
        <v>1.2344613108774356</v>
      </c>
      <c r="AD290" s="199"/>
      <c r="AE290" s="199">
        <f t="shared" si="151"/>
        <v>1.7079724960768901</v>
      </c>
      <c r="AF290" s="199"/>
      <c r="AG290" s="199">
        <f t="shared" si="151"/>
        <v>124.97429159452109</v>
      </c>
      <c r="AH290" s="199">
        <f t="shared" si="151"/>
        <v>0.48424951839283653</v>
      </c>
      <c r="AI290" s="199">
        <f t="shared" si="151"/>
        <v>0.12318428398460966</v>
      </c>
      <c r="AJ290" s="199">
        <f t="shared" si="151"/>
        <v>4.0571507737806805</v>
      </c>
      <c r="AK290" s="199">
        <f t="shared" si="151"/>
        <v>4.1399171335897407</v>
      </c>
      <c r="AL290" s="260"/>
      <c r="AM290" s="171"/>
    </row>
    <row r="291" spans="1:39" s="180" customFormat="1" ht="19.5" customHeight="1">
      <c r="B291" s="260"/>
      <c r="C291" s="514" t="s">
        <v>235</v>
      </c>
      <c r="D291" s="187" t="s">
        <v>47</v>
      </c>
      <c r="E291" s="178"/>
      <c r="F291" s="178"/>
      <c r="G291" s="202">
        <f>MIN(G103:G117)</f>
        <v>60.203999999999994</v>
      </c>
      <c r="H291" s="516">
        <f t="shared" ref="H291:AK291" si="152">MIN(H103:H117)</f>
        <v>0.59</v>
      </c>
      <c r="I291" s="202">
        <f t="shared" si="152"/>
        <v>289.64999999999998</v>
      </c>
      <c r="J291" s="202">
        <f t="shared" si="152"/>
        <v>16.489999999999952</v>
      </c>
      <c r="K291" s="202">
        <f t="shared" si="152"/>
        <v>9.1263273005214626E-2</v>
      </c>
      <c r="L291" s="202">
        <f t="shared" si="152"/>
        <v>0</v>
      </c>
      <c r="M291" s="202">
        <f t="shared" si="152"/>
        <v>0.63978603823819125</v>
      </c>
      <c r="N291" s="202">
        <f t="shared" si="152"/>
        <v>2.8965201596380408</v>
      </c>
      <c r="O291" s="202">
        <f t="shared" si="152"/>
        <v>0.10003199056076575</v>
      </c>
      <c r="P291" s="202">
        <f t="shared" si="152"/>
        <v>0.81394066889499572</v>
      </c>
      <c r="Q291" s="202">
        <f t="shared" si="152"/>
        <v>2.121002784917447E-2</v>
      </c>
      <c r="R291" s="202">
        <f t="shared" si="152"/>
        <v>0.45912343367599179</v>
      </c>
      <c r="S291" s="202">
        <f t="shared" si="152"/>
        <v>0.24796710763278046</v>
      </c>
      <c r="T291" s="516">
        <f t="shared" si="152"/>
        <v>0</v>
      </c>
      <c r="U291" s="202">
        <f t="shared" si="152"/>
        <v>0.17588667858031992</v>
      </c>
      <c r="V291" s="202">
        <f t="shared" si="152"/>
        <v>8.0317207177800623E-2</v>
      </c>
      <c r="W291" s="202">
        <f t="shared" si="152"/>
        <v>6.5805235183129653</v>
      </c>
      <c r="X291" s="516">
        <f t="shared" si="152"/>
        <v>6.070142994156346E-2</v>
      </c>
      <c r="Y291" s="202">
        <f t="shared" si="152"/>
        <v>0.66001172826569332</v>
      </c>
      <c r="Z291" s="202"/>
      <c r="AA291" s="202">
        <f t="shared" si="152"/>
        <v>61.888003609399128</v>
      </c>
      <c r="AB291" s="202"/>
      <c r="AC291" s="202">
        <f t="shared" si="152"/>
        <v>-0.81264446840860405</v>
      </c>
      <c r="AD291" s="202"/>
      <c r="AE291" s="202">
        <f t="shared" si="152"/>
        <v>10.068532265316252</v>
      </c>
      <c r="AF291" s="202"/>
      <c r="AG291" s="202">
        <f t="shared" si="152"/>
        <v>4.0289999999999999</v>
      </c>
      <c r="AH291" s="202">
        <f t="shared" si="152"/>
        <v>33.526040277548326</v>
      </c>
      <c r="AI291" s="202">
        <f t="shared" si="152"/>
        <v>6.4670101156152114E-3</v>
      </c>
      <c r="AJ291" s="202">
        <f t="shared" si="152"/>
        <v>22.103830127482176</v>
      </c>
      <c r="AK291" s="202">
        <f t="shared" si="152"/>
        <v>-23.096843814454232</v>
      </c>
      <c r="AL291" s="260"/>
      <c r="AM291" s="171"/>
    </row>
    <row r="292" spans="1:39" s="180" customFormat="1" ht="19.5" customHeight="1">
      <c r="B292" s="260"/>
      <c r="C292" s="260"/>
      <c r="D292" s="179" t="s">
        <v>48</v>
      </c>
      <c r="E292" s="178"/>
      <c r="F292" s="178"/>
      <c r="G292" s="223">
        <f>MAX(G103:G117)</f>
        <v>294.80400000000003</v>
      </c>
      <c r="H292" s="517">
        <f t="shared" ref="H292:AK292" si="153">MAX(H103:H117)</f>
        <v>0.87</v>
      </c>
      <c r="I292" s="223">
        <f t="shared" si="153"/>
        <v>302.64999999999998</v>
      </c>
      <c r="J292" s="223">
        <f t="shared" si="153"/>
        <v>29.489999999999952</v>
      </c>
      <c r="K292" s="223">
        <f t="shared" si="153"/>
        <v>3.2117538469906846</v>
      </c>
      <c r="L292" s="223">
        <f t="shared" si="153"/>
        <v>5.0697988836263419E-2</v>
      </c>
      <c r="M292" s="223">
        <f t="shared" si="153"/>
        <v>10.141524927215677</v>
      </c>
      <c r="N292" s="223">
        <f t="shared" si="153"/>
        <v>17.48444289984479</v>
      </c>
      <c r="O292" s="223">
        <f t="shared" si="153"/>
        <v>3.5823520525766313</v>
      </c>
      <c r="P292" s="223">
        <f t="shared" si="153"/>
        <v>3.1349954643285693</v>
      </c>
      <c r="Q292" s="223">
        <f t="shared" si="153"/>
        <v>0.11932684293478403</v>
      </c>
      <c r="R292" s="223">
        <f t="shared" si="153"/>
        <v>2.4636156882397806</v>
      </c>
      <c r="S292" s="223">
        <f t="shared" si="153"/>
        <v>2.2675127659991587</v>
      </c>
      <c r="T292" s="517">
        <f t="shared" si="153"/>
        <v>3.3296825906525829E-2</v>
      </c>
      <c r="U292" s="223">
        <f t="shared" si="153"/>
        <v>8.380083084220697</v>
      </c>
      <c r="V292" s="223">
        <f t="shared" si="153"/>
        <v>0.9377891855744992</v>
      </c>
      <c r="W292" s="223">
        <f t="shared" si="153"/>
        <v>36.88848329309824</v>
      </c>
      <c r="X292" s="517">
        <f t="shared" si="153"/>
        <v>0.24969435846520632</v>
      </c>
      <c r="Y292" s="223">
        <f t="shared" si="153"/>
        <v>1.9454984962411486</v>
      </c>
      <c r="Z292" s="223"/>
      <c r="AA292" s="223">
        <f t="shared" si="153"/>
        <v>78.73780833251918</v>
      </c>
      <c r="AB292" s="223"/>
      <c r="AC292" s="223">
        <f t="shared" si="153"/>
        <v>2.84214242368712</v>
      </c>
      <c r="AD292" s="223"/>
      <c r="AE292" s="223">
        <f t="shared" si="153"/>
        <v>15.542223455268049</v>
      </c>
      <c r="AF292" s="223"/>
      <c r="AG292" s="223">
        <f t="shared" si="153"/>
        <v>453.4</v>
      </c>
      <c r="AH292" s="223">
        <f t="shared" si="153"/>
        <v>35.374963887450377</v>
      </c>
      <c r="AI292" s="223">
        <f t="shared" si="153"/>
        <v>0.37515610764132173</v>
      </c>
      <c r="AJ292" s="223">
        <f t="shared" si="153"/>
        <v>34.320846847429905</v>
      </c>
      <c r="AK292" s="223">
        <f t="shared" si="153"/>
        <v>-9.1208146725327577</v>
      </c>
      <c r="AL292" s="260"/>
      <c r="AM292" s="171"/>
    </row>
    <row r="293" spans="1:39" s="180" customFormat="1" ht="19.5" customHeight="1">
      <c r="B293" s="260"/>
      <c r="C293" s="260"/>
      <c r="D293" s="397"/>
      <c r="E293" s="178"/>
      <c r="F293" s="178"/>
      <c r="G293" s="202"/>
      <c r="H293" s="185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169"/>
      <c r="U293" s="202"/>
      <c r="V293" s="202"/>
      <c r="W293" s="202"/>
      <c r="X293" s="391"/>
      <c r="Y293" s="202"/>
      <c r="Z293" s="202"/>
      <c r="AA293" s="202"/>
      <c r="AB293" s="202"/>
      <c r="AC293" s="202"/>
      <c r="AD293" s="202"/>
      <c r="AE293" s="202"/>
      <c r="AF293" s="202"/>
      <c r="AG293" s="202"/>
      <c r="AH293" s="202"/>
      <c r="AI293" s="202"/>
      <c r="AJ293" s="202"/>
      <c r="AK293" s="202"/>
      <c r="AL293" s="260"/>
      <c r="AM293" s="171"/>
    </row>
    <row r="294" spans="1:39" s="180" customFormat="1" ht="19.5" customHeight="1">
      <c r="A294" s="171"/>
      <c r="B294" s="171"/>
      <c r="C294" s="171"/>
      <c r="D294" s="171"/>
      <c r="E294" s="171"/>
      <c r="F294" s="171"/>
      <c r="G294" s="175"/>
      <c r="H294" s="175"/>
      <c r="I294" s="175"/>
      <c r="J294" s="174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2"/>
      <c r="AI294" s="173"/>
      <c r="AJ294" s="172"/>
      <c r="AK294" s="171"/>
      <c r="AL294" s="171"/>
      <c r="AM294" s="171"/>
    </row>
    <row r="295" spans="1:39" s="180" customFormat="1" ht="19.5" customHeight="1">
      <c r="D295" s="174"/>
      <c r="E295" s="174"/>
      <c r="F295" s="174"/>
      <c r="G295" s="251"/>
      <c r="H295" s="251"/>
      <c r="I295" s="251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D295" s="174"/>
      <c r="AE295" s="174"/>
      <c r="AH295" s="249"/>
      <c r="AI295" s="250"/>
      <c r="AJ295" s="249"/>
      <c r="AK295" s="174"/>
      <c r="AM295" s="174"/>
    </row>
  </sheetData>
  <mergeCells count="6">
    <mergeCell ref="K224:N224"/>
    <mergeCell ref="O224:S224"/>
    <mergeCell ref="K1:N1"/>
    <mergeCell ref="O1:S1"/>
    <mergeCell ref="K164:N164"/>
    <mergeCell ref="O164:S164"/>
  </mergeCells>
  <phoneticPr fontId="13"/>
  <conditionalFormatting sqref="AD11">
    <cfRule type="cellIs" dxfId="26" priority="8" operator="greaterThan">
      <formula>0.51</formula>
    </cfRule>
  </conditionalFormatting>
  <conditionalFormatting sqref="AD65:AD93">
    <cfRule type="cellIs" dxfId="25" priority="4" operator="greaterThan">
      <formula>0.5</formula>
    </cfRule>
  </conditionalFormatting>
  <conditionalFormatting sqref="AD95:AD126">
    <cfRule type="cellIs" dxfId="24" priority="2" operator="greaterThan">
      <formula>0.5</formula>
    </cfRule>
  </conditionalFormatting>
  <conditionalFormatting sqref="AF25:AF26">
    <cfRule type="cellIs" dxfId="23" priority="7" operator="greaterThan">
      <formula>0.51</formula>
    </cfRule>
  </conditionalFormatting>
  <conditionalFormatting sqref="AF28">
    <cfRule type="cellIs" dxfId="22" priority="6" operator="greaterThan">
      <formula>0.51</formula>
    </cfRule>
  </conditionalFormatting>
  <conditionalFormatting sqref="AF30:AF32">
    <cfRule type="cellIs" dxfId="21" priority="5" operator="greaterThan">
      <formula>0.51</formula>
    </cfRule>
  </conditionalFormatting>
  <conditionalFormatting sqref="AF65:AF93">
    <cfRule type="cellIs" dxfId="20" priority="3" operator="greaterThan">
      <formula>0.5</formula>
    </cfRule>
  </conditionalFormatting>
  <conditionalFormatting sqref="AF95:AF126">
    <cfRule type="cellIs" dxfId="19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7D78-C00E-4B08-B78C-D7565A159ADB}">
  <dimension ref="A1:AF103"/>
  <sheetViews>
    <sheetView topLeftCell="A55" zoomScale="39" zoomScaleNormal="80" workbookViewId="0">
      <selection activeCell="T77" sqref="T77:X96"/>
    </sheetView>
  </sheetViews>
  <sheetFormatPr defaultColWidth="8.25" defaultRowHeight="14"/>
  <cols>
    <col min="1" max="1" width="12" style="3" bestFit="1" customWidth="1"/>
    <col min="2" max="2" width="13.1640625" style="3" bestFit="1" customWidth="1"/>
    <col min="3" max="3" width="13.33203125" style="3" customWidth="1"/>
    <col min="4" max="4" width="13.9140625" style="3" customWidth="1"/>
    <col min="5" max="5" width="9.6640625" style="3" bestFit="1" customWidth="1"/>
    <col min="6" max="7" width="8.25" style="3"/>
    <col min="8" max="12" width="6.75" style="3" customWidth="1"/>
    <col min="13" max="13" width="8.6640625" style="3" bestFit="1" customWidth="1"/>
    <col min="14" max="18" width="6.75" style="3" customWidth="1"/>
    <col min="19" max="19" width="7.6640625" style="3" bestFit="1" customWidth="1"/>
    <col min="20" max="30" width="6.75" style="3" customWidth="1"/>
    <col min="31" max="31" width="12.58203125" style="3" bestFit="1" customWidth="1"/>
    <col min="32" max="32" width="25.1640625" style="3" customWidth="1"/>
    <col min="33" max="42" width="8.25" style="3"/>
    <col min="43" max="43" width="8.25" style="3" customWidth="1"/>
    <col min="44" max="16384" width="8.25" style="3"/>
  </cols>
  <sheetData>
    <row r="1" spans="1:32">
      <c r="A1" s="3" t="s">
        <v>3</v>
      </c>
      <c r="B1" s="132">
        <f>17.7*22.9</f>
        <v>405.33</v>
      </c>
      <c r="C1" s="3" t="s">
        <v>4</v>
      </c>
    </row>
    <row r="2" spans="1:32">
      <c r="A2" s="3" t="s">
        <v>5</v>
      </c>
      <c r="B2" s="3">
        <f>1.5*1.5*3.14</f>
        <v>7.0650000000000004</v>
      </c>
      <c r="C2" s="3" t="s">
        <v>4</v>
      </c>
    </row>
    <row r="4" spans="1:32" ht="14.5" thickBot="1">
      <c r="H4" s="618" t="s">
        <v>24</v>
      </c>
      <c r="I4" s="619"/>
      <c r="J4" s="619"/>
      <c r="K4" s="619"/>
      <c r="L4" s="620"/>
      <c r="M4" s="108"/>
      <c r="N4" s="621" t="s">
        <v>25</v>
      </c>
      <c r="O4" s="622"/>
      <c r="P4" s="622"/>
      <c r="Q4" s="622"/>
      <c r="R4" s="622"/>
      <c r="S4" s="623"/>
      <c r="T4" s="618" t="s">
        <v>26</v>
      </c>
      <c r="U4" s="619"/>
      <c r="V4" s="619"/>
      <c r="W4" s="619"/>
      <c r="X4" s="620"/>
      <c r="Y4" s="624" t="s">
        <v>27</v>
      </c>
      <c r="Z4" s="622"/>
      <c r="AA4" s="622"/>
      <c r="AB4" s="622"/>
      <c r="AC4" s="622"/>
      <c r="AD4" s="623"/>
    </row>
    <row r="5" spans="1:32" ht="29.5">
      <c r="A5" s="133" t="s">
        <v>0</v>
      </c>
      <c r="B5" s="134" t="s">
        <v>28</v>
      </c>
      <c r="C5" s="109" t="s">
        <v>1</v>
      </c>
      <c r="D5" s="140" t="s">
        <v>75</v>
      </c>
      <c r="E5" s="110" t="s">
        <v>29</v>
      </c>
      <c r="F5" s="111" t="s">
        <v>30</v>
      </c>
      <c r="G5" s="112" t="s">
        <v>31</v>
      </c>
      <c r="H5" s="53" t="s">
        <v>32</v>
      </c>
      <c r="I5" s="46" t="s">
        <v>33</v>
      </c>
      <c r="J5" s="46" t="s">
        <v>34</v>
      </c>
      <c r="K5" s="113" t="s">
        <v>35</v>
      </c>
      <c r="L5" s="114" t="s">
        <v>36</v>
      </c>
      <c r="M5" s="115" t="s">
        <v>37</v>
      </c>
      <c r="N5" s="50" t="s">
        <v>38</v>
      </c>
      <c r="O5" s="116" t="s">
        <v>39</v>
      </c>
      <c r="P5" s="117" t="s">
        <v>40</v>
      </c>
      <c r="Q5" s="116" t="s">
        <v>41</v>
      </c>
      <c r="R5" s="116" t="s">
        <v>42</v>
      </c>
      <c r="S5" s="118" t="s">
        <v>43</v>
      </c>
      <c r="T5" s="119" t="s">
        <v>32</v>
      </c>
      <c r="U5" s="47" t="s">
        <v>33</v>
      </c>
      <c r="V5" s="47" t="s">
        <v>34</v>
      </c>
      <c r="W5" s="120" t="s">
        <v>35</v>
      </c>
      <c r="X5" s="121" t="s">
        <v>36</v>
      </c>
      <c r="Y5" s="122" t="s">
        <v>38</v>
      </c>
      <c r="Z5" s="123" t="s">
        <v>39</v>
      </c>
      <c r="AA5" s="124" t="s">
        <v>40</v>
      </c>
      <c r="AB5" s="123" t="s">
        <v>41</v>
      </c>
      <c r="AC5" s="123" t="s">
        <v>42</v>
      </c>
      <c r="AD5" s="123" t="s">
        <v>43</v>
      </c>
      <c r="AE5" s="12" t="s">
        <v>44</v>
      </c>
      <c r="AF5" s="164" t="s">
        <v>2</v>
      </c>
    </row>
    <row r="6" spans="1:32">
      <c r="A6" s="81">
        <v>121</v>
      </c>
      <c r="B6" s="1" t="s">
        <v>58</v>
      </c>
      <c r="C6" s="136">
        <v>45050</v>
      </c>
      <c r="D6" s="137">
        <v>45532</v>
      </c>
      <c r="E6" s="16">
        <v>1440</v>
      </c>
      <c r="F6" s="3">
        <v>3</v>
      </c>
      <c r="G6" s="17">
        <v>30</v>
      </c>
      <c r="H6" s="18">
        <v>0.31511</v>
      </c>
      <c r="I6" s="19">
        <v>0</v>
      </c>
      <c r="J6" s="19">
        <v>0</v>
      </c>
      <c r="K6" s="125">
        <v>1.52528</v>
      </c>
      <c r="L6" s="20">
        <v>19.362359000000001</v>
      </c>
      <c r="M6" s="21">
        <f>I6/K6</f>
        <v>0</v>
      </c>
      <c r="N6" s="141">
        <v>0</v>
      </c>
      <c r="O6" s="35">
        <v>0.26944000000000001</v>
      </c>
      <c r="P6" s="142">
        <v>5.0520009999999997</v>
      </c>
      <c r="Q6" s="35">
        <v>8.8029999999999997E-2</v>
      </c>
      <c r="R6" s="35">
        <v>1.24387</v>
      </c>
      <c r="S6" s="35">
        <v>0.89087799999999995</v>
      </c>
      <c r="T6" s="18">
        <f t="shared" ref="T6:X21" si="0">(H6/1000*$G6)*(1000/$E6)*($B$1/($B$2*$F6))</f>
        <v>0.12554409088228352</v>
      </c>
      <c r="U6" s="19">
        <f t="shared" si="0"/>
        <v>0</v>
      </c>
      <c r="V6" s="19">
        <f t="shared" si="0"/>
        <v>0</v>
      </c>
      <c r="W6" s="125">
        <f t="shared" si="0"/>
        <v>0.60769220570889348</v>
      </c>
      <c r="X6" s="19">
        <f t="shared" si="0"/>
        <v>7.7142260099374855</v>
      </c>
      <c r="Y6" s="18">
        <f t="shared" ref="Y6:AD21" si="1">(N6/1000*$G6)*(1000/$E6)*($B$1/($B$2*$F6))</f>
        <v>0</v>
      </c>
      <c r="Z6" s="19">
        <f t="shared" si="1"/>
        <v>0.10734854446803489</v>
      </c>
      <c r="AA6" s="125">
        <f t="shared" si="1"/>
        <v>2.012785607189195</v>
      </c>
      <c r="AB6" s="19">
        <f t="shared" si="1"/>
        <v>3.5072344008020749E-2</v>
      </c>
      <c r="AC6" s="19">
        <f t="shared" si="1"/>
        <v>0.49557465115593291</v>
      </c>
      <c r="AD6" s="19">
        <f t="shared" si="1"/>
        <v>0.35493785851615939</v>
      </c>
      <c r="AE6" s="22">
        <f>(W6/62+X6/96*2+T6/35+U6/46)/(AA6/18+AD6/39+Z6/23+AB6/24*2+AC6/40*2)</f>
        <v>1.1357570474394212</v>
      </c>
      <c r="AF6" s="165" t="s">
        <v>6</v>
      </c>
    </row>
    <row r="7" spans="1:32">
      <c r="A7" s="81">
        <v>122</v>
      </c>
      <c r="B7" s="1" t="s">
        <v>59</v>
      </c>
      <c r="C7" s="75">
        <v>45058</v>
      </c>
      <c r="D7" s="131">
        <v>45551</v>
      </c>
      <c r="E7" s="16">
        <v>1440</v>
      </c>
      <c r="F7" s="3">
        <v>4</v>
      </c>
      <c r="G7" s="17">
        <v>30</v>
      </c>
      <c r="H7" s="18">
        <v>2.2299614918348425</v>
      </c>
      <c r="I7" s="19">
        <v>0</v>
      </c>
      <c r="J7" s="19">
        <v>0</v>
      </c>
      <c r="K7" s="125">
        <v>4.8014432211550968</v>
      </c>
      <c r="L7" s="20">
        <v>6.4613345117101186</v>
      </c>
      <c r="M7" s="21">
        <f t="shared" ref="M7:M40" si="2">I7/K7</f>
        <v>0</v>
      </c>
      <c r="N7" s="34">
        <v>0</v>
      </c>
      <c r="O7" s="35">
        <v>0.90901884136215472</v>
      </c>
      <c r="P7" s="142">
        <v>1.2878392484342378</v>
      </c>
      <c r="Q7" s="35">
        <v>0.4908501617990414</v>
      </c>
      <c r="R7" s="35">
        <v>3.3467423658743973</v>
      </c>
      <c r="S7" s="35">
        <v>1.0998593498739073</v>
      </c>
      <c r="T7" s="18">
        <f t="shared" si="0"/>
        <v>0.66633514057370291</v>
      </c>
      <c r="U7" s="19">
        <f t="shared" si="0"/>
        <v>0</v>
      </c>
      <c r="V7" s="19">
        <f t="shared" si="0"/>
        <v>0</v>
      </c>
      <c r="W7" s="125">
        <f t="shared" si="0"/>
        <v>1.4347199964841317</v>
      </c>
      <c r="X7" s="19">
        <f t="shared" si="0"/>
        <v>1.9307123714551353</v>
      </c>
      <c r="Y7" s="18">
        <f t="shared" si="1"/>
        <v>0</v>
      </c>
      <c r="Z7" s="19">
        <f t="shared" si="1"/>
        <v>0.27162406151902135</v>
      </c>
      <c r="AA7" s="125">
        <f t="shared" si="1"/>
        <v>0.38481944633746873</v>
      </c>
      <c r="AB7" s="19">
        <f t="shared" si="1"/>
        <v>0.14667101327111748</v>
      </c>
      <c r="AC7" s="19">
        <f t="shared" si="1"/>
        <v>1.0000406074250039</v>
      </c>
      <c r="AD7" s="19">
        <f t="shared" si="1"/>
        <v>0.32864914358073161</v>
      </c>
      <c r="AE7" s="22">
        <f>(W7/62+X7/96*2+T7/35+U7/46)/(AA7/18+AD7/39+Z7/23+AB7/24*2+AC7/40*2)</f>
        <v>0.79354655663278761</v>
      </c>
      <c r="AF7" s="165" t="s">
        <v>6</v>
      </c>
    </row>
    <row r="8" spans="1:32">
      <c r="A8" s="81">
        <v>123</v>
      </c>
      <c r="B8" s="1" t="s">
        <v>60</v>
      </c>
      <c r="C8" s="75">
        <v>45066</v>
      </c>
      <c r="D8" s="131">
        <v>45551</v>
      </c>
      <c r="E8" s="16">
        <v>1440</v>
      </c>
      <c r="F8" s="3">
        <v>4</v>
      </c>
      <c r="G8" s="17">
        <v>30</v>
      </c>
      <c r="H8" s="18">
        <v>0.34980032803251793</v>
      </c>
      <c r="I8" s="19">
        <v>0</v>
      </c>
      <c r="J8" s="19">
        <v>0</v>
      </c>
      <c r="K8" s="125">
        <v>1.6144491293823691</v>
      </c>
      <c r="L8" s="20">
        <v>24.735417587273531</v>
      </c>
      <c r="M8" s="21">
        <f t="shared" si="2"/>
        <v>0</v>
      </c>
      <c r="N8" s="34">
        <v>0</v>
      </c>
      <c r="O8" s="35">
        <v>0.7497180971386006</v>
      </c>
      <c r="P8" s="142">
        <v>5.6554653233992838</v>
      </c>
      <c r="Q8" s="35">
        <v>0.25355663478474577</v>
      </c>
      <c r="R8" s="35">
        <v>1.2747734889892246</v>
      </c>
      <c r="S8" s="35">
        <v>1.117849352068766</v>
      </c>
      <c r="T8" s="18">
        <f t="shared" si="0"/>
        <v>0.10452389048229276</v>
      </c>
      <c r="U8" s="19">
        <f t="shared" si="0"/>
        <v>0</v>
      </c>
      <c r="V8" s="19">
        <f t="shared" si="0"/>
        <v>0</v>
      </c>
      <c r="W8" s="125">
        <f t="shared" si="0"/>
        <v>0.48241379571579046</v>
      </c>
      <c r="X8" s="19">
        <f t="shared" si="0"/>
        <v>7.3911939804859488</v>
      </c>
      <c r="Y8" s="18">
        <f t="shared" si="1"/>
        <v>0</v>
      </c>
      <c r="Z8" s="19">
        <f t="shared" si="1"/>
        <v>0.22402338133491753</v>
      </c>
      <c r="AA8" s="125">
        <f t="shared" si="1"/>
        <v>1.6899104738244808</v>
      </c>
      <c r="AB8" s="19">
        <f t="shared" si="1"/>
        <v>7.5765297518062172E-2</v>
      </c>
      <c r="AC8" s="19">
        <f t="shared" si="1"/>
        <v>0.38091526472340348</v>
      </c>
      <c r="AD8" s="19">
        <f t="shared" si="1"/>
        <v>0.33402473893756846</v>
      </c>
      <c r="AE8" s="22">
        <f t="shared" ref="AE8:AE40" si="3">(W8/62+X8/96*2+T8/35+U8/46)/(AA8/18+AD8/39+Z8/23+AB8/24*2+AC8/40*2)</f>
        <v>1.1977641888046748</v>
      </c>
      <c r="AF8" s="165" t="s">
        <v>6</v>
      </c>
    </row>
    <row r="9" spans="1:32">
      <c r="A9" s="81">
        <v>124</v>
      </c>
      <c r="B9" s="1" t="s">
        <v>61</v>
      </c>
      <c r="C9" s="75">
        <v>45074</v>
      </c>
      <c r="D9" s="131">
        <v>45526</v>
      </c>
      <c r="E9" s="16">
        <v>1440</v>
      </c>
      <c r="F9" s="3">
        <v>1</v>
      </c>
      <c r="G9" s="17">
        <v>50</v>
      </c>
      <c r="H9" s="18">
        <v>0.106902</v>
      </c>
      <c r="I9" s="19">
        <v>0</v>
      </c>
      <c r="J9" s="19">
        <v>0</v>
      </c>
      <c r="K9" s="125">
        <v>0.50353400000000004</v>
      </c>
      <c r="L9" s="20">
        <v>3.0087169999999999</v>
      </c>
      <c r="M9" s="21">
        <f>I9/K9</f>
        <v>0</v>
      </c>
      <c r="N9" s="34">
        <v>0</v>
      </c>
      <c r="O9" s="35">
        <v>5.4392000000000003E-2</v>
      </c>
      <c r="P9" s="142">
        <v>1.1795899999999999</v>
      </c>
      <c r="Q9" s="35">
        <v>1.9847E-2</v>
      </c>
      <c r="R9" s="35">
        <v>0.43956000000000001</v>
      </c>
      <c r="S9" s="35">
        <v>0.178036</v>
      </c>
      <c r="T9" s="18">
        <f t="shared" si="0"/>
        <v>0.21295602176220804</v>
      </c>
      <c r="U9" s="19">
        <f t="shared" si="0"/>
        <v>0</v>
      </c>
      <c r="V9" s="19">
        <f t="shared" si="0"/>
        <v>0</v>
      </c>
      <c r="W9" s="125">
        <f t="shared" si="0"/>
        <v>1.0030738195918849</v>
      </c>
      <c r="X9" s="19">
        <f t="shared" si="0"/>
        <v>5.9935679681233767</v>
      </c>
      <c r="Y9" s="18">
        <f t="shared" si="1"/>
        <v>0</v>
      </c>
      <c r="Z9" s="19">
        <f t="shared" si="1"/>
        <v>0.10835254659117716</v>
      </c>
      <c r="AA9" s="125">
        <f t="shared" si="1"/>
        <v>2.3498231437249348</v>
      </c>
      <c r="AB9" s="19">
        <f t="shared" si="1"/>
        <v>3.9536567734135407E-2</v>
      </c>
      <c r="AC9" s="19">
        <f t="shared" si="1"/>
        <v>0.87563328025477705</v>
      </c>
      <c r="AD9" s="19">
        <f t="shared" si="1"/>
        <v>0.35465976586459064</v>
      </c>
      <c r="AE9" s="22">
        <f t="shared" si="3"/>
        <v>0.76859127471505251</v>
      </c>
      <c r="AF9" s="165" t="s">
        <v>6</v>
      </c>
    </row>
    <row r="10" spans="1:32">
      <c r="A10" s="81">
        <v>125</v>
      </c>
      <c r="B10" s="1" t="s">
        <v>62</v>
      </c>
      <c r="C10" s="75">
        <v>45082</v>
      </c>
      <c r="D10" s="131">
        <v>45551</v>
      </c>
      <c r="E10" s="16">
        <v>1440</v>
      </c>
      <c r="F10" s="3">
        <v>4</v>
      </c>
      <c r="G10" s="17">
        <v>30</v>
      </c>
      <c r="H10" s="18">
        <v>0.7693610497040575</v>
      </c>
      <c r="I10" s="19">
        <v>0</v>
      </c>
      <c r="J10" s="19">
        <v>0</v>
      </c>
      <c r="K10" s="125">
        <v>2.851533015798652</v>
      </c>
      <c r="L10" s="20">
        <v>33.346829429960223</v>
      </c>
      <c r="M10" s="21">
        <f t="shared" si="2"/>
        <v>0</v>
      </c>
      <c r="N10" s="34">
        <v>0</v>
      </c>
      <c r="O10" s="35">
        <v>0.86165916064704395</v>
      </c>
      <c r="P10" s="142">
        <v>6.5813118882993997</v>
      </c>
      <c r="Q10" s="35">
        <v>0.35758676217588981</v>
      </c>
      <c r="R10" s="35">
        <v>1.8803280433391674</v>
      </c>
      <c r="S10" s="35">
        <v>1.5835905200023288</v>
      </c>
      <c r="T10" s="18">
        <f t="shared" si="0"/>
        <v>0.22989289504935242</v>
      </c>
      <c r="U10" s="19">
        <f t="shared" si="0"/>
        <v>0</v>
      </c>
      <c r="V10" s="19">
        <f t="shared" si="0"/>
        <v>0</v>
      </c>
      <c r="W10" s="125">
        <f t="shared" si="0"/>
        <v>0.85206702442621163</v>
      </c>
      <c r="X10" s="19">
        <f t="shared" si="0"/>
        <v>9.964371293970995</v>
      </c>
      <c r="Y10" s="18">
        <f t="shared" si="1"/>
        <v>0</v>
      </c>
      <c r="Z10" s="19">
        <f t="shared" si="1"/>
        <v>0.25747250795077425</v>
      </c>
      <c r="AA10" s="125">
        <f t="shared" si="1"/>
        <v>1.9665628300339077</v>
      </c>
      <c r="AB10" s="19">
        <f t="shared" si="1"/>
        <v>0.1068505560809989</v>
      </c>
      <c r="AC10" s="19">
        <f t="shared" si="1"/>
        <v>0.56186111539179695</v>
      </c>
      <c r="AD10" s="19">
        <f t="shared" si="1"/>
        <v>0.47319292984234484</v>
      </c>
      <c r="AE10" s="22">
        <f t="shared" si="3"/>
        <v>1.3439358800969727</v>
      </c>
      <c r="AF10" s="165" t="s">
        <v>6</v>
      </c>
    </row>
    <row r="11" spans="1:32">
      <c r="A11" s="81">
        <v>126</v>
      </c>
      <c r="B11" s="1" t="s">
        <v>63</v>
      </c>
      <c r="C11" s="75">
        <v>45090</v>
      </c>
      <c r="D11" s="131">
        <v>45532</v>
      </c>
      <c r="E11" s="16">
        <v>1440</v>
      </c>
      <c r="F11" s="3">
        <v>3</v>
      </c>
      <c r="G11" s="17">
        <v>30</v>
      </c>
      <c r="H11" s="18">
        <v>1.4903649999999999</v>
      </c>
      <c r="I11" s="19">
        <v>0</v>
      </c>
      <c r="J11" s="19">
        <v>0</v>
      </c>
      <c r="K11" s="125">
        <v>2.5307930000000001</v>
      </c>
      <c r="L11" s="20">
        <v>10.953436999999999</v>
      </c>
      <c r="M11" s="21">
        <f t="shared" si="2"/>
        <v>0</v>
      </c>
      <c r="N11" s="34">
        <v>0</v>
      </c>
      <c r="O11" s="35">
        <v>0.349078</v>
      </c>
      <c r="P11" s="142">
        <v>1.690607</v>
      </c>
      <c r="Q11" s="35">
        <v>7.7376E-2</v>
      </c>
      <c r="R11" s="35">
        <v>2.0555669999999999</v>
      </c>
      <c r="S11" s="35">
        <v>0.69726299999999997</v>
      </c>
      <c r="T11" s="18">
        <f t="shared" si="0"/>
        <v>0.59378159692734134</v>
      </c>
      <c r="U11" s="19">
        <f t="shared" si="0"/>
        <v>0</v>
      </c>
      <c r="V11" s="19">
        <f t="shared" si="0"/>
        <v>0</v>
      </c>
      <c r="W11" s="125">
        <f t="shared" si="0"/>
        <v>1.0083022004895021</v>
      </c>
      <c r="X11" s="19">
        <f t="shared" si="0"/>
        <v>4.3639976205178099</v>
      </c>
      <c r="Y11" s="18">
        <f t="shared" si="1"/>
        <v>0</v>
      </c>
      <c r="Z11" s="19">
        <f t="shared" si="1"/>
        <v>0.13907740204057559</v>
      </c>
      <c r="AA11" s="125">
        <f t="shared" si="1"/>
        <v>0.6735607211901391</v>
      </c>
      <c r="AB11" s="19">
        <f t="shared" si="1"/>
        <v>3.0827646142958236E-2</v>
      </c>
      <c r="AC11" s="19">
        <f t="shared" si="1"/>
        <v>0.81896572708775639</v>
      </c>
      <c r="AD11" s="19">
        <f t="shared" si="1"/>
        <v>0.27779902078910113</v>
      </c>
      <c r="AE11" s="22">
        <f t="shared" si="3"/>
        <v>1.3191844453337831</v>
      </c>
      <c r="AF11" s="165" t="s">
        <v>6</v>
      </c>
    </row>
    <row r="12" spans="1:32">
      <c r="A12" s="81">
        <v>127</v>
      </c>
      <c r="B12" s="1" t="s">
        <v>64</v>
      </c>
      <c r="C12" s="75">
        <v>45098</v>
      </c>
      <c r="D12" s="131">
        <v>45551</v>
      </c>
      <c r="E12" s="16">
        <v>1440</v>
      </c>
      <c r="F12" s="3">
        <v>4</v>
      </c>
      <c r="G12" s="17">
        <v>30</v>
      </c>
      <c r="H12" s="18">
        <v>1.2893817300149752</v>
      </c>
      <c r="I12" s="19">
        <v>0</v>
      </c>
      <c r="J12" s="19">
        <v>0</v>
      </c>
      <c r="K12" s="125">
        <v>2.1118333723744827</v>
      </c>
      <c r="L12" s="20">
        <v>18.366880247459122</v>
      </c>
      <c r="M12" s="21">
        <f t="shared" si="2"/>
        <v>0</v>
      </c>
      <c r="N12" s="34">
        <v>0</v>
      </c>
      <c r="O12" s="35">
        <v>0.84651841423660723</v>
      </c>
      <c r="P12" s="142">
        <v>3.2488843347187371</v>
      </c>
      <c r="Q12" s="35">
        <v>0.24750837156433039</v>
      </c>
      <c r="R12" s="35">
        <v>1.7503323129099484</v>
      </c>
      <c r="S12" s="35">
        <v>1.0045005800697873</v>
      </c>
      <c r="T12" s="18">
        <f t="shared" si="0"/>
        <v>0.38528035549876877</v>
      </c>
      <c r="U12" s="19">
        <f t="shared" si="0"/>
        <v>0</v>
      </c>
      <c r="V12" s="19">
        <f t="shared" si="0"/>
        <v>0</v>
      </c>
      <c r="W12" s="125">
        <f t="shared" si="0"/>
        <v>0.6310372588055474</v>
      </c>
      <c r="X12" s="19">
        <f t="shared" si="0"/>
        <v>5.4882103464132195</v>
      </c>
      <c r="Y12" s="18">
        <f t="shared" si="1"/>
        <v>0</v>
      </c>
      <c r="Z12" s="19">
        <f t="shared" si="1"/>
        <v>0.25294829915850142</v>
      </c>
      <c r="AA12" s="125">
        <f t="shared" si="1"/>
        <v>0.97079963389916957</v>
      </c>
      <c r="AB12" s="19">
        <f t="shared" si="1"/>
        <v>7.3958015043472825E-2</v>
      </c>
      <c r="AC12" s="19">
        <f t="shared" si="1"/>
        <v>0.523017070942284</v>
      </c>
      <c r="AD12" s="19">
        <f t="shared" si="1"/>
        <v>0.30015497472847874</v>
      </c>
      <c r="AE12" s="22">
        <f t="shared" si="3"/>
        <v>1.2914234737970067</v>
      </c>
      <c r="AF12" s="165" t="s">
        <v>6</v>
      </c>
    </row>
    <row r="13" spans="1:32">
      <c r="A13" s="81">
        <v>128</v>
      </c>
      <c r="B13" s="1" t="s">
        <v>65</v>
      </c>
      <c r="C13" s="75">
        <v>45113</v>
      </c>
      <c r="D13" s="131">
        <v>45551</v>
      </c>
      <c r="E13" s="16">
        <v>1440</v>
      </c>
      <c r="F13" s="3">
        <v>4</v>
      </c>
      <c r="G13" s="17">
        <v>30</v>
      </c>
      <c r="H13" s="18">
        <v>0.33819439492262704</v>
      </c>
      <c r="I13" s="19">
        <v>0</v>
      </c>
      <c r="J13" s="19">
        <v>0</v>
      </c>
      <c r="K13" s="125">
        <v>1.2527979490382863</v>
      </c>
      <c r="L13" s="20">
        <v>8.017012814847547</v>
      </c>
      <c r="M13" s="21">
        <f t="shared" si="2"/>
        <v>0</v>
      </c>
      <c r="N13" s="34">
        <v>0</v>
      </c>
      <c r="O13" s="35">
        <v>0.45716443308480331</v>
      </c>
      <c r="P13" s="142">
        <v>1.5131629350136944</v>
      </c>
      <c r="Q13" s="35">
        <v>0.18521126039405228</v>
      </c>
      <c r="R13" s="35">
        <v>1.1378436369485994</v>
      </c>
      <c r="S13" s="35">
        <v>0.62694569740513939</v>
      </c>
      <c r="T13" s="18">
        <f t="shared" si="0"/>
        <v>0.10105591980271617</v>
      </c>
      <c r="U13" s="19">
        <f t="shared" si="0"/>
        <v>0</v>
      </c>
      <c r="V13" s="19">
        <f t="shared" si="0"/>
        <v>0</v>
      </c>
      <c r="W13" s="125">
        <f t="shared" si="0"/>
        <v>0.37434875020913583</v>
      </c>
      <c r="X13" s="19">
        <f t="shared" si="0"/>
        <v>2.3955648474302285</v>
      </c>
      <c r="Y13" s="18">
        <f t="shared" si="1"/>
        <v>0</v>
      </c>
      <c r="Z13" s="19">
        <f t="shared" si="1"/>
        <v>0.13660537542924575</v>
      </c>
      <c r="AA13" s="125">
        <f t="shared" si="1"/>
        <v>0.45214845220652033</v>
      </c>
      <c r="AB13" s="19">
        <f t="shared" si="1"/>
        <v>5.5343005555202579E-2</v>
      </c>
      <c r="AC13" s="19">
        <f t="shared" si="1"/>
        <v>0.33999923431556361</v>
      </c>
      <c r="AD13" s="19">
        <f t="shared" si="1"/>
        <v>0.18733774145525559</v>
      </c>
      <c r="AE13" s="22">
        <f t="shared" si="3"/>
        <v>1.0236395520941992</v>
      </c>
      <c r="AF13" s="165" t="s">
        <v>6</v>
      </c>
    </row>
    <row r="14" spans="1:32">
      <c r="A14" s="81">
        <v>129</v>
      </c>
      <c r="B14" s="1" t="s">
        <v>66</v>
      </c>
      <c r="C14" s="75">
        <v>45121</v>
      </c>
      <c r="D14" s="131">
        <v>45532</v>
      </c>
      <c r="E14" s="16">
        <v>1440</v>
      </c>
      <c r="F14" s="3">
        <v>3</v>
      </c>
      <c r="G14" s="17">
        <v>30</v>
      </c>
      <c r="H14" s="18">
        <v>0.52762699999999996</v>
      </c>
      <c r="I14" s="19">
        <v>0</v>
      </c>
      <c r="J14" s="19">
        <v>0</v>
      </c>
      <c r="K14" s="125">
        <v>1.223433</v>
      </c>
      <c r="L14" s="20">
        <v>4.7995530000000004</v>
      </c>
      <c r="M14" s="21">
        <f t="shared" si="2"/>
        <v>0</v>
      </c>
      <c r="N14" s="34">
        <v>0</v>
      </c>
      <c r="O14" s="35">
        <v>0.34385399999999999</v>
      </c>
      <c r="P14" s="142">
        <v>1.0808770000000001</v>
      </c>
      <c r="Q14" s="35">
        <v>4.9463E-2</v>
      </c>
      <c r="R14" s="35">
        <v>0.99355499999999997</v>
      </c>
      <c r="S14" s="35">
        <v>0.41435</v>
      </c>
      <c r="T14" s="18">
        <f t="shared" si="0"/>
        <v>0.21021374135999052</v>
      </c>
      <c r="U14" s="19">
        <f t="shared" si="0"/>
        <v>0</v>
      </c>
      <c r="V14" s="19">
        <f t="shared" si="0"/>
        <v>0</v>
      </c>
      <c r="W14" s="125">
        <f t="shared" si="0"/>
        <v>0.48743227361995745</v>
      </c>
      <c r="X14" s="19">
        <f t="shared" si="0"/>
        <v>1.9122069056086342</v>
      </c>
      <c r="Y14" s="18">
        <f t="shared" si="1"/>
        <v>0</v>
      </c>
      <c r="Z14" s="19">
        <f t="shared" si="1"/>
        <v>0.13699608970276006</v>
      </c>
      <c r="AA14" s="125">
        <f t="shared" si="1"/>
        <v>0.43063603287921676</v>
      </c>
      <c r="AB14" s="19">
        <f t="shared" si="1"/>
        <v>1.9706728974994099E-2</v>
      </c>
      <c r="AC14" s="19">
        <f t="shared" si="1"/>
        <v>0.39584576565817403</v>
      </c>
      <c r="AD14" s="19">
        <f t="shared" si="1"/>
        <v>0.16508265068412359</v>
      </c>
      <c r="AE14" s="22">
        <f t="shared" si="3"/>
        <v>0.96683194734454414</v>
      </c>
      <c r="AF14" s="165" t="s">
        <v>6</v>
      </c>
    </row>
    <row r="15" spans="1:32">
      <c r="A15" s="81">
        <v>130</v>
      </c>
      <c r="B15" s="1" t="s">
        <v>67</v>
      </c>
      <c r="C15" s="75">
        <v>45129</v>
      </c>
      <c r="D15" s="131">
        <v>45567</v>
      </c>
      <c r="E15" s="16">
        <v>1440</v>
      </c>
      <c r="F15" s="3">
        <v>4</v>
      </c>
      <c r="G15" s="17">
        <v>30</v>
      </c>
      <c r="H15" s="18">
        <v>0.12429134528820653</v>
      </c>
      <c r="I15" s="19">
        <v>0</v>
      </c>
      <c r="J15" s="19">
        <v>0</v>
      </c>
      <c r="K15" s="125">
        <v>0.94978622700469395</v>
      </c>
      <c r="L15" s="20">
        <v>13.150997942958803</v>
      </c>
      <c r="M15" s="21">
        <f t="shared" si="2"/>
        <v>0</v>
      </c>
      <c r="N15" s="34">
        <v>0</v>
      </c>
      <c r="O15" s="35">
        <v>0.26025903946911222</v>
      </c>
      <c r="P15" s="142">
        <v>3.5933739040040598</v>
      </c>
      <c r="Q15" s="35">
        <v>0.10723601584387982</v>
      </c>
      <c r="R15" s="35">
        <v>0.33702973087219945</v>
      </c>
      <c r="S15" s="35">
        <v>0.65627888551432711</v>
      </c>
      <c r="T15" s="18">
        <f t="shared" si="0"/>
        <v>3.7139516237370801E-2</v>
      </c>
      <c r="U15" s="19">
        <f t="shared" si="0"/>
        <v>0</v>
      </c>
      <c r="V15" s="19">
        <f t="shared" si="0"/>
        <v>0</v>
      </c>
      <c r="W15" s="125">
        <f t="shared" si="0"/>
        <v>0.28380577037023219</v>
      </c>
      <c r="X15" s="19">
        <f t="shared" si="0"/>
        <v>3.92965174290774</v>
      </c>
      <c r="Y15" s="18">
        <f t="shared" si="1"/>
        <v>0</v>
      </c>
      <c r="Z15" s="19">
        <f t="shared" si="1"/>
        <v>7.7768044105342687E-2</v>
      </c>
      <c r="AA15" s="125">
        <f t="shared" si="1"/>
        <v>1.0737366157333432</v>
      </c>
      <c r="AB15" s="19">
        <f t="shared" si="1"/>
        <v>3.2043210590646229E-2</v>
      </c>
      <c r="AC15" s="19">
        <f t="shared" si="1"/>
        <v>0.10070790635647306</v>
      </c>
      <c r="AD15" s="19">
        <f t="shared" si="1"/>
        <v>0.19610279596125429</v>
      </c>
      <c r="AE15" s="22">
        <f t="shared" si="3"/>
        <v>1.1549376769211293</v>
      </c>
      <c r="AF15" s="165" t="s">
        <v>6</v>
      </c>
    </row>
    <row r="16" spans="1:32">
      <c r="A16" s="81">
        <v>131</v>
      </c>
      <c r="B16" s="1" t="s">
        <v>68</v>
      </c>
      <c r="C16" s="75">
        <v>45137</v>
      </c>
      <c r="D16" s="131">
        <v>45567</v>
      </c>
      <c r="E16" s="16">
        <v>1440</v>
      </c>
      <c r="F16" s="3">
        <v>4</v>
      </c>
      <c r="G16" s="17">
        <v>30</v>
      </c>
      <c r="H16" s="18">
        <v>0.98245091121438477</v>
      </c>
      <c r="I16" s="19">
        <v>0</v>
      </c>
      <c r="J16" s="19">
        <v>0</v>
      </c>
      <c r="K16" s="125">
        <v>3.0301178039564354</v>
      </c>
      <c r="L16" s="20">
        <v>4.659531884138544</v>
      </c>
      <c r="M16" s="21">
        <f t="shared" si="2"/>
        <v>0</v>
      </c>
      <c r="N16" s="34">
        <v>0</v>
      </c>
      <c r="O16" s="35">
        <v>0.34710743801652905</v>
      </c>
      <c r="P16" s="142">
        <v>1.5778164852639982</v>
      </c>
      <c r="Q16" s="35">
        <v>0.12054171314146198</v>
      </c>
      <c r="R16" s="35">
        <v>1.2224461039876002</v>
      </c>
      <c r="S16" s="35">
        <v>0.33602348902059165</v>
      </c>
      <c r="T16" s="18">
        <f t="shared" si="0"/>
        <v>0.29356630974472642</v>
      </c>
      <c r="U16" s="19">
        <f t="shared" si="0"/>
        <v>0</v>
      </c>
      <c r="V16" s="19">
        <f t="shared" si="0"/>
        <v>0</v>
      </c>
      <c r="W16" s="125">
        <f t="shared" si="0"/>
        <v>0.90542997278077209</v>
      </c>
      <c r="X16" s="19">
        <f t="shared" si="0"/>
        <v>1.3923154477750324</v>
      </c>
      <c r="Y16" s="18">
        <f t="shared" si="1"/>
        <v>0</v>
      </c>
      <c r="Z16" s="19">
        <f t="shared" si="1"/>
        <v>0.10371922759733995</v>
      </c>
      <c r="AA16" s="125">
        <f t="shared" si="1"/>
        <v>0.47146758962318369</v>
      </c>
      <c r="AB16" s="19">
        <f t="shared" si="1"/>
        <v>3.601908807179522E-2</v>
      </c>
      <c r="AC16" s="19">
        <f t="shared" si="1"/>
        <v>0.36527931066384611</v>
      </c>
      <c r="AD16" s="19">
        <f t="shared" si="1"/>
        <v>0.10040723107212521</v>
      </c>
      <c r="AE16" s="22">
        <f>(W16/62+X16/96*2+T16/35+U16/46)/(AA16/18+AD16/39+Z16/23+AB16/24*2+AC16/40*2)</f>
        <v>0.95335020171133866</v>
      </c>
      <c r="AF16" s="165" t="s">
        <v>6</v>
      </c>
    </row>
    <row r="17" spans="1:32">
      <c r="A17" s="81">
        <v>132</v>
      </c>
      <c r="B17" s="1" t="s">
        <v>69</v>
      </c>
      <c r="C17" s="75">
        <v>45145</v>
      </c>
      <c r="D17" s="131">
        <v>45567</v>
      </c>
      <c r="E17" s="16">
        <v>1440</v>
      </c>
      <c r="F17" s="3">
        <v>4</v>
      </c>
      <c r="G17" s="17">
        <v>30</v>
      </c>
      <c r="H17" s="18">
        <v>1.8997542519282709</v>
      </c>
      <c r="I17" s="19">
        <v>0</v>
      </c>
      <c r="J17" s="19">
        <v>0</v>
      </c>
      <c r="K17" s="125">
        <v>2.730149183478682</v>
      </c>
      <c r="L17" s="20">
        <v>2.3380219047089561</v>
      </c>
      <c r="M17" s="21">
        <f t="shared" si="2"/>
        <v>0</v>
      </c>
      <c r="N17" s="34">
        <v>0</v>
      </c>
      <c r="O17" s="35">
        <v>0.28980466434562224</v>
      </c>
      <c r="P17" s="142">
        <v>0.96652223549139604</v>
      </c>
      <c r="Q17" s="35">
        <v>6.1127163822555577E-2</v>
      </c>
      <c r="R17" s="35">
        <v>0.55202198111878253</v>
      </c>
      <c r="S17" s="35">
        <v>0.50906471131962616</v>
      </c>
      <c r="T17" s="18">
        <f>(H17/1000*$G17)*(1000/$E17)*($B$1/($B$2*$F17))</f>
        <v>0.56766586380491113</v>
      </c>
      <c r="U17" s="19">
        <f t="shared" si="0"/>
        <v>0</v>
      </c>
      <c r="V17" s="19">
        <f t="shared" si="0"/>
        <v>0</v>
      </c>
      <c r="W17" s="125">
        <f t="shared" si="0"/>
        <v>0.81579630259157077</v>
      </c>
      <c r="X17" s="19">
        <f t="shared" si="0"/>
        <v>0.69862468936930955</v>
      </c>
      <c r="Y17" s="18">
        <f t="shared" si="1"/>
        <v>0</v>
      </c>
      <c r="Z17" s="19">
        <f t="shared" si="1"/>
        <v>8.6596576874860706E-2</v>
      </c>
      <c r="AA17" s="125">
        <f t="shared" si="1"/>
        <v>0.28880665967189156</v>
      </c>
      <c r="AB17" s="19">
        <f t="shared" si="1"/>
        <v>1.8265417339139868E-2</v>
      </c>
      <c r="AC17" s="19">
        <f t="shared" si="1"/>
        <v>0.16494977412632408</v>
      </c>
      <c r="AD17" s="19">
        <f t="shared" si="1"/>
        <v>0.15211370564931589</v>
      </c>
      <c r="AE17" s="22">
        <f t="shared" si="3"/>
        <v>1.3121839582903727</v>
      </c>
      <c r="AF17" s="165" t="s">
        <v>6</v>
      </c>
    </row>
    <row r="18" spans="1:32">
      <c r="A18" s="81">
        <v>133</v>
      </c>
      <c r="B18" s="1" t="s">
        <v>70</v>
      </c>
      <c r="C18" s="75">
        <v>45153</v>
      </c>
      <c r="D18" s="131">
        <v>45567</v>
      </c>
      <c r="E18" s="16">
        <v>1440</v>
      </c>
      <c r="F18" s="3">
        <v>4</v>
      </c>
      <c r="G18" s="17">
        <v>30</v>
      </c>
      <c r="H18" s="18">
        <v>1.5038869558870045</v>
      </c>
      <c r="I18" s="19">
        <v>0</v>
      </c>
      <c r="J18" s="19">
        <v>0</v>
      </c>
      <c r="K18" s="125">
        <v>2.7880378646235116</v>
      </c>
      <c r="L18" s="20">
        <v>3.9483515872574628</v>
      </c>
      <c r="M18" s="21">
        <f t="shared" si="2"/>
        <v>0</v>
      </c>
      <c r="N18" s="34">
        <v>0</v>
      </c>
      <c r="O18" s="35">
        <v>0.2872292587873792</v>
      </c>
      <c r="P18" s="142">
        <v>1.3193138152724755</v>
      </c>
      <c r="Q18" s="35">
        <v>8.74750792633123E-2</v>
      </c>
      <c r="R18" s="35">
        <v>1.0343807242496827</v>
      </c>
      <c r="S18" s="35">
        <v>0.41404836066210443</v>
      </c>
      <c r="T18" s="18">
        <f t="shared" si="0"/>
        <v>0.4493766954394311</v>
      </c>
      <c r="U18" s="19">
        <f t="shared" si="0"/>
        <v>0</v>
      </c>
      <c r="V18" s="19">
        <f t="shared" si="0"/>
        <v>0</v>
      </c>
      <c r="W18" s="125">
        <f t="shared" si="0"/>
        <v>0.83309402841755698</v>
      </c>
      <c r="X18" s="19">
        <f t="shared" si="0"/>
        <v>1.1798075525352878</v>
      </c>
      <c r="Y18" s="18">
        <f t="shared" si="1"/>
        <v>0</v>
      </c>
      <c r="Z18" s="19">
        <f t="shared" si="1"/>
        <v>8.5827019539018917E-2</v>
      </c>
      <c r="AA18" s="125">
        <f t="shared" si="1"/>
        <v>0.39422436655490123</v>
      </c>
      <c r="AB18" s="19">
        <f t="shared" si="1"/>
        <v>2.6138442054286365E-2</v>
      </c>
      <c r="AC18" s="19">
        <f t="shared" si="1"/>
        <v>0.30908346526312508</v>
      </c>
      <c r="AD18" s="19">
        <f t="shared" si="1"/>
        <v>0.12372185511557175</v>
      </c>
      <c r="AE18" s="22">
        <f t="shared" si="3"/>
        <v>1.0951374380129779</v>
      </c>
      <c r="AF18" s="165" t="s">
        <v>6</v>
      </c>
    </row>
    <row r="19" spans="1:32">
      <c r="A19" s="81">
        <v>135</v>
      </c>
      <c r="B19" s="1" t="s">
        <v>71</v>
      </c>
      <c r="C19" s="75">
        <v>45170</v>
      </c>
      <c r="D19" s="131">
        <v>45532</v>
      </c>
      <c r="E19" s="16">
        <v>1440</v>
      </c>
      <c r="F19" s="3">
        <v>2</v>
      </c>
      <c r="G19" s="17">
        <v>30</v>
      </c>
      <c r="H19" s="18">
        <v>0.81664199999999998</v>
      </c>
      <c r="I19" s="19">
        <v>7.9856999999999997E-2</v>
      </c>
      <c r="J19" s="19">
        <v>0</v>
      </c>
      <c r="K19" s="125">
        <v>2.938768</v>
      </c>
      <c r="L19" s="20">
        <v>4.4396069999999996</v>
      </c>
      <c r="M19" s="21">
        <f t="shared" si="2"/>
        <v>2.7173631943726077E-2</v>
      </c>
      <c r="N19" s="34">
        <v>0</v>
      </c>
      <c r="O19" s="35">
        <v>0.244841</v>
      </c>
      <c r="P19" s="142">
        <v>1.657213</v>
      </c>
      <c r="Q19" s="35">
        <v>4.2813999999999998E-2</v>
      </c>
      <c r="R19" s="35">
        <v>1.244707</v>
      </c>
      <c r="S19" s="35">
        <v>0.23507500000000001</v>
      </c>
      <c r="T19" s="18">
        <f t="shared" si="0"/>
        <v>0.48804184633757958</v>
      </c>
      <c r="U19" s="19">
        <f t="shared" si="0"/>
        <v>4.7724165207006362E-2</v>
      </c>
      <c r="V19" s="19">
        <f t="shared" si="0"/>
        <v>0</v>
      </c>
      <c r="W19" s="125">
        <f t="shared" si="0"/>
        <v>1.7562674472753006</v>
      </c>
      <c r="X19" s="19">
        <f t="shared" si="0"/>
        <v>2.653199317807855</v>
      </c>
      <c r="Y19" s="18">
        <f t="shared" si="1"/>
        <v>0</v>
      </c>
      <c r="Z19" s="19">
        <f t="shared" si="1"/>
        <v>0.14632195466206649</v>
      </c>
      <c r="AA19" s="125">
        <f t="shared" si="1"/>
        <v>0.99038414910651074</v>
      </c>
      <c r="AB19" s="19">
        <f t="shared" si="1"/>
        <v>2.5586516012031137E-2</v>
      </c>
      <c r="AC19" s="19">
        <f t="shared" si="1"/>
        <v>0.74386218493453637</v>
      </c>
      <c r="AD19" s="19">
        <f t="shared" si="1"/>
        <v>0.14048559470099078</v>
      </c>
      <c r="AE19" s="22">
        <f t="shared" si="3"/>
        <v>0.94509416760031462</v>
      </c>
      <c r="AF19" s="165" t="s">
        <v>6</v>
      </c>
    </row>
    <row r="20" spans="1:32">
      <c r="A20" s="81">
        <v>136</v>
      </c>
      <c r="B20" s="1" t="s">
        <v>72</v>
      </c>
      <c r="C20" s="75">
        <v>45178</v>
      </c>
      <c r="D20" s="131">
        <v>45532</v>
      </c>
      <c r="E20" s="16">
        <v>1440</v>
      </c>
      <c r="F20" s="3">
        <v>2</v>
      </c>
      <c r="G20" s="17">
        <v>30</v>
      </c>
      <c r="H20" s="18">
        <v>0.55648900000000001</v>
      </c>
      <c r="I20" s="19">
        <v>8.1266000000000005E-2</v>
      </c>
      <c r="J20" s="19">
        <v>0</v>
      </c>
      <c r="K20" s="125">
        <v>2.725333</v>
      </c>
      <c r="L20" s="20">
        <v>3.4040300000000001</v>
      </c>
      <c r="M20" s="21">
        <f t="shared" si="2"/>
        <v>2.9818741416186574E-2</v>
      </c>
      <c r="N20" s="34">
        <v>0</v>
      </c>
      <c r="O20" s="35">
        <v>0.126804</v>
      </c>
      <c r="P20" s="142">
        <v>1.683182</v>
      </c>
      <c r="Q20" s="35">
        <v>4.8625000000000002E-2</v>
      </c>
      <c r="R20" s="35">
        <v>1.17899</v>
      </c>
      <c r="S20" s="35">
        <v>0.38411099999999998</v>
      </c>
      <c r="T20" s="18">
        <f t="shared" si="0"/>
        <v>0.3325691294674451</v>
      </c>
      <c r="U20" s="19">
        <f t="shared" si="0"/>
        <v>4.856621222576079E-2</v>
      </c>
      <c r="V20" s="19">
        <f t="shared" si="0"/>
        <v>0</v>
      </c>
      <c r="W20" s="125">
        <f t="shared" si="0"/>
        <v>1.6287143561128803</v>
      </c>
      <c r="X20" s="19">
        <f t="shared" si="0"/>
        <v>2.0343174685951873</v>
      </c>
      <c r="Y20" s="18">
        <f t="shared" si="1"/>
        <v>0</v>
      </c>
      <c r="Z20" s="19">
        <f t="shared" si="1"/>
        <v>7.5780645966029722E-2</v>
      </c>
      <c r="AA20" s="125">
        <f t="shared" si="1"/>
        <v>1.0059037509731068</v>
      </c>
      <c r="AB20" s="19">
        <f t="shared" si="1"/>
        <v>2.9059287641542812E-2</v>
      </c>
      <c r="AC20" s="19">
        <f t="shared" si="1"/>
        <v>0.70458837093064386</v>
      </c>
      <c r="AD20" s="19">
        <f t="shared" si="1"/>
        <v>0.22955253542993626</v>
      </c>
      <c r="AE20" s="22">
        <f t="shared" si="3"/>
        <v>0.77115026946320719</v>
      </c>
      <c r="AF20" s="165" t="s">
        <v>6</v>
      </c>
    </row>
    <row r="21" spans="1:32">
      <c r="A21" s="81">
        <v>137</v>
      </c>
      <c r="B21" s="1" t="s">
        <v>73</v>
      </c>
      <c r="C21" s="75">
        <v>45186</v>
      </c>
      <c r="D21" s="131">
        <v>45567</v>
      </c>
      <c r="E21" s="16">
        <v>1440</v>
      </c>
      <c r="F21" s="3">
        <v>4</v>
      </c>
      <c r="G21" s="17">
        <v>30</v>
      </c>
      <c r="H21" s="18">
        <v>0.72607606024477489</v>
      </c>
      <c r="I21" s="19">
        <v>0</v>
      </c>
      <c r="J21" s="19">
        <v>0</v>
      </c>
      <c r="K21" s="125">
        <v>4.7436685276466672</v>
      </c>
      <c r="L21" s="20">
        <v>40.611830766664809</v>
      </c>
      <c r="M21" s="21">
        <f t="shared" si="2"/>
        <v>0</v>
      </c>
      <c r="N21" s="34">
        <v>0</v>
      </c>
      <c r="O21" s="35">
        <v>0.44146743610882122</v>
      </c>
      <c r="P21" s="142">
        <v>8.0379468291143557</v>
      </c>
      <c r="Q21" s="35">
        <v>0.40951247573796123</v>
      </c>
      <c r="R21" s="35">
        <v>2.6246723967873749</v>
      </c>
      <c r="S21" s="35">
        <v>0.7981917182560333</v>
      </c>
      <c r="T21" s="18">
        <f t="shared" si="0"/>
        <v>0.2169589006096769</v>
      </c>
      <c r="U21" s="19">
        <f t="shared" si="0"/>
        <v>0</v>
      </c>
      <c r="V21" s="19">
        <f t="shared" si="0"/>
        <v>0</v>
      </c>
      <c r="W21" s="125">
        <f t="shared" si="0"/>
        <v>1.4174563313215258</v>
      </c>
      <c r="X21" s="20">
        <f t="shared" si="0"/>
        <v>12.13522747453132</v>
      </c>
      <c r="Y21" s="18">
        <f t="shared" si="1"/>
        <v>0</v>
      </c>
      <c r="Z21" s="19">
        <f t="shared" si="1"/>
        <v>0.13191495331887568</v>
      </c>
      <c r="AA21" s="125">
        <f t="shared" si="1"/>
        <v>2.4018201434926585</v>
      </c>
      <c r="AB21" s="19">
        <f t="shared" si="1"/>
        <v>0.1223664866351644</v>
      </c>
      <c r="AC21" s="19">
        <f t="shared" si="1"/>
        <v>0.7842787675379117</v>
      </c>
      <c r="AD21" s="19">
        <f t="shared" si="1"/>
        <v>0.23850779160821975</v>
      </c>
      <c r="AE21" s="22">
        <f t="shared" si="3"/>
        <v>1.4477820450882228</v>
      </c>
      <c r="AF21" s="165" t="s">
        <v>6</v>
      </c>
    </row>
    <row r="22" spans="1:32">
      <c r="A22" s="135">
        <v>138</v>
      </c>
      <c r="B22" s="2" t="s">
        <v>74</v>
      </c>
      <c r="C22" s="76">
        <v>45202</v>
      </c>
      <c r="D22" s="138">
        <v>45526</v>
      </c>
      <c r="E22" s="24">
        <v>1440</v>
      </c>
      <c r="F22" s="25">
        <v>1</v>
      </c>
      <c r="G22" s="23">
        <v>50</v>
      </c>
      <c r="H22" s="26">
        <v>0.25542900000000002</v>
      </c>
      <c r="I22" s="27">
        <v>7.7132999999999993E-2</v>
      </c>
      <c r="J22" s="27">
        <v>0</v>
      </c>
      <c r="K22" s="28">
        <v>1.3725780000000001</v>
      </c>
      <c r="L22" s="29">
        <v>3.7135050000000001</v>
      </c>
      <c r="M22" s="30">
        <f t="shared" si="2"/>
        <v>5.619571346764992E-2</v>
      </c>
      <c r="N22" s="143">
        <v>0</v>
      </c>
      <c r="O22" s="144">
        <v>7.4899999999999994E-2</v>
      </c>
      <c r="P22" s="145">
        <v>1.7549920000000001</v>
      </c>
      <c r="Q22" s="144">
        <v>2.3921999999999999E-2</v>
      </c>
      <c r="R22" s="144">
        <v>0.68255900000000003</v>
      </c>
      <c r="S22" s="144">
        <v>0.163852</v>
      </c>
      <c r="T22" s="26">
        <f t="shared" ref="T22:X34" si="4">(H22/1000*$G22)*(1000/$E22)*($B$1/($B$2*$F22))</f>
        <v>0.50883186173036088</v>
      </c>
      <c r="U22" s="27">
        <f t="shared" si="4"/>
        <v>0.1536541582625619</v>
      </c>
      <c r="V22" s="27">
        <f t="shared" si="4"/>
        <v>0</v>
      </c>
      <c r="W22" s="28">
        <f t="shared" si="4"/>
        <v>2.7342683059094126</v>
      </c>
      <c r="X22" s="29">
        <f t="shared" si="4"/>
        <v>7.3975533815463539</v>
      </c>
      <c r="Y22" s="26">
        <f t="shared" ref="Y22:AD38" si="5">(N22/1000*$G22)*(1000/$E22)*($B$1/($B$2*$F22))</f>
        <v>0</v>
      </c>
      <c r="Z22" s="27">
        <f t="shared" si="5"/>
        <v>0.14920587107808442</v>
      </c>
      <c r="AA22" s="28">
        <f>(P22/1000*$G22)*(1000/$E22)*($B$1/($B$2*$F22))</f>
        <v>3.4960628851144135</v>
      </c>
      <c r="AB22" s="27">
        <f t="shared" ref="AB22:AD35" si="6">(Q22/1000*$G22)*(1000/$E22)*($B$1/($B$2*$F22))</f>
        <v>4.7654243630573238E-2</v>
      </c>
      <c r="AC22" s="27">
        <f t="shared" si="6"/>
        <v>1.3597037404163717</v>
      </c>
      <c r="AD22" s="27">
        <f t="shared" si="6"/>
        <v>0.32640427754187301</v>
      </c>
      <c r="AE22" s="22">
        <f t="shared" si="3"/>
        <v>0.76891617661365397</v>
      </c>
      <c r="AF22" s="166" t="s">
        <v>6</v>
      </c>
    </row>
    <row r="23" spans="1:32">
      <c r="A23" s="81"/>
      <c r="B23" s="1"/>
      <c r="C23" s="75"/>
      <c r="D23" s="131"/>
      <c r="E23" s="16"/>
      <c r="G23" s="17"/>
      <c r="H23" s="18"/>
      <c r="I23" s="19"/>
      <c r="J23" s="19"/>
      <c r="K23" s="125"/>
      <c r="L23" s="19"/>
      <c r="M23" s="21"/>
      <c r="N23" s="34"/>
      <c r="O23" s="35"/>
      <c r="P23" s="142"/>
      <c r="Q23" s="35"/>
      <c r="R23" s="35"/>
      <c r="S23" s="35"/>
      <c r="T23" s="18"/>
      <c r="U23" s="19"/>
      <c r="V23" s="19"/>
      <c r="W23" s="125"/>
      <c r="X23" s="19"/>
      <c r="Y23" s="18"/>
      <c r="Z23" s="19"/>
      <c r="AA23" s="125"/>
      <c r="AB23" s="19"/>
      <c r="AC23" s="19"/>
      <c r="AD23" s="19"/>
      <c r="AE23" s="22"/>
      <c r="AF23" s="165"/>
    </row>
    <row r="24" spans="1:32">
      <c r="A24" s="81">
        <v>139</v>
      </c>
      <c r="B24" s="77" t="s">
        <v>23</v>
      </c>
      <c r="C24" s="75">
        <v>45293</v>
      </c>
      <c r="D24" s="131">
        <v>45555</v>
      </c>
      <c r="E24" s="16">
        <v>1440</v>
      </c>
      <c r="F24" s="3">
        <v>2</v>
      </c>
      <c r="G24" s="17">
        <v>30</v>
      </c>
      <c r="H24" s="13">
        <v>2.3946598696306207</v>
      </c>
      <c r="I24" s="19">
        <v>0</v>
      </c>
      <c r="J24" s="19">
        <v>0</v>
      </c>
      <c r="K24" s="125">
        <v>8.5316745322953889</v>
      </c>
      <c r="L24" s="19">
        <v>12.479607239965526</v>
      </c>
      <c r="M24" s="160">
        <f t="shared" si="2"/>
        <v>0</v>
      </c>
      <c r="N24" s="13">
        <v>0</v>
      </c>
      <c r="O24" s="14">
        <v>0.32111084279159618</v>
      </c>
      <c r="P24" s="159">
        <v>5.1879786258718639</v>
      </c>
      <c r="Q24" s="14">
        <v>0.16045865924968472</v>
      </c>
      <c r="R24" s="14">
        <v>1.7467086417323969</v>
      </c>
      <c r="S24" s="15">
        <v>0.66196698762035766</v>
      </c>
      <c r="T24" s="18">
        <f>(H24/1000*$G24)*(1000/$E24)*($B$1/($B$2*$F24))</f>
        <v>1.4310973769718383</v>
      </c>
      <c r="U24" s="19">
        <f t="shared" si="4"/>
        <v>0</v>
      </c>
      <c r="V24" s="19">
        <f t="shared" si="4"/>
        <v>0</v>
      </c>
      <c r="W24" s="125">
        <f t="shared" si="4"/>
        <v>5.0987019907043081</v>
      </c>
      <c r="X24" s="19">
        <f t="shared" si="4"/>
        <v>7.4580667648254693</v>
      </c>
      <c r="Y24" s="18">
        <f t="shared" si="5"/>
        <v>0</v>
      </c>
      <c r="Z24" s="19">
        <f t="shared" si="5"/>
        <v>0.19190236186116663</v>
      </c>
      <c r="AA24" s="125">
        <f t="shared" si="5"/>
        <v>3.10044140189998</v>
      </c>
      <c r="AB24" s="19">
        <f t="shared" si="6"/>
        <v>9.5893353906691875E-2</v>
      </c>
      <c r="AC24" s="19">
        <f t="shared" si="6"/>
        <v>1.0438685623870494</v>
      </c>
      <c r="AD24" s="19">
        <f t="shared" si="6"/>
        <v>0.39560491727435648</v>
      </c>
      <c r="AE24" s="22">
        <f t="shared" si="3"/>
        <v>1.1099298177850956</v>
      </c>
      <c r="AF24" s="165" t="s">
        <v>6</v>
      </c>
    </row>
    <row r="25" spans="1:32">
      <c r="A25" s="81">
        <v>140</v>
      </c>
      <c r="B25" s="1" t="s">
        <v>7</v>
      </c>
      <c r="C25" s="75">
        <v>45300</v>
      </c>
      <c r="D25" s="131">
        <v>45568</v>
      </c>
      <c r="E25" s="16">
        <v>1440</v>
      </c>
      <c r="F25" s="3">
        <v>2</v>
      </c>
      <c r="G25" s="17">
        <v>30</v>
      </c>
      <c r="H25" s="18">
        <v>1.6701062636448067</v>
      </c>
      <c r="I25" s="19">
        <v>0</v>
      </c>
      <c r="J25" s="19">
        <v>0</v>
      </c>
      <c r="K25" s="125">
        <v>8.3196236279456901</v>
      </c>
      <c r="L25" s="19">
        <v>19.312838802163274</v>
      </c>
      <c r="M25" s="161">
        <f t="shared" si="2"/>
        <v>0</v>
      </c>
      <c r="N25" s="18">
        <v>0</v>
      </c>
      <c r="O25" s="19">
        <v>0.54929185220025567</v>
      </c>
      <c r="P25" s="125">
        <v>6.1694911698058901</v>
      </c>
      <c r="Q25" s="19">
        <v>0.33066572686666457</v>
      </c>
      <c r="R25" s="19">
        <v>1.458926420942491</v>
      </c>
      <c r="S25" s="20">
        <v>0.79860324495318757</v>
      </c>
      <c r="T25" s="18">
        <f t="shared" ref="T25:X40" si="7">(H25/1000*$G25)*(1000/$E25)*($B$1/($B$2*$F25))</f>
        <v>0.9980894253408078</v>
      </c>
      <c r="U25" s="19">
        <f t="shared" si="4"/>
        <v>0</v>
      </c>
      <c r="V25" s="19">
        <f t="shared" si="4"/>
        <v>0</v>
      </c>
      <c r="W25" s="125">
        <f t="shared" si="4"/>
        <v>4.9719760632154193</v>
      </c>
      <c r="X25" s="19">
        <f t="shared" si="4"/>
        <v>11.541744738854739</v>
      </c>
      <c r="Y25" s="18">
        <f t="shared" si="5"/>
        <v>0</v>
      </c>
      <c r="Z25" s="19">
        <f t="shared" si="5"/>
        <v>0.32826796775821188</v>
      </c>
      <c r="AA25" s="125">
        <f>(P25/1000*$G25)*(1000/$E25)*($B$1/($B$2*$F25))</f>
        <v>3.687013234043143</v>
      </c>
      <c r="AB25" s="19">
        <f t="shared" si="6"/>
        <v>0.19761255465744446</v>
      </c>
      <c r="AC25" s="19">
        <f t="shared" si="6"/>
        <v>0.87188406198487234</v>
      </c>
      <c r="AD25" s="19">
        <f t="shared" si="6"/>
        <v>0.47726151992933985</v>
      </c>
      <c r="AE25" s="22">
        <f t="shared" si="3"/>
        <v>1.1982012816729968</v>
      </c>
      <c r="AF25" s="165" t="s">
        <v>6</v>
      </c>
    </row>
    <row r="26" spans="1:32">
      <c r="A26" s="81">
        <v>141</v>
      </c>
      <c r="B26" s="1" t="s">
        <v>8</v>
      </c>
      <c r="C26" s="75">
        <v>45305</v>
      </c>
      <c r="D26" s="131">
        <v>45555</v>
      </c>
      <c r="E26" s="16">
        <v>1440</v>
      </c>
      <c r="F26" s="3">
        <v>2</v>
      </c>
      <c r="G26" s="17">
        <v>30</v>
      </c>
      <c r="H26" s="18">
        <v>2.1844392445261573</v>
      </c>
      <c r="I26" s="19">
        <v>5.0690600011183806E-2</v>
      </c>
      <c r="J26" s="19">
        <v>0</v>
      </c>
      <c r="K26" s="125">
        <v>6.0601557785235771</v>
      </c>
      <c r="L26" s="19">
        <v>12.917938486007211</v>
      </c>
      <c r="M26" s="161">
        <f t="shared" si="2"/>
        <v>8.3645704605193258E-3</v>
      </c>
      <c r="N26" s="18">
        <v>0</v>
      </c>
      <c r="O26" s="19">
        <v>0.94433228688722526</v>
      </c>
      <c r="P26" s="125">
        <v>4.7097235205292307</v>
      </c>
      <c r="Q26" s="19">
        <v>0.30927881883916641</v>
      </c>
      <c r="R26" s="19">
        <v>1.4223042690725167</v>
      </c>
      <c r="S26" s="20">
        <v>0.64045863263538638</v>
      </c>
      <c r="T26" s="18">
        <f t="shared" si="7"/>
        <v>1.3054652615354256</v>
      </c>
      <c r="U26" s="19">
        <f t="shared" si="4"/>
        <v>3.0293732163442333E-2</v>
      </c>
      <c r="V26" s="19">
        <f t="shared" si="4"/>
        <v>0</v>
      </c>
      <c r="W26" s="125">
        <f t="shared" si="4"/>
        <v>3.6216721834586005</v>
      </c>
      <c r="X26" s="19">
        <f t="shared" si="4"/>
        <v>7.7200224205787062</v>
      </c>
      <c r="Y26" s="18">
        <f t="shared" si="5"/>
        <v>0</v>
      </c>
      <c r="Z26" s="19">
        <f t="shared" si="5"/>
        <v>0.56435215534913741</v>
      </c>
      <c r="AA26" s="125">
        <f t="shared" si="5"/>
        <v>2.8146264369192511</v>
      </c>
      <c r="AB26" s="19">
        <f t="shared" si="6"/>
        <v>0.18483130402229198</v>
      </c>
      <c r="AC26" s="19">
        <f t="shared" si="6"/>
        <v>0.84999792018041276</v>
      </c>
      <c r="AD26" s="19">
        <f t="shared" si="6"/>
        <v>0.38275108747066094</v>
      </c>
      <c r="AE26" s="22">
        <f t="shared" si="3"/>
        <v>1.0345247814654446</v>
      </c>
      <c r="AF26" s="165" t="s">
        <v>6</v>
      </c>
    </row>
    <row r="27" spans="1:32">
      <c r="A27" s="81">
        <v>142</v>
      </c>
      <c r="B27" s="1" t="s">
        <v>9</v>
      </c>
      <c r="C27" s="75">
        <v>45310</v>
      </c>
      <c r="D27" s="131">
        <v>45568</v>
      </c>
      <c r="E27" s="16">
        <v>1440</v>
      </c>
      <c r="F27" s="3">
        <v>3</v>
      </c>
      <c r="G27" s="17">
        <v>30</v>
      </c>
      <c r="H27" s="18">
        <v>2.3631237410592592</v>
      </c>
      <c r="I27" s="19">
        <v>0</v>
      </c>
      <c r="J27" s="19">
        <v>0</v>
      </c>
      <c r="K27" s="125">
        <v>7.8662604692295695</v>
      </c>
      <c r="L27" s="19">
        <v>13.741246127410184</v>
      </c>
      <c r="M27" s="161">
        <f t="shared" si="2"/>
        <v>0</v>
      </c>
      <c r="N27" s="18">
        <v>0</v>
      </c>
      <c r="O27" s="19">
        <v>0.36532814303440642</v>
      </c>
      <c r="P27" s="125">
        <v>5.3062093109691002</v>
      </c>
      <c r="Q27" s="19">
        <v>0.21983004403332593</v>
      </c>
      <c r="R27" s="19">
        <v>1.2438256371784493</v>
      </c>
      <c r="S27" s="20">
        <v>0.76778792884004665</v>
      </c>
      <c r="T27" s="18">
        <f t="shared" si="7"/>
        <v>0.94150049732990226</v>
      </c>
      <c r="U27" s="19">
        <f t="shared" si="4"/>
        <v>0</v>
      </c>
      <c r="V27" s="19">
        <f t="shared" si="4"/>
        <v>0</v>
      </c>
      <c r="W27" s="125">
        <f t="shared" si="4"/>
        <v>3.1340246874192235</v>
      </c>
      <c r="X27" s="19">
        <f t="shared" si="4"/>
        <v>5.4746985264047821</v>
      </c>
      <c r="Y27" s="18">
        <f t="shared" si="5"/>
        <v>0</v>
      </c>
      <c r="Z27" s="19">
        <f t="shared" si="5"/>
        <v>0.14555167906752373</v>
      </c>
      <c r="AA27" s="125">
        <f t="shared" si="5"/>
        <v>2.1140656404960931</v>
      </c>
      <c r="AB27" s="19">
        <f t="shared" si="6"/>
        <v>8.7583266245997465E-2</v>
      </c>
      <c r="AC27" s="19">
        <f t="shared" si="6"/>
        <v>0.49555697640711338</v>
      </c>
      <c r="AD27" s="19">
        <f t="shared" si="6"/>
        <v>0.30589710741206266</v>
      </c>
      <c r="AE27" s="22">
        <f t="shared" si="3"/>
        <v>1.1698792687293862</v>
      </c>
      <c r="AF27" s="165" t="s">
        <v>6</v>
      </c>
    </row>
    <row r="28" spans="1:32">
      <c r="A28" s="81">
        <v>143</v>
      </c>
      <c r="B28" s="1" t="s">
        <v>10</v>
      </c>
      <c r="C28" s="75">
        <v>45315</v>
      </c>
      <c r="D28" s="131">
        <v>45555</v>
      </c>
      <c r="E28" s="16">
        <v>1440</v>
      </c>
      <c r="F28" s="3">
        <v>2</v>
      </c>
      <c r="G28" s="17">
        <v>30</v>
      </c>
      <c r="H28" s="18">
        <v>5.0613404646498417</v>
      </c>
      <c r="I28" s="19">
        <v>0.13837163786836659</v>
      </c>
      <c r="J28" s="19">
        <v>0</v>
      </c>
      <c r="K28" s="125">
        <v>26.971761886361563</v>
      </c>
      <c r="L28" s="19">
        <v>19.894905262355898</v>
      </c>
      <c r="M28" s="161">
        <f t="shared" si="2"/>
        <v>5.1302409702176357E-3</v>
      </c>
      <c r="N28" s="18">
        <v>0</v>
      </c>
      <c r="O28" s="19">
        <v>1.3637575464863561</v>
      </c>
      <c r="P28" s="125">
        <v>8.6015136262313945</v>
      </c>
      <c r="Q28" s="19">
        <v>0.23016246049330519</v>
      </c>
      <c r="R28" s="19">
        <v>1.8455466114200725</v>
      </c>
      <c r="S28" s="20">
        <v>1.9850094248306078</v>
      </c>
      <c r="T28" s="18">
        <f t="shared" si="7"/>
        <v>3.0247598645560863</v>
      </c>
      <c r="U28" s="19">
        <f t="shared" si="4"/>
        <v>8.2693701311018261E-2</v>
      </c>
      <c r="V28" s="19">
        <f t="shared" si="4"/>
        <v>0</v>
      </c>
      <c r="W28" s="125">
        <f t="shared" si="4"/>
        <v>16.118872737377526</v>
      </c>
      <c r="X28" s="19">
        <f t="shared" si="4"/>
        <v>11.889599478047176</v>
      </c>
      <c r="Y28" s="18">
        <f t="shared" si="5"/>
        <v>0</v>
      </c>
      <c r="Z28" s="19">
        <f t="shared" si="5"/>
        <v>0.81500920959736178</v>
      </c>
      <c r="AA28" s="125">
        <f t="shared" si="5"/>
        <v>5.1404392517698314</v>
      </c>
      <c r="AB28" s="19">
        <f t="shared" si="6"/>
        <v>0.13754976131126354</v>
      </c>
      <c r="AC28" s="19">
        <f t="shared" si="6"/>
        <v>1.1029361406093683</v>
      </c>
      <c r="AD28" s="19">
        <f t="shared" si="6"/>
        <v>1.1862819505876832</v>
      </c>
      <c r="AE28" s="22">
        <f t="shared" si="3"/>
        <v>1.4254580374895138</v>
      </c>
      <c r="AF28" s="165" t="s">
        <v>6</v>
      </c>
    </row>
    <row r="29" spans="1:32">
      <c r="A29" s="81">
        <v>144</v>
      </c>
      <c r="B29" s="1" t="s">
        <v>11</v>
      </c>
      <c r="C29" s="75">
        <v>45320</v>
      </c>
      <c r="D29" s="131">
        <v>45568</v>
      </c>
      <c r="E29" s="16">
        <v>1440</v>
      </c>
      <c r="F29" s="3">
        <v>3</v>
      </c>
      <c r="G29" s="17">
        <v>30</v>
      </c>
      <c r="H29" s="18">
        <v>2.8248820968072659</v>
      </c>
      <c r="I29" s="19">
        <v>0</v>
      </c>
      <c r="J29" s="19">
        <v>0</v>
      </c>
      <c r="K29" s="125">
        <v>9.1353131665192748</v>
      </c>
      <c r="L29" s="19">
        <v>16.504946155574473</v>
      </c>
      <c r="M29" s="161">
        <f t="shared" si="2"/>
        <v>0</v>
      </c>
      <c r="N29" s="18">
        <v>0</v>
      </c>
      <c r="O29" s="19">
        <v>0.41205011650323214</v>
      </c>
      <c r="P29" s="125">
        <v>5.6047229249343573</v>
      </c>
      <c r="Q29" s="19">
        <v>0.29336411442329013</v>
      </c>
      <c r="R29" s="19">
        <v>2.6118196355595913</v>
      </c>
      <c r="S29" s="20">
        <v>0.90575404589396868</v>
      </c>
      <c r="T29" s="18">
        <f t="shared" si="7"/>
        <v>1.125471278897233</v>
      </c>
      <c r="U29" s="19">
        <f t="shared" si="4"/>
        <v>0</v>
      </c>
      <c r="V29" s="19">
        <f t="shared" si="4"/>
        <v>0</v>
      </c>
      <c r="W29" s="125">
        <f t="shared" si="4"/>
        <v>3.6396324661725021</v>
      </c>
      <c r="X29" s="19">
        <f t="shared" si="4"/>
        <v>6.5757940406925766</v>
      </c>
      <c r="Y29" s="18">
        <f t="shared" si="5"/>
        <v>0</v>
      </c>
      <c r="Z29" s="19">
        <f t="shared" si="5"/>
        <v>0.16416634595645108</v>
      </c>
      <c r="AA29" s="125">
        <f t="shared" si="5"/>
        <v>2.2329975064516421</v>
      </c>
      <c r="AB29" s="19">
        <f t="shared" si="6"/>
        <v>0.11688023560901958</v>
      </c>
      <c r="AC29" s="19">
        <f t="shared" si="6"/>
        <v>1.0405843092724001</v>
      </c>
      <c r="AD29" s="19">
        <f t="shared" si="6"/>
        <v>0.36086467663580474</v>
      </c>
      <c r="AE29" s="22">
        <f t="shared" si="3"/>
        <v>1.1267981514088514</v>
      </c>
      <c r="AF29" s="165" t="s">
        <v>6</v>
      </c>
    </row>
    <row r="30" spans="1:32">
      <c r="A30" s="81">
        <v>145</v>
      </c>
      <c r="B30" s="1" t="s">
        <v>12</v>
      </c>
      <c r="C30" s="75">
        <v>45327</v>
      </c>
      <c r="D30" s="131">
        <v>45555</v>
      </c>
      <c r="E30" s="16">
        <v>1440</v>
      </c>
      <c r="F30" s="3">
        <v>2</v>
      </c>
      <c r="G30" s="17">
        <v>30</v>
      </c>
      <c r="H30" s="18">
        <v>3.7219204412502092</v>
      </c>
      <c r="I30" s="19">
        <v>0</v>
      </c>
      <c r="J30" s="19">
        <v>0</v>
      </c>
      <c r="K30" s="125">
        <v>10.424233806718274</v>
      </c>
      <c r="L30" s="19">
        <v>12.172942033609365</v>
      </c>
      <c r="M30" s="161">
        <f t="shared" si="2"/>
        <v>0</v>
      </c>
      <c r="N30" s="18">
        <v>0</v>
      </c>
      <c r="O30" s="19">
        <v>0.49360057957015213</v>
      </c>
      <c r="P30" s="125">
        <v>5.4276960343711806</v>
      </c>
      <c r="Q30" s="19">
        <v>0.25642858267726071</v>
      </c>
      <c r="R30" s="19">
        <v>2.0648057592259299</v>
      </c>
      <c r="S30" s="20">
        <v>1.6082231647052829</v>
      </c>
      <c r="T30" s="18">
        <f t="shared" si="7"/>
        <v>2.2242952530843758</v>
      </c>
      <c r="U30" s="19">
        <f t="shared" si="4"/>
        <v>0</v>
      </c>
      <c r="V30" s="19">
        <f t="shared" si="4"/>
        <v>0</v>
      </c>
      <c r="W30" s="125">
        <f t="shared" si="4"/>
        <v>6.2297338536168869</v>
      </c>
      <c r="X30" s="19">
        <f t="shared" si="4"/>
        <v>7.2747974087091345</v>
      </c>
      <c r="Y30" s="18">
        <f t="shared" si="5"/>
        <v>0</v>
      </c>
      <c r="Z30" s="19">
        <f t="shared" si="5"/>
        <v>0.29498573206707029</v>
      </c>
      <c r="AA30" s="125">
        <f t="shared" si="5"/>
        <v>3.2437013942139514</v>
      </c>
      <c r="AB30" s="19">
        <f t="shared" si="6"/>
        <v>0.15324692942995707</v>
      </c>
      <c r="AC30" s="19">
        <f t="shared" si="6"/>
        <v>1.233969860797131</v>
      </c>
      <c r="AD30" s="19">
        <f t="shared" si="6"/>
        <v>0.96110682848253148</v>
      </c>
      <c r="AE30" s="22">
        <f t="shared" si="3"/>
        <v>1.0802522757588513</v>
      </c>
      <c r="AF30" s="165" t="s">
        <v>6</v>
      </c>
    </row>
    <row r="31" spans="1:32">
      <c r="A31" s="1">
        <v>146</v>
      </c>
      <c r="B31" s="163" t="s">
        <v>13</v>
      </c>
      <c r="C31" s="131">
        <v>45337</v>
      </c>
      <c r="D31" s="131">
        <v>45604</v>
      </c>
      <c r="E31" s="16">
        <v>1440</v>
      </c>
      <c r="F31" s="33">
        <v>2</v>
      </c>
      <c r="G31" s="33">
        <v>30</v>
      </c>
      <c r="H31" s="19">
        <v>4.4502742820264594</v>
      </c>
      <c r="I31" s="19">
        <v>0</v>
      </c>
      <c r="J31" s="19">
        <v>0</v>
      </c>
      <c r="K31" s="125">
        <v>18.228510450397408</v>
      </c>
      <c r="L31" s="20">
        <v>17.611207773874792</v>
      </c>
      <c r="M31" s="161">
        <f t="shared" si="2"/>
        <v>0</v>
      </c>
      <c r="N31" s="19">
        <v>0</v>
      </c>
      <c r="O31" s="19">
        <v>0.75041104899704036</v>
      </c>
      <c r="P31" s="125">
        <v>6.2242893810374431</v>
      </c>
      <c r="Q31" s="19">
        <v>0.38199880330811542</v>
      </c>
      <c r="R31" s="19">
        <v>2.608183768601454</v>
      </c>
      <c r="S31" s="20">
        <v>2.174244650088033</v>
      </c>
      <c r="T31" s="19">
        <f t="shared" si="7"/>
        <v>2.6595743022142373</v>
      </c>
      <c r="U31" s="19">
        <f t="shared" si="7"/>
        <v>0</v>
      </c>
      <c r="V31" s="19">
        <f t="shared" si="7"/>
        <v>0</v>
      </c>
      <c r="W31" s="125">
        <f t="shared" si="7"/>
        <v>10.893728091618867</v>
      </c>
      <c r="X31" s="20">
        <f t="shared" si="7"/>
        <v>10.52481547385095</v>
      </c>
      <c r="Y31" s="19">
        <f t="shared" si="5"/>
        <v>0</v>
      </c>
      <c r="Z31" s="19">
        <f t="shared" si="5"/>
        <v>0.44846088477525697</v>
      </c>
      <c r="AA31" s="125">
        <f t="shared" si="5"/>
        <v>3.7197617581031883</v>
      </c>
      <c r="AB31" s="19">
        <f t="shared" si="6"/>
        <v>0.22829024378520646</v>
      </c>
      <c r="AC31" s="19">
        <f t="shared" si="6"/>
        <v>1.5587035959648901</v>
      </c>
      <c r="AD31" s="19">
        <f t="shared" si="6"/>
        <v>1.2993727648327764</v>
      </c>
      <c r="AE31" s="22">
        <f t="shared" si="3"/>
        <v>1.3213318226297748</v>
      </c>
      <c r="AF31" s="165" t="s">
        <v>6</v>
      </c>
    </row>
    <row r="32" spans="1:32">
      <c r="A32" s="1">
        <v>147</v>
      </c>
      <c r="B32" s="163" t="s">
        <v>14</v>
      </c>
      <c r="C32" s="131">
        <v>45340</v>
      </c>
      <c r="D32" s="131">
        <v>45555</v>
      </c>
      <c r="E32" s="16">
        <v>1440</v>
      </c>
      <c r="F32" s="33">
        <v>3</v>
      </c>
      <c r="G32" s="33">
        <v>30</v>
      </c>
      <c r="H32" s="19">
        <v>5.6683102122680937</v>
      </c>
      <c r="I32" s="19">
        <v>0</v>
      </c>
      <c r="J32" s="19">
        <v>0</v>
      </c>
      <c r="K32" s="125">
        <v>23.219694173935316</v>
      </c>
      <c r="L32" s="20">
        <v>22.53439269336813</v>
      </c>
      <c r="M32" s="161">
        <f t="shared" si="2"/>
        <v>0</v>
      </c>
      <c r="N32" s="19">
        <v>0</v>
      </c>
      <c r="O32" s="19">
        <v>0.73695242695001195</v>
      </c>
      <c r="P32" s="125">
        <v>8.17382882720932</v>
      </c>
      <c r="Q32" s="19">
        <v>0.4308788808627087</v>
      </c>
      <c r="R32" s="19">
        <v>3.4014698989010475</v>
      </c>
      <c r="S32" s="20">
        <v>2.4761354373630851</v>
      </c>
      <c r="T32" s="19">
        <f t="shared" si="7"/>
        <v>2.2583315427563759</v>
      </c>
      <c r="U32" s="19">
        <f t="shared" si="4"/>
        <v>0</v>
      </c>
      <c r="V32" s="19">
        <f t="shared" si="4"/>
        <v>0</v>
      </c>
      <c r="W32" s="125">
        <f t="shared" si="4"/>
        <v>9.251040575136825</v>
      </c>
      <c r="X32" s="20">
        <f t="shared" si="4"/>
        <v>8.9780071856598482</v>
      </c>
      <c r="Y32" s="19">
        <f t="shared" si="5"/>
        <v>0</v>
      </c>
      <c r="Z32" s="19">
        <f t="shared" si="5"/>
        <v>0.29361182591771673</v>
      </c>
      <c r="AA32" s="125">
        <f t="shared" si="5"/>
        <v>3.2565640859997962</v>
      </c>
      <c r="AB32" s="19">
        <f t="shared" si="6"/>
        <v>0.17166798063623664</v>
      </c>
      <c r="AC32" s="19">
        <f t="shared" si="6"/>
        <v>1.3551916667861539</v>
      </c>
      <c r="AD32" s="19">
        <f t="shared" si="6"/>
        <v>0.98652588742075475</v>
      </c>
      <c r="AE32" s="22">
        <f t="shared" si="3"/>
        <v>1.3312746825387876</v>
      </c>
      <c r="AF32" s="165" t="s">
        <v>6</v>
      </c>
    </row>
    <row r="33" spans="1:32">
      <c r="A33" s="1">
        <v>148</v>
      </c>
      <c r="B33" s="163" t="s">
        <v>15</v>
      </c>
      <c r="C33" s="131">
        <v>45347</v>
      </c>
      <c r="D33" s="131">
        <v>45604</v>
      </c>
      <c r="E33" s="16">
        <v>1440</v>
      </c>
      <c r="F33" s="33">
        <v>2</v>
      </c>
      <c r="G33" s="33">
        <v>30</v>
      </c>
      <c r="H33" s="19">
        <v>3.2866569861245556</v>
      </c>
      <c r="I33" s="19">
        <v>0</v>
      </c>
      <c r="J33" s="19">
        <v>0</v>
      </c>
      <c r="K33" s="125">
        <v>14.990947895201648</v>
      </c>
      <c r="L33" s="20">
        <v>14.781195627195432</v>
      </c>
      <c r="M33" s="161">
        <f t="shared" si="2"/>
        <v>0</v>
      </c>
      <c r="N33" s="19">
        <v>0</v>
      </c>
      <c r="O33" s="19">
        <v>0.4061821769154883</v>
      </c>
      <c r="P33" s="125">
        <v>5.7641863651341456</v>
      </c>
      <c r="Q33" s="19">
        <v>0.31695941903067959</v>
      </c>
      <c r="R33" s="19">
        <v>2.2356958578768173</v>
      </c>
      <c r="S33" s="20">
        <v>1.2940855499910531</v>
      </c>
      <c r="T33" s="19">
        <f t="shared" si="7"/>
        <v>1.9641729714936689</v>
      </c>
      <c r="U33" s="19">
        <f t="shared" si="7"/>
        <v>0</v>
      </c>
      <c r="V33" s="19">
        <f t="shared" si="7"/>
        <v>0</v>
      </c>
      <c r="W33" s="125">
        <f t="shared" si="7"/>
        <v>8.9588949492245877</v>
      </c>
      <c r="X33" s="20">
        <f t="shared" si="7"/>
        <v>8.8335427335030712</v>
      </c>
      <c r="Y33" s="19">
        <f t="shared" si="5"/>
        <v>0</v>
      </c>
      <c r="Z33" s="19">
        <f t="shared" si="5"/>
        <v>0.24274271905100681</v>
      </c>
      <c r="AA33" s="125">
        <f t="shared" si="5"/>
        <v>3.4447948504656503</v>
      </c>
      <c r="AB33" s="19">
        <f t="shared" si="6"/>
        <v>0.1894213867004384</v>
      </c>
      <c r="AC33" s="19">
        <f t="shared" si="6"/>
        <v>1.3360972547670591</v>
      </c>
      <c r="AD33" s="19">
        <f t="shared" si="6"/>
        <v>0.77337180935638339</v>
      </c>
      <c r="AE33" s="22">
        <f t="shared" si="3"/>
        <v>1.2638334736454233</v>
      </c>
      <c r="AF33" s="165" t="s">
        <v>6</v>
      </c>
    </row>
    <row r="34" spans="1:32">
      <c r="A34" s="1">
        <v>149</v>
      </c>
      <c r="B34" s="163" t="s">
        <v>16</v>
      </c>
      <c r="C34" s="131">
        <v>45356</v>
      </c>
      <c r="D34" s="131">
        <v>45555</v>
      </c>
      <c r="E34" s="16">
        <v>1440</v>
      </c>
      <c r="F34" s="33">
        <v>2</v>
      </c>
      <c r="G34" s="33">
        <v>30</v>
      </c>
      <c r="H34" s="19">
        <v>4.3528330269095772</v>
      </c>
      <c r="I34" s="19">
        <v>0</v>
      </c>
      <c r="J34" s="19">
        <v>0</v>
      </c>
      <c r="K34" s="125">
        <v>7.5412891237240967</v>
      </c>
      <c r="L34" s="20">
        <v>10.900614758977339</v>
      </c>
      <c r="M34" s="161">
        <f t="shared" si="2"/>
        <v>0</v>
      </c>
      <c r="N34" s="19">
        <v>0</v>
      </c>
      <c r="O34" s="19">
        <v>0.64255976817193916</v>
      </c>
      <c r="P34" s="125">
        <v>4.3782245451930688</v>
      </c>
      <c r="Q34" s="19">
        <v>0.32168049880495653</v>
      </c>
      <c r="R34" s="19">
        <v>2.1417323973819591</v>
      </c>
      <c r="S34" s="20">
        <v>1.2691043863671099</v>
      </c>
      <c r="T34" s="19">
        <f t="shared" si="7"/>
        <v>2.6013414289886452</v>
      </c>
      <c r="U34" s="19">
        <f t="shared" si="4"/>
        <v>0</v>
      </c>
      <c r="V34" s="19">
        <f t="shared" si="4"/>
        <v>0</v>
      </c>
      <c r="W34" s="125">
        <f t="shared" si="4"/>
        <v>4.5068275544336629</v>
      </c>
      <c r="X34" s="20">
        <f t="shared" si="4"/>
        <v>6.5144287866482138</v>
      </c>
      <c r="Y34" s="19">
        <f t="shared" si="5"/>
        <v>0</v>
      </c>
      <c r="Z34" s="19">
        <f t="shared" si="5"/>
        <v>0.38400676874429712</v>
      </c>
      <c r="AA34" s="125">
        <f t="shared" si="5"/>
        <v>2.6165159160519966</v>
      </c>
      <c r="AB34" s="19">
        <f t="shared" si="6"/>
        <v>0.19224279986525861</v>
      </c>
      <c r="AC34" s="19">
        <f t="shared" si="6"/>
        <v>1.2799427822464458</v>
      </c>
      <c r="AD34" s="19">
        <f t="shared" si="6"/>
        <v>0.75844255857245313</v>
      </c>
      <c r="AE34" s="22">
        <f t="shared" si="3"/>
        <v>1.0811001351039784</v>
      </c>
      <c r="AF34" s="165" t="s">
        <v>6</v>
      </c>
    </row>
    <row r="35" spans="1:32">
      <c r="A35" s="1">
        <v>150</v>
      </c>
      <c r="B35" s="163" t="s">
        <v>17</v>
      </c>
      <c r="C35" s="131">
        <v>45361</v>
      </c>
      <c r="D35" s="131">
        <v>45604</v>
      </c>
      <c r="E35" s="16">
        <v>1440</v>
      </c>
      <c r="F35" s="33">
        <v>2</v>
      </c>
      <c r="G35" s="33">
        <v>30</v>
      </c>
      <c r="H35" s="19">
        <v>3.448160696999031</v>
      </c>
      <c r="I35" s="19">
        <v>0</v>
      </c>
      <c r="J35" s="19">
        <v>0</v>
      </c>
      <c r="K35" s="125">
        <v>12.9955107447748</v>
      </c>
      <c r="L35" s="20">
        <v>11.654902990709434</v>
      </c>
      <c r="M35" s="161">
        <f t="shared" si="2"/>
        <v>0</v>
      </c>
      <c r="N35" s="19">
        <v>0</v>
      </c>
      <c r="O35" s="19">
        <v>0.48924695823742187</v>
      </c>
      <c r="P35" s="125">
        <v>5.1397391651202708</v>
      </c>
      <c r="Q35" s="19">
        <v>0.34738899863118122</v>
      </c>
      <c r="R35" s="19">
        <v>2.1898117871451186</v>
      </c>
      <c r="S35" s="20">
        <v>2.393907495730895</v>
      </c>
      <c r="T35" s="19">
        <f t="shared" si="7"/>
        <v>2.0606908694777912</v>
      </c>
      <c r="U35" s="19">
        <f t="shared" si="7"/>
        <v>0</v>
      </c>
      <c r="V35" s="19">
        <f t="shared" si="7"/>
        <v>0</v>
      </c>
      <c r="W35" s="125">
        <f t="shared" si="7"/>
        <v>7.7663811780189445</v>
      </c>
      <c r="X35" s="20">
        <f t="shared" si="7"/>
        <v>6.9652067545769265</v>
      </c>
      <c r="Y35" s="19">
        <f t="shared" si="5"/>
        <v>0</v>
      </c>
      <c r="Z35" s="19">
        <f t="shared" si="5"/>
        <v>0.29238391953051157</v>
      </c>
      <c r="AA35" s="125">
        <f t="shared" si="5"/>
        <v>3.0716125203441247</v>
      </c>
      <c r="AB35" s="19">
        <f t="shared" si="6"/>
        <v>0.2076067215368847</v>
      </c>
      <c r="AC35" s="19">
        <f t="shared" si="6"/>
        <v>1.3086760021283479</v>
      </c>
      <c r="AD35" s="19">
        <f t="shared" si="6"/>
        <v>1.430647743047599</v>
      </c>
      <c r="AE35" s="22">
        <f t="shared" si="3"/>
        <v>1.0874393131768831</v>
      </c>
      <c r="AF35" s="165" t="s">
        <v>6</v>
      </c>
    </row>
    <row r="36" spans="1:32">
      <c r="A36" s="1">
        <v>151</v>
      </c>
      <c r="B36" s="163" t="s">
        <v>18</v>
      </c>
      <c r="C36" s="131">
        <v>45369</v>
      </c>
      <c r="D36" s="131">
        <v>45555</v>
      </c>
      <c r="E36" s="16">
        <v>1440</v>
      </c>
      <c r="F36" s="33">
        <v>2</v>
      </c>
      <c r="G36" s="33">
        <v>30</v>
      </c>
      <c r="H36" s="19">
        <v>3.0095269931472508</v>
      </c>
      <c r="I36" s="19">
        <v>0</v>
      </c>
      <c r="J36" s="19">
        <v>0</v>
      </c>
      <c r="K36" s="125">
        <v>7.9027968931128347</v>
      </c>
      <c r="L36" s="20">
        <v>20.88990052428322</v>
      </c>
      <c r="M36" s="161">
        <f t="shared" si="2"/>
        <v>0</v>
      </c>
      <c r="N36" s="19">
        <v>0</v>
      </c>
      <c r="O36" s="19">
        <v>1.3889108910891088</v>
      </c>
      <c r="P36" s="125">
        <v>5.3014668871791191</v>
      </c>
      <c r="Q36" s="19">
        <v>0.52163373886877284</v>
      </c>
      <c r="R36" s="19">
        <v>2.108737796656269</v>
      </c>
      <c r="S36" s="20">
        <v>1.352240307707983</v>
      </c>
      <c r="T36" s="19">
        <f t="shared" si="7"/>
        <v>1.7985544587939006</v>
      </c>
      <c r="U36" s="19">
        <f t="shared" si="7"/>
        <v>0</v>
      </c>
      <c r="V36" s="19">
        <f t="shared" si="7"/>
        <v>0</v>
      </c>
      <c r="W36" s="125">
        <f t="shared" si="7"/>
        <v>4.7228719401471828</v>
      </c>
      <c r="X36" s="20">
        <f t="shared" si="7"/>
        <v>12.48422885631593</v>
      </c>
      <c r="Y36" s="19">
        <f t="shared" si="5"/>
        <v>0</v>
      </c>
      <c r="Z36" s="19">
        <f t="shared" si="5"/>
        <v>0.83004135923146438</v>
      </c>
      <c r="AA36" s="125">
        <f t="shared" si="5"/>
        <v>3.1682642919620077</v>
      </c>
      <c r="AB36" s="19">
        <f t="shared" si="5"/>
        <v>0.31173891745647514</v>
      </c>
      <c r="AC36" s="19">
        <f t="shared" si="5"/>
        <v>1.2602245386864317</v>
      </c>
      <c r="AD36" s="19">
        <f t="shared" si="5"/>
        <v>0.80812627377222912</v>
      </c>
      <c r="AE36" s="22">
        <f t="shared" si="3"/>
        <v>1.2045797007838888</v>
      </c>
      <c r="AF36" s="165" t="s">
        <v>6</v>
      </c>
    </row>
    <row r="37" spans="1:32">
      <c r="A37" s="1">
        <v>152</v>
      </c>
      <c r="B37" s="163" t="s">
        <v>19</v>
      </c>
      <c r="C37" s="131">
        <v>45376</v>
      </c>
      <c r="D37" s="131">
        <v>45604</v>
      </c>
      <c r="E37" s="16">
        <v>1440</v>
      </c>
      <c r="F37" s="33">
        <v>3</v>
      </c>
      <c r="G37" s="33">
        <v>30</v>
      </c>
      <c r="H37" s="19">
        <v>1.8501774766053565</v>
      </c>
      <c r="I37" s="19">
        <v>0.12234409904817756</v>
      </c>
      <c r="J37" s="19">
        <v>0</v>
      </c>
      <c r="K37" s="125">
        <v>3.4360465116279069</v>
      </c>
      <c r="L37" s="20">
        <v>13.523029447490236</v>
      </c>
      <c r="M37" s="161">
        <f t="shared" si="2"/>
        <v>3.5606066051246263E-2</v>
      </c>
      <c r="N37" s="19">
        <v>0</v>
      </c>
      <c r="O37" s="19">
        <v>0.26747780335415999</v>
      </c>
      <c r="P37" s="125">
        <v>2.8758714729193038</v>
      </c>
      <c r="Q37" s="19">
        <v>0.12171831840200652</v>
      </c>
      <c r="R37" s="19">
        <v>1.0909724505074414</v>
      </c>
      <c r="S37" s="20">
        <v>0.53593559119095335</v>
      </c>
      <c r="T37" s="19">
        <f t="shared" si="7"/>
        <v>0.73713575980228141</v>
      </c>
      <c r="U37" s="19">
        <f t="shared" si="7"/>
        <v>4.8743545713609539E-2</v>
      </c>
      <c r="V37" s="19">
        <f t="shared" si="7"/>
        <v>0</v>
      </c>
      <c r="W37" s="125">
        <f t="shared" si="7"/>
        <v>1.3689674574960087</v>
      </c>
      <c r="X37" s="20">
        <f t="shared" si="7"/>
        <v>5.3877580462680044</v>
      </c>
      <c r="Y37" s="19">
        <f t="shared" si="5"/>
        <v>0</v>
      </c>
      <c r="Z37" s="19">
        <f t="shared" si="5"/>
        <v>0.10656677875436589</v>
      </c>
      <c r="AA37" s="125">
        <f t="shared" si="5"/>
        <v>1.1457861367838142</v>
      </c>
      <c r="AB37" s="19">
        <f t="shared" si="5"/>
        <v>4.8494226230523414E-2</v>
      </c>
      <c r="AC37" s="19">
        <f t="shared" si="5"/>
        <v>0.43465819706316461</v>
      </c>
      <c r="AD37" s="19">
        <f t="shared" si="5"/>
        <v>0.21352399659651364</v>
      </c>
      <c r="AE37" s="22">
        <f t="shared" si="3"/>
        <v>1.571731515759897</v>
      </c>
      <c r="AF37" s="165" t="s">
        <v>6</v>
      </c>
    </row>
    <row r="38" spans="1:32">
      <c r="A38" s="1">
        <v>153</v>
      </c>
      <c r="B38" s="163" t="s">
        <v>20</v>
      </c>
      <c r="C38" s="131">
        <v>45384</v>
      </c>
      <c r="D38" s="131">
        <v>45568</v>
      </c>
      <c r="E38" s="16">
        <v>1440</v>
      </c>
      <c r="F38" s="33">
        <v>4</v>
      </c>
      <c r="G38" s="33">
        <v>30</v>
      </c>
      <c r="H38" s="19">
        <v>1.3726102741626158</v>
      </c>
      <c r="I38" s="19">
        <v>0</v>
      </c>
      <c r="J38" s="19">
        <v>0</v>
      </c>
      <c r="K38" s="125">
        <v>3.641926338240649</v>
      </c>
      <c r="L38" s="20">
        <v>26.017158064955083</v>
      </c>
      <c r="M38" s="161">
        <f t="shared" si="2"/>
        <v>0</v>
      </c>
      <c r="N38" s="19">
        <v>0</v>
      </c>
      <c r="O38" s="19">
        <v>1.2490817441137247</v>
      </c>
      <c r="P38" s="125">
        <v>5.6047229249343573</v>
      </c>
      <c r="Q38" s="19">
        <v>0.59551905470903155</v>
      </c>
      <c r="R38" s="19">
        <v>2.3785461868003868</v>
      </c>
      <c r="S38" s="20">
        <v>1.1759557124439299</v>
      </c>
      <c r="T38" s="19">
        <f t="shared" si="7"/>
        <v>0.41014988973396804</v>
      </c>
      <c r="U38" s="19">
        <f t="shared" si="7"/>
        <v>0</v>
      </c>
      <c r="V38" s="19">
        <f t="shared" si="7"/>
        <v>0</v>
      </c>
      <c r="W38" s="125">
        <f t="shared" si="7"/>
        <v>1.0882445761670516</v>
      </c>
      <c r="X38" s="20">
        <f t="shared" si="7"/>
        <v>7.7741910521852473</v>
      </c>
      <c r="Y38" s="19">
        <f t="shared" si="5"/>
        <v>0</v>
      </c>
      <c r="Z38" s="19">
        <f t="shared" si="5"/>
        <v>0.37323831043702527</v>
      </c>
      <c r="AA38" s="125">
        <f t="shared" si="5"/>
        <v>1.6747481298387314</v>
      </c>
      <c r="AB38" s="19">
        <f t="shared" si="5"/>
        <v>0.17794714145819454</v>
      </c>
      <c r="AC38" s="19">
        <f t="shared" si="5"/>
        <v>0.71073375641056302</v>
      </c>
      <c r="AD38" s="19">
        <f t="shared" si="5"/>
        <v>0.35138750952826298</v>
      </c>
      <c r="AE38" s="22">
        <f t="shared" si="3"/>
        <v>1.1339403102991881</v>
      </c>
      <c r="AF38" s="165" t="s">
        <v>6</v>
      </c>
    </row>
    <row r="39" spans="1:32">
      <c r="A39" s="1">
        <v>154</v>
      </c>
      <c r="B39" s="163" t="s">
        <v>21</v>
      </c>
      <c r="C39" s="131">
        <v>45398</v>
      </c>
      <c r="D39" s="131">
        <v>45604</v>
      </c>
      <c r="E39" s="16">
        <v>1440</v>
      </c>
      <c r="F39" s="33">
        <v>4</v>
      </c>
      <c r="G39" s="33">
        <v>30</v>
      </c>
      <c r="H39" s="19">
        <v>1.6466602129719261</v>
      </c>
      <c r="I39" s="19">
        <v>5.8538815604177667E-2</v>
      </c>
      <c r="J39" s="19">
        <v>0</v>
      </c>
      <c r="K39" s="125">
        <v>4.5496761848690017</v>
      </c>
      <c r="L39" s="20">
        <v>23.718853616099278</v>
      </c>
      <c r="M39" s="161">
        <f t="shared" si="2"/>
        <v>1.2866589450665085E-2</v>
      </c>
      <c r="N39" s="19">
        <v>0</v>
      </c>
      <c r="O39" s="19">
        <v>0.71673791515948693</v>
      </c>
      <c r="P39" s="125">
        <v>4.2051169768127501</v>
      </c>
      <c r="Q39" s="19">
        <v>0.26396891879707879</v>
      </c>
      <c r="R39" s="19">
        <v>2.1329872561671852</v>
      </c>
      <c r="S39" s="20">
        <v>0.98558334861301033</v>
      </c>
      <c r="T39" s="19">
        <f t="shared" si="7"/>
        <v>0.49203879461835842</v>
      </c>
      <c r="U39" s="19">
        <f t="shared" si="7"/>
        <v>1.7491992605008059E-2</v>
      </c>
      <c r="V39" s="19">
        <f t="shared" si="7"/>
        <v>0</v>
      </c>
      <c r="W39" s="125">
        <f t="shared" si="7"/>
        <v>1.3594894491720868</v>
      </c>
      <c r="X39" s="20">
        <f t="shared" si="7"/>
        <v>7.0874343419833092</v>
      </c>
      <c r="Y39" s="19">
        <f t="shared" ref="Y39:AD54" si="8">(N39/1000*$G39)*(1000/$E39)*($B$1/($B$2*$F39))</f>
        <v>0</v>
      </c>
      <c r="Z39" s="19">
        <f t="shared" si="8"/>
        <v>0.21416856802281994</v>
      </c>
      <c r="AA39" s="125">
        <f t="shared" si="8"/>
        <v>1.2565316585659292</v>
      </c>
      <c r="AB39" s="19">
        <f t="shared" si="8"/>
        <v>7.8876593724949817E-2</v>
      </c>
      <c r="AC39" s="19">
        <f t="shared" si="8"/>
        <v>0.63735825411524316</v>
      </c>
      <c r="AD39" s="19">
        <f t="shared" si="8"/>
        <v>0.29450231385152115</v>
      </c>
      <c r="AE39" s="22">
        <f t="shared" si="3"/>
        <v>1.4708555577186875</v>
      </c>
      <c r="AF39" s="165" t="s">
        <v>6</v>
      </c>
    </row>
    <row r="40" spans="1:32" ht="14.5" thickBot="1">
      <c r="A40" s="82">
        <v>155</v>
      </c>
      <c r="B40" s="83" t="s">
        <v>22</v>
      </c>
      <c r="C40" s="126">
        <v>45406</v>
      </c>
      <c r="D40" s="139">
        <v>45568</v>
      </c>
      <c r="E40" s="127">
        <v>1440</v>
      </c>
      <c r="F40" s="72">
        <v>4</v>
      </c>
      <c r="G40" s="128">
        <v>30</v>
      </c>
      <c r="H40" s="74">
        <v>1.7747174544972075</v>
      </c>
      <c r="I40" s="73">
        <v>0</v>
      </c>
      <c r="J40" s="73">
        <v>0</v>
      </c>
      <c r="K40" s="129">
        <v>4.8401979399677471</v>
      </c>
      <c r="L40" s="73">
        <v>28.820897269962632</v>
      </c>
      <c r="M40" s="162">
        <f t="shared" si="2"/>
        <v>0</v>
      </c>
      <c r="N40" s="74">
        <v>0</v>
      </c>
      <c r="O40" s="73">
        <v>0.59341455037178925</v>
      </c>
      <c r="P40" s="129">
        <v>7.0647172899157145</v>
      </c>
      <c r="Q40" s="73">
        <v>0.36268096429815944</v>
      </c>
      <c r="R40" s="73">
        <v>2.0138491303575305</v>
      </c>
      <c r="S40" s="130">
        <v>1.2448306470547046</v>
      </c>
      <c r="T40" s="74">
        <f t="shared" si="7"/>
        <v>0.53030359889666867</v>
      </c>
      <c r="U40" s="73">
        <f t="shared" si="7"/>
        <v>0</v>
      </c>
      <c r="V40" s="73">
        <f t="shared" si="7"/>
        <v>0</v>
      </c>
      <c r="W40" s="129">
        <f t="shared" si="7"/>
        <v>1.4463003000465371</v>
      </c>
      <c r="X40" s="73">
        <f t="shared" si="7"/>
        <v>8.6119768005676125</v>
      </c>
      <c r="Y40" s="74">
        <f t="shared" si="8"/>
        <v>0</v>
      </c>
      <c r="Z40" s="73">
        <f t="shared" si="8"/>
        <v>0.17731829418951797</v>
      </c>
      <c r="AA40" s="129">
        <f t="shared" si="8"/>
        <v>2.1110092733556973</v>
      </c>
      <c r="AB40" s="73">
        <f t="shared" si="8"/>
        <v>0.10837275541030679</v>
      </c>
      <c r="AC40" s="73">
        <f t="shared" si="8"/>
        <v>0.60175857219259976</v>
      </c>
      <c r="AD40" s="73">
        <f t="shared" si="8"/>
        <v>0.371968039462936</v>
      </c>
      <c r="AE40" s="22">
        <f t="shared" si="3"/>
        <v>1.2548352658302409</v>
      </c>
      <c r="AF40" s="167" t="s">
        <v>6</v>
      </c>
    </row>
    <row r="41" spans="1:32">
      <c r="A41" s="1">
        <v>156</v>
      </c>
      <c r="B41" s="131">
        <v>45417</v>
      </c>
      <c r="C41" s="614">
        <v>45417</v>
      </c>
      <c r="E41" s="16">
        <v>1440</v>
      </c>
      <c r="F41" s="616">
        <v>3</v>
      </c>
      <c r="G41" s="33">
        <v>30</v>
      </c>
      <c r="H41" s="13">
        <v>3.425624151821296</v>
      </c>
      <c r="I41" s="19">
        <v>6.1161231268506124E-2</v>
      </c>
      <c r="J41" s="19">
        <v>0</v>
      </c>
      <c r="K41" s="125">
        <v>3.2505324283328476</v>
      </c>
      <c r="L41" s="19">
        <v>15.25523967189212</v>
      </c>
      <c r="M41" s="160">
        <f t="shared" ref="M41:M93" si="9">I41/K41</f>
        <v>1.8815757915657792E-2</v>
      </c>
      <c r="N41" s="13"/>
      <c r="O41" s="14"/>
      <c r="P41" s="159"/>
      <c r="Q41" s="14"/>
      <c r="R41" s="14"/>
      <c r="S41" s="15"/>
      <c r="T41" s="18">
        <f t="shared" ref="T41:T77" si="10">(H41/1000*$G41)*(1000/$E41)*($B$1/($B$2*$F41))</f>
        <v>1.3648150482206158</v>
      </c>
      <c r="U41" s="19">
        <f t="shared" ref="U41:U93" si="11">(I41/1000*$G41)*(1000/$E41)*($B$1/($B$2*$F41))</f>
        <v>2.436746271729141E-2</v>
      </c>
      <c r="V41" s="19">
        <f t="shared" ref="V41:V93" si="12">(J41/1000*$G41)*(1000/$E41)*($B$1/($B$2*$F41))</f>
        <v>0</v>
      </c>
      <c r="W41" s="125">
        <f t="shared" ref="W41:W93" si="13">(K41/1000*$G41)*(1000/$E41)*($B$1/($B$2*$F41))</f>
        <v>1.2950561346781404</v>
      </c>
      <c r="X41" s="19">
        <f t="shared" ref="X41:X93" si="14">(L41/1000*$G41)*(1000/$E41)*($B$1/($B$2*$F41))</f>
        <v>6.0778940554061807</v>
      </c>
      <c r="Y41" s="18">
        <f t="shared" si="8"/>
        <v>0</v>
      </c>
      <c r="Z41" s="19">
        <f t="shared" si="8"/>
        <v>0</v>
      </c>
      <c r="AA41" s="125">
        <f t="shared" si="8"/>
        <v>0</v>
      </c>
      <c r="AB41" s="19">
        <f t="shared" si="8"/>
        <v>0</v>
      </c>
      <c r="AC41" s="19">
        <f t="shared" si="8"/>
        <v>0</v>
      </c>
      <c r="AD41" s="19">
        <f t="shared" si="8"/>
        <v>0</v>
      </c>
      <c r="AE41" s="22" t="e">
        <f t="shared" ref="AE41:AE93" si="15">(W41/62+X41/96*2+T41/35+U41/46)/(AA41/18+AD41/39+Z41/23+AB41/24*2+AC41/40*2)</f>
        <v>#DIV/0!</v>
      </c>
      <c r="AF41" s="165" t="s">
        <v>6</v>
      </c>
    </row>
    <row r="42" spans="1:32">
      <c r="A42" s="1">
        <v>157</v>
      </c>
      <c r="B42" s="1" t="s">
        <v>255</v>
      </c>
      <c r="C42" s="615">
        <v>45425</v>
      </c>
      <c r="E42" s="16">
        <v>1440</v>
      </c>
      <c r="F42" s="616">
        <v>2</v>
      </c>
      <c r="G42" s="33">
        <v>30</v>
      </c>
      <c r="H42" s="18">
        <v>1.1215184283652502</v>
      </c>
      <c r="I42" s="19">
        <v>0</v>
      </c>
      <c r="J42" s="19">
        <v>0</v>
      </c>
      <c r="K42" s="125">
        <v>2.0620489680849428</v>
      </c>
      <c r="L42" s="19">
        <v>8.2031411944040595</v>
      </c>
      <c r="M42" s="161">
        <f t="shared" si="9"/>
        <v>0</v>
      </c>
      <c r="N42" s="18"/>
      <c r="O42" s="19"/>
      <c r="P42" s="125"/>
      <c r="Q42" s="19"/>
      <c r="R42" s="19"/>
      <c r="S42" s="20"/>
      <c r="T42" s="18">
        <f t="shared" si="10"/>
        <v>0.67024219239397076</v>
      </c>
      <c r="U42" s="19">
        <f t="shared" si="11"/>
        <v>0</v>
      </c>
      <c r="V42" s="19">
        <f t="shared" si="12"/>
        <v>0</v>
      </c>
      <c r="W42" s="125">
        <f t="shared" si="13"/>
        <v>1.2323223464170057</v>
      </c>
      <c r="X42" s="19">
        <f t="shared" si="14"/>
        <v>4.9023637950103165</v>
      </c>
      <c r="Y42" s="18">
        <f t="shared" si="8"/>
        <v>0</v>
      </c>
      <c r="Z42" s="19">
        <f t="shared" si="8"/>
        <v>0</v>
      </c>
      <c r="AA42" s="125">
        <f t="shared" si="8"/>
        <v>0</v>
      </c>
      <c r="AB42" s="19">
        <f t="shared" si="8"/>
        <v>0</v>
      </c>
      <c r="AC42" s="19">
        <f t="shared" si="8"/>
        <v>0</v>
      </c>
      <c r="AD42" s="19">
        <f t="shared" si="8"/>
        <v>0</v>
      </c>
      <c r="AE42" s="22" t="e">
        <f t="shared" si="15"/>
        <v>#DIV/0!</v>
      </c>
      <c r="AF42" s="165" t="s">
        <v>6</v>
      </c>
    </row>
    <row r="43" spans="1:32">
      <c r="A43" s="1">
        <v>158</v>
      </c>
      <c r="B43" s="1" t="s">
        <v>257</v>
      </c>
      <c r="C43" s="615">
        <v>45437</v>
      </c>
      <c r="E43" s="16">
        <v>1440</v>
      </c>
      <c r="F43" s="616">
        <v>1</v>
      </c>
      <c r="G43" s="33">
        <v>30</v>
      </c>
      <c r="H43" s="18">
        <v>0.10619197380608751</v>
      </c>
      <c r="I43" s="19">
        <v>7.3539099501418084E-2</v>
      </c>
      <c r="J43" s="19">
        <v>0</v>
      </c>
      <c r="K43" s="125">
        <v>0.36257794904009671</v>
      </c>
      <c r="L43" s="19">
        <v>0.8359643915240208</v>
      </c>
      <c r="M43" s="161">
        <f t="shared" si="9"/>
        <v>0.202822868009785</v>
      </c>
      <c r="N43" s="18"/>
      <c r="O43" s="19"/>
      <c r="P43" s="125"/>
      <c r="Q43" s="19"/>
      <c r="R43" s="19"/>
      <c r="S43" s="20"/>
      <c r="T43" s="18">
        <f t="shared" si="10"/>
        <v>0.1269249609071168</v>
      </c>
      <c r="U43" s="19">
        <f t="shared" si="11"/>
        <v>8.7896919087372585E-2</v>
      </c>
      <c r="V43" s="19">
        <f t="shared" si="12"/>
        <v>0</v>
      </c>
      <c r="W43" s="125">
        <f t="shared" si="13"/>
        <v>0.43336789362002354</v>
      </c>
      <c r="X43" s="19">
        <f t="shared" si="14"/>
        <v>0.99917859995409086</v>
      </c>
      <c r="Y43" s="18">
        <f t="shared" si="8"/>
        <v>0</v>
      </c>
      <c r="Z43" s="19">
        <f t="shared" si="8"/>
        <v>0</v>
      </c>
      <c r="AA43" s="125">
        <f t="shared" si="8"/>
        <v>0</v>
      </c>
      <c r="AB43" s="19">
        <f t="shared" si="8"/>
        <v>0</v>
      </c>
      <c r="AC43" s="19">
        <f t="shared" si="8"/>
        <v>0</v>
      </c>
      <c r="AD43" s="19">
        <f t="shared" si="8"/>
        <v>0</v>
      </c>
      <c r="AE43" s="22" t="e">
        <f t="shared" si="15"/>
        <v>#DIV/0!</v>
      </c>
      <c r="AF43" s="165" t="s">
        <v>6</v>
      </c>
    </row>
    <row r="44" spans="1:32" ht="14.5" thickBot="1">
      <c r="A44" s="82">
        <v>159</v>
      </c>
      <c r="B44" s="131">
        <v>45571</v>
      </c>
      <c r="C44" s="615">
        <v>45453</v>
      </c>
      <c r="E44" s="16">
        <v>1440</v>
      </c>
      <c r="F44" s="616">
        <v>3</v>
      </c>
      <c r="G44" s="33">
        <v>30</v>
      </c>
      <c r="H44" s="18">
        <v>0.83788746957327198</v>
      </c>
      <c r="I44" s="19">
        <v>5.2605939989875797E-2</v>
      </c>
      <c r="J44" s="19">
        <v>0</v>
      </c>
      <c r="K44" s="125">
        <v>1.3167833667856648</v>
      </c>
      <c r="L44" s="19">
        <v>9.2104146190476861</v>
      </c>
      <c r="M44" s="161">
        <f t="shared" si="9"/>
        <v>3.9950337554984137E-2</v>
      </c>
      <c r="N44" s="18"/>
      <c r="O44" s="19"/>
      <c r="P44" s="125"/>
      <c r="Q44" s="19"/>
      <c r="R44" s="19"/>
      <c r="S44" s="20"/>
      <c r="T44" s="18">
        <f t="shared" si="10"/>
        <v>0.33382571365311625</v>
      </c>
      <c r="U44" s="19">
        <f t="shared" si="11"/>
        <v>2.0958918825289326E-2</v>
      </c>
      <c r="V44" s="19">
        <f t="shared" si="12"/>
        <v>0</v>
      </c>
      <c r="W44" s="125">
        <f t="shared" si="13"/>
        <v>0.52462432379809842</v>
      </c>
      <c r="X44" s="19">
        <f t="shared" si="14"/>
        <v>3.6695539018032934</v>
      </c>
      <c r="Y44" s="18">
        <f t="shared" si="8"/>
        <v>0</v>
      </c>
      <c r="Z44" s="19">
        <f t="shared" si="8"/>
        <v>0</v>
      </c>
      <c r="AA44" s="125">
        <f t="shared" si="8"/>
        <v>0</v>
      </c>
      <c r="AB44" s="19">
        <f t="shared" si="8"/>
        <v>0</v>
      </c>
      <c r="AC44" s="19">
        <f t="shared" si="8"/>
        <v>0</v>
      </c>
      <c r="AD44" s="19">
        <f t="shared" si="8"/>
        <v>0</v>
      </c>
      <c r="AE44" s="22" t="e">
        <f t="shared" si="15"/>
        <v>#DIV/0!</v>
      </c>
      <c r="AF44" s="165" t="s">
        <v>6</v>
      </c>
    </row>
    <row r="45" spans="1:32">
      <c r="A45" s="1">
        <v>160</v>
      </c>
      <c r="B45" s="1" t="s">
        <v>260</v>
      </c>
      <c r="C45" s="615">
        <v>45461</v>
      </c>
      <c r="E45" s="16">
        <v>1440</v>
      </c>
      <c r="F45" s="616">
        <v>2</v>
      </c>
      <c r="G45" s="33">
        <v>30</v>
      </c>
      <c r="H45" s="18">
        <v>1.9292107360575581</v>
      </c>
      <c r="I45" s="19">
        <v>0</v>
      </c>
      <c r="J45" s="19">
        <v>0</v>
      </c>
      <c r="K45" s="125">
        <v>2.314827937548837</v>
      </c>
      <c r="L45" s="19">
        <v>7.580979952253168</v>
      </c>
      <c r="M45" s="161">
        <f t="shared" si="9"/>
        <v>0</v>
      </c>
      <c r="N45" s="18"/>
      <c r="O45" s="19"/>
      <c r="P45" s="125"/>
      <c r="Q45" s="19"/>
      <c r="R45" s="19"/>
      <c r="S45" s="20"/>
      <c r="T45" s="18">
        <f t="shared" si="10"/>
        <v>1.1529355208277452</v>
      </c>
      <c r="U45" s="19">
        <f t="shared" si="11"/>
        <v>0</v>
      </c>
      <c r="V45" s="19">
        <f t="shared" si="12"/>
        <v>0</v>
      </c>
      <c r="W45" s="125">
        <f t="shared" si="13"/>
        <v>1.3833881928619221</v>
      </c>
      <c r="X45" s="19">
        <f t="shared" si="14"/>
        <v>4.5305475997386999</v>
      </c>
      <c r="Y45" s="18">
        <f t="shared" si="8"/>
        <v>0</v>
      </c>
      <c r="Z45" s="19">
        <f t="shared" si="8"/>
        <v>0</v>
      </c>
      <c r="AA45" s="125">
        <f t="shared" si="8"/>
        <v>0</v>
      </c>
      <c r="AB45" s="19">
        <f t="shared" si="8"/>
        <v>0</v>
      </c>
      <c r="AC45" s="19">
        <f t="shared" si="8"/>
        <v>0</v>
      </c>
      <c r="AD45" s="19">
        <f t="shared" si="8"/>
        <v>0</v>
      </c>
      <c r="AE45" s="22" t="e">
        <f t="shared" si="15"/>
        <v>#DIV/0!</v>
      </c>
      <c r="AF45" s="165" t="s">
        <v>6</v>
      </c>
    </row>
    <row r="46" spans="1:32">
      <c r="A46" s="1">
        <v>161</v>
      </c>
      <c r="B46" s="131" t="s">
        <v>262</v>
      </c>
      <c r="C46" s="615">
        <v>45469</v>
      </c>
      <c r="E46" s="16">
        <v>1440</v>
      </c>
      <c r="F46" s="616">
        <v>2</v>
      </c>
      <c r="G46" s="33">
        <v>30</v>
      </c>
      <c r="H46" s="18">
        <v>0.48527130948021469</v>
      </c>
      <c r="I46" s="19">
        <v>0.17219799041668687</v>
      </c>
      <c r="J46" s="19">
        <v>0</v>
      </c>
      <c r="K46" s="125">
        <v>0.71711201679255954</v>
      </c>
      <c r="L46" s="19">
        <v>3.8135137917273609</v>
      </c>
      <c r="M46" s="161">
        <f t="shared" si="9"/>
        <v>0.24012704624150644</v>
      </c>
      <c r="N46" s="18"/>
      <c r="O46" s="19"/>
      <c r="P46" s="125"/>
      <c r="Q46" s="19"/>
      <c r="R46" s="19"/>
      <c r="S46" s="20"/>
      <c r="T46" s="18">
        <f t="shared" si="10"/>
        <v>0.29000799108223546</v>
      </c>
      <c r="U46" s="19">
        <f t="shared" si="11"/>
        <v>0.10290901665427532</v>
      </c>
      <c r="V46" s="19">
        <f t="shared" si="12"/>
        <v>0</v>
      </c>
      <c r="W46" s="125">
        <f t="shared" si="13"/>
        <v>0.42856070678008978</v>
      </c>
      <c r="X46" s="19">
        <f t="shared" si="14"/>
        <v>2.279033299718169</v>
      </c>
      <c r="Y46" s="18">
        <f t="shared" si="8"/>
        <v>0</v>
      </c>
      <c r="Z46" s="19">
        <f t="shared" si="8"/>
        <v>0</v>
      </c>
      <c r="AA46" s="125">
        <f t="shared" si="8"/>
        <v>0</v>
      </c>
      <c r="AB46" s="19">
        <f t="shared" si="8"/>
        <v>0</v>
      </c>
      <c r="AC46" s="19">
        <f t="shared" si="8"/>
        <v>0</v>
      </c>
      <c r="AD46" s="19">
        <f t="shared" si="8"/>
        <v>0</v>
      </c>
      <c r="AE46" s="22" t="e">
        <f t="shared" si="15"/>
        <v>#DIV/0!</v>
      </c>
      <c r="AF46" s="165" t="s">
        <v>6</v>
      </c>
    </row>
    <row r="47" spans="1:32" ht="14.5" thickBot="1">
      <c r="A47" s="1">
        <v>162</v>
      </c>
      <c r="B47" s="131" t="s">
        <v>264</v>
      </c>
      <c r="C47" s="615">
        <v>45517</v>
      </c>
      <c r="E47" s="16">
        <v>1440</v>
      </c>
      <c r="F47" s="616">
        <v>2</v>
      </c>
      <c r="G47" s="128">
        <v>30</v>
      </c>
      <c r="H47" s="18">
        <v>1.685613812118993</v>
      </c>
      <c r="I47" s="19">
        <v>0.22498595788057607</v>
      </c>
      <c r="J47" s="19">
        <v>0</v>
      </c>
      <c r="K47" s="125">
        <v>2.0779356336280199</v>
      </c>
      <c r="L47" s="19">
        <v>5.3048055649172188</v>
      </c>
      <c r="M47" s="161">
        <f t="shared" si="9"/>
        <v>0.10827378588611844</v>
      </c>
      <c r="N47" s="18"/>
      <c r="O47" s="19"/>
      <c r="P47" s="125"/>
      <c r="Q47" s="19"/>
      <c r="R47" s="19"/>
      <c r="S47" s="20"/>
      <c r="T47" s="18">
        <f t="shared" si="10"/>
        <v>1.0073570512889116</v>
      </c>
      <c r="U47" s="19">
        <f t="shared" si="11"/>
        <v>0.1344561782079115</v>
      </c>
      <c r="V47" s="19">
        <f t="shared" si="12"/>
        <v>0</v>
      </c>
      <c r="W47" s="125">
        <f t="shared" si="13"/>
        <v>1.2418165404258745</v>
      </c>
      <c r="X47" s="19">
        <f t="shared" si="14"/>
        <v>3.1702595535914959</v>
      </c>
      <c r="Y47" s="18">
        <f t="shared" si="8"/>
        <v>0</v>
      </c>
      <c r="Z47" s="19">
        <f t="shared" si="8"/>
        <v>0</v>
      </c>
      <c r="AA47" s="125">
        <f t="shared" si="8"/>
        <v>0</v>
      </c>
      <c r="AB47" s="19">
        <f t="shared" si="8"/>
        <v>0</v>
      </c>
      <c r="AC47" s="19">
        <f t="shared" si="8"/>
        <v>0</v>
      </c>
      <c r="AD47" s="19">
        <f t="shared" si="8"/>
        <v>0</v>
      </c>
      <c r="AE47" s="22" t="e">
        <f t="shared" si="15"/>
        <v>#DIV/0!</v>
      </c>
      <c r="AF47" s="165" t="s">
        <v>6</v>
      </c>
    </row>
    <row r="48" spans="1:32" ht="14.5" thickBot="1">
      <c r="A48" s="82">
        <v>163</v>
      </c>
      <c r="B48" s="131" t="s">
        <v>266</v>
      </c>
      <c r="C48" s="615">
        <v>45526</v>
      </c>
      <c r="E48" s="16">
        <v>1440</v>
      </c>
      <c r="F48" s="616">
        <v>2</v>
      </c>
      <c r="G48" s="33">
        <v>30</v>
      </c>
      <c r="H48" s="19">
        <v>0.76177756715421241</v>
      </c>
      <c r="I48" s="19">
        <v>0</v>
      </c>
      <c r="J48" s="19">
        <v>0</v>
      </c>
      <c r="K48" s="125">
        <v>1.8096721926854302</v>
      </c>
      <c r="L48" s="20">
        <v>4.1916670074468696</v>
      </c>
      <c r="M48" s="161">
        <f t="shared" si="9"/>
        <v>0</v>
      </c>
      <c r="N48" s="19"/>
      <c r="O48" s="19"/>
      <c r="P48" s="125"/>
      <c r="Q48" s="19"/>
      <c r="R48" s="19"/>
      <c r="S48" s="20"/>
      <c r="T48" s="19">
        <f t="shared" si="10"/>
        <v>0.45525374689581399</v>
      </c>
      <c r="U48" s="19">
        <f t="shared" si="11"/>
        <v>0</v>
      </c>
      <c r="V48" s="19">
        <f t="shared" si="12"/>
        <v>0</v>
      </c>
      <c r="W48" s="125">
        <f t="shared" si="13"/>
        <v>1.0814968593140855</v>
      </c>
      <c r="X48" s="20">
        <f t="shared" si="14"/>
        <v>2.5050253422511788</v>
      </c>
      <c r="Y48" s="19">
        <f t="shared" si="8"/>
        <v>0</v>
      </c>
      <c r="Z48" s="19">
        <f t="shared" si="8"/>
        <v>0</v>
      </c>
      <c r="AA48" s="125">
        <f t="shared" si="8"/>
        <v>0</v>
      </c>
      <c r="AB48" s="19">
        <f t="shared" si="8"/>
        <v>0</v>
      </c>
      <c r="AC48" s="19">
        <f t="shared" si="8"/>
        <v>0</v>
      </c>
      <c r="AD48" s="19">
        <f t="shared" si="8"/>
        <v>0</v>
      </c>
      <c r="AE48" s="22" t="e">
        <f t="shared" si="15"/>
        <v>#DIV/0!</v>
      </c>
      <c r="AF48" s="165" t="s">
        <v>6</v>
      </c>
    </row>
    <row r="49" spans="1:32">
      <c r="A49" s="1">
        <v>164</v>
      </c>
      <c r="B49" s="131" t="s">
        <v>268</v>
      </c>
      <c r="C49" s="615">
        <v>45534</v>
      </c>
      <c r="E49" s="16">
        <v>1440</v>
      </c>
      <c r="F49" s="616">
        <v>2</v>
      </c>
      <c r="G49" s="33">
        <v>30</v>
      </c>
      <c r="H49" s="19">
        <v>1.2935290696422035</v>
      </c>
      <c r="I49" s="19">
        <v>0.1609122870278554</v>
      </c>
      <c r="J49" s="19">
        <v>0</v>
      </c>
      <c r="K49" s="125">
        <v>1.564333813412597</v>
      </c>
      <c r="L49" s="20">
        <v>3.8919872468296868</v>
      </c>
      <c r="M49" s="161">
        <f t="shared" si="9"/>
        <v>0.10286313934289061</v>
      </c>
      <c r="N49" s="19"/>
      <c r="O49" s="19"/>
      <c r="P49" s="125"/>
      <c r="Q49" s="19"/>
      <c r="R49" s="19"/>
      <c r="S49" s="20"/>
      <c r="T49" s="19">
        <f t="shared" si="10"/>
        <v>0.77303924539701918</v>
      </c>
      <c r="U49" s="19">
        <f t="shared" si="11"/>
        <v>9.6164451080739288E-2</v>
      </c>
      <c r="V49" s="19">
        <f t="shared" si="12"/>
        <v>0</v>
      </c>
      <c r="W49" s="125">
        <f t="shared" si="13"/>
        <v>0.93487766069610745</v>
      </c>
      <c r="X49" s="20">
        <f t="shared" si="14"/>
        <v>2.3259306303925995</v>
      </c>
      <c r="Y49" s="19">
        <f t="shared" si="8"/>
        <v>0</v>
      </c>
      <c r="Z49" s="19">
        <f t="shared" si="8"/>
        <v>0</v>
      </c>
      <c r="AA49" s="125">
        <f t="shared" si="8"/>
        <v>0</v>
      </c>
      <c r="AB49" s="19">
        <f t="shared" si="8"/>
        <v>0</v>
      </c>
      <c r="AC49" s="19">
        <f t="shared" si="8"/>
        <v>0</v>
      </c>
      <c r="AD49" s="19">
        <f t="shared" si="8"/>
        <v>0</v>
      </c>
      <c r="AE49" s="22" t="e">
        <f t="shared" si="15"/>
        <v>#DIV/0!</v>
      </c>
      <c r="AF49" s="165" t="s">
        <v>6</v>
      </c>
    </row>
    <row r="50" spans="1:32">
      <c r="A50" s="1">
        <v>165</v>
      </c>
      <c r="B50" s="131">
        <v>45513</v>
      </c>
      <c r="C50" s="615">
        <v>45543</v>
      </c>
      <c r="E50" s="16">
        <v>1440</v>
      </c>
      <c r="F50" s="616">
        <v>2</v>
      </c>
      <c r="G50" s="33">
        <v>30</v>
      </c>
      <c r="H50" s="19">
        <v>0.48006914675914963</v>
      </c>
      <c r="I50" s="19">
        <v>0.19131087518809503</v>
      </c>
      <c r="J50" s="19">
        <v>0</v>
      </c>
      <c r="K50" s="125">
        <v>1.106435871114039</v>
      </c>
      <c r="L50" s="20">
        <v>3.60740992474163</v>
      </c>
      <c r="M50" s="161">
        <f t="shared" si="9"/>
        <v>0.17290733261880739</v>
      </c>
      <c r="N50" s="19"/>
      <c r="O50" s="19"/>
      <c r="P50" s="125"/>
      <c r="Q50" s="19"/>
      <c r="R50" s="19"/>
      <c r="S50" s="20"/>
      <c r="T50" s="19">
        <f t="shared" si="10"/>
        <v>0.28689907297694933</v>
      </c>
      <c r="U50" s="19">
        <f t="shared" si="11"/>
        <v>0.11433126480300564</v>
      </c>
      <c r="V50" s="19">
        <f t="shared" si="12"/>
        <v>0</v>
      </c>
      <c r="W50" s="125">
        <f t="shared" si="13"/>
        <v>0.66122854983288126</v>
      </c>
      <c r="X50" s="20">
        <f t="shared" si="14"/>
        <v>2.1558614425506084</v>
      </c>
      <c r="Y50" s="19">
        <f t="shared" si="8"/>
        <v>0</v>
      </c>
      <c r="Z50" s="19">
        <f t="shared" si="8"/>
        <v>0</v>
      </c>
      <c r="AA50" s="125">
        <f t="shared" si="8"/>
        <v>0</v>
      </c>
      <c r="AB50" s="19">
        <f t="shared" si="8"/>
        <v>0</v>
      </c>
      <c r="AC50" s="19">
        <f t="shared" si="8"/>
        <v>0</v>
      </c>
      <c r="AD50" s="19">
        <f t="shared" si="8"/>
        <v>0</v>
      </c>
      <c r="AE50" s="22" t="e">
        <f t="shared" si="15"/>
        <v>#DIV/0!</v>
      </c>
      <c r="AF50" s="165" t="s">
        <v>6</v>
      </c>
    </row>
    <row r="51" spans="1:32">
      <c r="A51" s="1">
        <v>166</v>
      </c>
      <c r="B51" s="131" t="s">
        <v>271</v>
      </c>
      <c r="C51" s="615">
        <v>45552</v>
      </c>
      <c r="E51" s="16">
        <v>1440</v>
      </c>
      <c r="F51" s="616">
        <v>2</v>
      </c>
      <c r="G51" s="33">
        <v>30</v>
      </c>
      <c r="H51" s="19">
        <v>1.1273991340499323</v>
      </c>
      <c r="I51" s="19">
        <v>0.14179940225644724</v>
      </c>
      <c r="J51" s="19">
        <v>0</v>
      </c>
      <c r="K51" s="125">
        <v>1.4810796420855865</v>
      </c>
      <c r="L51" s="20">
        <v>5.0997381397913291</v>
      </c>
      <c r="M51" s="161">
        <f t="shared" si="9"/>
        <v>9.574056534648738E-2</v>
      </c>
      <c r="N51" s="19"/>
      <c r="O51" s="19"/>
      <c r="P51" s="125"/>
      <c r="Q51" s="19"/>
      <c r="R51" s="19"/>
      <c r="S51" s="20"/>
      <c r="T51" s="19">
        <f t="shared" si="10"/>
        <v>0.6737566215564682</v>
      </c>
      <c r="U51" s="19">
        <f t="shared" si="11"/>
        <v>8.4742202932008973E-2</v>
      </c>
      <c r="V51" s="19">
        <f t="shared" si="12"/>
        <v>0</v>
      </c>
      <c r="W51" s="125">
        <f t="shared" si="13"/>
        <v>0.88512327690279358</v>
      </c>
      <c r="X51" s="20">
        <f t="shared" si="14"/>
        <v>3.0477070951309555</v>
      </c>
      <c r="Y51" s="19">
        <f t="shared" si="8"/>
        <v>0</v>
      </c>
      <c r="Z51" s="19">
        <f t="shared" si="8"/>
        <v>0</v>
      </c>
      <c r="AA51" s="125">
        <f t="shared" si="8"/>
        <v>0</v>
      </c>
      <c r="AB51" s="19">
        <f t="shared" si="8"/>
        <v>0</v>
      </c>
      <c r="AC51" s="19">
        <f t="shared" si="8"/>
        <v>0</v>
      </c>
      <c r="AD51" s="19">
        <f t="shared" si="8"/>
        <v>0</v>
      </c>
      <c r="AE51" s="22" t="e">
        <f t="shared" si="15"/>
        <v>#DIV/0!</v>
      </c>
      <c r="AF51" s="165" t="s">
        <v>6</v>
      </c>
    </row>
    <row r="52" spans="1:32" ht="14.5" thickBot="1">
      <c r="A52" s="82">
        <v>167</v>
      </c>
      <c r="B52" s="131" t="s">
        <v>273</v>
      </c>
      <c r="C52" s="615">
        <v>45560</v>
      </c>
      <c r="E52" s="16">
        <v>1440</v>
      </c>
      <c r="F52" s="616">
        <v>1</v>
      </c>
      <c r="G52" s="33">
        <v>30</v>
      </c>
      <c r="H52" s="19">
        <v>0.19666436895504388</v>
      </c>
      <c r="I52" s="19">
        <v>0</v>
      </c>
      <c r="J52" s="19">
        <v>0</v>
      </c>
      <c r="K52" s="125">
        <v>1.1715913095438732</v>
      </c>
      <c r="L52" s="20">
        <v>4.5846265354498366</v>
      </c>
      <c r="M52" s="161">
        <f t="shared" si="9"/>
        <v>0</v>
      </c>
      <c r="N52" s="19"/>
      <c r="O52" s="19"/>
      <c r="P52" s="125"/>
      <c r="Q52" s="19"/>
      <c r="R52" s="19"/>
      <c r="S52" s="20"/>
      <c r="T52" s="19">
        <f t="shared" si="10"/>
        <v>0.23506124283011304</v>
      </c>
      <c r="U52" s="19">
        <f t="shared" si="11"/>
        <v>0</v>
      </c>
      <c r="V52" s="19">
        <f t="shared" si="12"/>
        <v>0</v>
      </c>
      <c r="W52" s="125">
        <f t="shared" si="13"/>
        <v>1.4003335264726884</v>
      </c>
      <c r="X52" s="20">
        <f t="shared" si="14"/>
        <v>5.4797318754832576</v>
      </c>
      <c r="Y52" s="19">
        <f t="shared" si="8"/>
        <v>0</v>
      </c>
      <c r="Z52" s="19">
        <f t="shared" si="8"/>
        <v>0</v>
      </c>
      <c r="AA52" s="125">
        <f t="shared" si="8"/>
        <v>0</v>
      </c>
      <c r="AB52" s="19">
        <f t="shared" si="8"/>
        <v>0</v>
      </c>
      <c r="AC52" s="19">
        <f t="shared" si="8"/>
        <v>0</v>
      </c>
      <c r="AD52" s="19">
        <f t="shared" si="8"/>
        <v>0</v>
      </c>
      <c r="AE52" s="22" t="e">
        <f t="shared" si="15"/>
        <v>#DIV/0!</v>
      </c>
      <c r="AF52" s="165" t="s">
        <v>6</v>
      </c>
    </row>
    <row r="53" spans="1:32">
      <c r="A53" s="1">
        <v>168</v>
      </c>
      <c r="B53" s="131">
        <v>45361</v>
      </c>
      <c r="C53" s="615">
        <v>45568</v>
      </c>
      <c r="E53" s="16">
        <v>1440</v>
      </c>
      <c r="F53" s="616">
        <v>1</v>
      </c>
      <c r="G53" s="33">
        <v>30</v>
      </c>
      <c r="H53" s="19">
        <v>0.67831678262930029</v>
      </c>
      <c r="I53" s="19">
        <v>7.626951161161924E-2</v>
      </c>
      <c r="J53" s="19">
        <v>0</v>
      </c>
      <c r="K53" s="125">
        <v>1.3654488485758496</v>
      </c>
      <c r="L53" s="20">
        <v>3.1608515462725459</v>
      </c>
      <c r="M53" s="161">
        <f t="shared" si="9"/>
        <v>5.5856732891288917E-2</v>
      </c>
      <c r="N53" s="19"/>
      <c r="O53" s="19"/>
      <c r="P53" s="125"/>
      <c r="Q53" s="19"/>
      <c r="R53" s="19"/>
      <c r="S53" s="20"/>
      <c r="T53" s="19">
        <f t="shared" si="10"/>
        <v>0.81075177371766416</v>
      </c>
      <c r="U53" s="19">
        <f t="shared" si="11"/>
        <v>9.1160418558438372E-2</v>
      </c>
      <c r="V53" s="19">
        <f t="shared" si="12"/>
        <v>0</v>
      </c>
      <c r="W53" s="125">
        <f t="shared" si="13"/>
        <v>1.632039932157493</v>
      </c>
      <c r="X53" s="20">
        <f t="shared" si="14"/>
        <v>3.7779781707084541</v>
      </c>
      <c r="Y53" s="19">
        <f t="shared" si="8"/>
        <v>0</v>
      </c>
      <c r="Z53" s="19">
        <f t="shared" si="8"/>
        <v>0</v>
      </c>
      <c r="AA53" s="125">
        <f t="shared" si="8"/>
        <v>0</v>
      </c>
      <c r="AB53" s="19">
        <f t="shared" si="8"/>
        <v>0</v>
      </c>
      <c r="AC53" s="19">
        <f t="shared" si="8"/>
        <v>0</v>
      </c>
      <c r="AD53" s="19">
        <f t="shared" si="8"/>
        <v>0</v>
      </c>
      <c r="AE53" s="22" t="e">
        <f t="shared" si="15"/>
        <v>#DIV/0!</v>
      </c>
      <c r="AF53" s="165" t="s">
        <v>6</v>
      </c>
    </row>
    <row r="54" spans="1:32" ht="14.5" thickBot="1">
      <c r="A54" s="1">
        <v>169</v>
      </c>
      <c r="B54" s="131" t="s">
        <v>276</v>
      </c>
      <c r="C54" s="615">
        <v>45579</v>
      </c>
      <c r="E54" s="16">
        <v>1440</v>
      </c>
      <c r="F54" s="616">
        <v>1</v>
      </c>
      <c r="G54" s="128">
        <v>30</v>
      </c>
      <c r="H54" s="19">
        <v>1.016683540486397</v>
      </c>
      <c r="I54" s="19">
        <v>9.8294835967241992E-2</v>
      </c>
      <c r="J54" s="19">
        <v>0</v>
      </c>
      <c r="K54" s="125">
        <v>2.9706053595231885</v>
      </c>
      <c r="L54" s="20">
        <v>10.740498930420204</v>
      </c>
      <c r="M54" s="161">
        <f t="shared" si="9"/>
        <v>3.3089159976140113E-2</v>
      </c>
      <c r="N54" s="19"/>
      <c r="O54" s="19"/>
      <c r="P54" s="125"/>
      <c r="Q54" s="19"/>
      <c r="R54" s="19"/>
      <c r="S54" s="20"/>
      <c r="T54" s="19">
        <f t="shared" si="10"/>
        <v>1.21518146810967</v>
      </c>
      <c r="U54" s="19">
        <f t="shared" si="11"/>
        <v>0.1174859809583693</v>
      </c>
      <c r="V54" s="19">
        <f t="shared" si="12"/>
        <v>0</v>
      </c>
      <c r="W54" s="125">
        <f t="shared" si="13"/>
        <v>3.5505881999750346</v>
      </c>
      <c r="X54" s="20">
        <f t="shared" si="14"/>
        <v>12.837480630653518</v>
      </c>
      <c r="Y54" s="19">
        <f t="shared" si="8"/>
        <v>0</v>
      </c>
      <c r="Z54" s="19">
        <f t="shared" si="8"/>
        <v>0</v>
      </c>
      <c r="AA54" s="125">
        <f t="shared" si="8"/>
        <v>0</v>
      </c>
      <c r="AB54" s="19">
        <f t="shared" si="8"/>
        <v>0</v>
      </c>
      <c r="AC54" s="19">
        <f t="shared" si="8"/>
        <v>0</v>
      </c>
      <c r="AD54" s="19">
        <f t="shared" si="8"/>
        <v>0</v>
      </c>
      <c r="AE54" s="22" t="e">
        <f t="shared" si="15"/>
        <v>#DIV/0!</v>
      </c>
      <c r="AF54" s="165" t="s">
        <v>6</v>
      </c>
    </row>
    <row r="55" spans="1:32">
      <c r="A55" s="1">
        <v>170</v>
      </c>
      <c r="B55" s="131" t="s">
        <v>278</v>
      </c>
      <c r="C55" s="615">
        <v>45587</v>
      </c>
      <c r="E55" s="16">
        <v>1440</v>
      </c>
      <c r="F55" s="616">
        <v>1</v>
      </c>
      <c r="G55" s="33">
        <v>30</v>
      </c>
      <c r="H55" s="19">
        <v>0.20209271266398124</v>
      </c>
      <c r="I55" s="19">
        <v>0.1367026329840717</v>
      </c>
      <c r="J55" s="19">
        <v>0</v>
      </c>
      <c r="K55" s="125">
        <v>1.28480893866732</v>
      </c>
      <c r="L55" s="20">
        <v>7.4690442313902281</v>
      </c>
      <c r="M55" s="161">
        <f t="shared" si="9"/>
        <v>0.1063991920276238</v>
      </c>
      <c r="N55" s="19"/>
      <c r="O55" s="19"/>
      <c r="P55" s="125"/>
      <c r="Q55" s="19"/>
      <c r="R55" s="19"/>
      <c r="S55" s="20"/>
      <c r="T55" s="19">
        <f t="shared" si="10"/>
        <v>0.24154941974549277</v>
      </c>
      <c r="U55" s="19">
        <f t="shared" si="11"/>
        <v>0.16339254018469504</v>
      </c>
      <c r="V55" s="19">
        <f t="shared" si="12"/>
        <v>0</v>
      </c>
      <c r="W55" s="125">
        <f t="shared" si="13"/>
        <v>1.5356558360168224</v>
      </c>
      <c r="X55" s="20">
        <f t="shared" si="14"/>
        <v>8.9273050787609129</v>
      </c>
      <c r="Y55" s="19">
        <f t="shared" ref="Y55:Y93" si="16">(N55/1000*$G55)*(1000/$E55)*($B$1/($B$2*$F55))</f>
        <v>0</v>
      </c>
      <c r="Z55" s="19">
        <f t="shared" ref="Z55:Z93" si="17">(O55/1000*$G55)*(1000/$E55)*($B$1/($B$2*$F55))</f>
        <v>0</v>
      </c>
      <c r="AA55" s="125">
        <f t="shared" ref="AA55:AA77" si="18">(P55/1000*$G55)*(1000/$E55)*($B$1/($B$2*$F55))</f>
        <v>0</v>
      </c>
      <c r="AB55" s="19">
        <f t="shared" ref="AB55:AB93" si="19">(Q55/1000*$G55)*(1000/$E55)*($B$1/($B$2*$F55))</f>
        <v>0</v>
      </c>
      <c r="AC55" s="19">
        <f t="shared" ref="AC55:AC93" si="20">(R55/1000*$G55)*(1000/$E55)*($B$1/($B$2*$F55))</f>
        <v>0</v>
      </c>
      <c r="AD55" s="19">
        <f t="shared" ref="AD55:AD93" si="21">(S55/1000*$G55)*(1000/$E55)*($B$1/($B$2*$F55))</f>
        <v>0</v>
      </c>
      <c r="AE55" s="22" t="e">
        <f t="shared" si="15"/>
        <v>#DIV/0!</v>
      </c>
      <c r="AF55" s="165" t="s">
        <v>6</v>
      </c>
    </row>
    <row r="56" spans="1:32" ht="14.5" thickBot="1">
      <c r="A56" s="82">
        <v>171</v>
      </c>
      <c r="B56" s="131" t="s">
        <v>280</v>
      </c>
      <c r="C56" s="615">
        <v>45595</v>
      </c>
      <c r="E56" s="16">
        <v>1440</v>
      </c>
      <c r="F56" s="616">
        <v>1</v>
      </c>
      <c r="G56" s="33">
        <v>30</v>
      </c>
      <c r="H56" s="19">
        <v>0.16024922990758894</v>
      </c>
      <c r="I56" s="19">
        <v>0</v>
      </c>
      <c r="J56" s="19">
        <v>0</v>
      </c>
      <c r="K56" s="125">
        <v>0.67628931925781766</v>
      </c>
      <c r="L56" s="20">
        <v>8.1593145100450251</v>
      </c>
      <c r="M56" s="161">
        <f t="shared" si="9"/>
        <v>0</v>
      </c>
      <c r="N56" s="19"/>
      <c r="O56" s="19"/>
      <c r="P56" s="125"/>
      <c r="Q56" s="19"/>
      <c r="R56" s="19"/>
      <c r="S56" s="20"/>
      <c r="T56" s="19">
        <f t="shared" si="10"/>
        <v>0.19153638935610701</v>
      </c>
      <c r="U56" s="19">
        <f t="shared" si="11"/>
        <v>0</v>
      </c>
      <c r="V56" s="19">
        <f t="shared" si="12"/>
        <v>0</v>
      </c>
      <c r="W56" s="125">
        <f t="shared" si="13"/>
        <v>0.8083284671348524</v>
      </c>
      <c r="X56" s="20">
        <f t="shared" si="14"/>
        <v>9.7523441565125903</v>
      </c>
      <c r="Y56" s="19">
        <f t="shared" si="16"/>
        <v>0</v>
      </c>
      <c r="Z56" s="19">
        <f t="shared" si="17"/>
        <v>0</v>
      </c>
      <c r="AA56" s="125">
        <f t="shared" si="18"/>
        <v>0</v>
      </c>
      <c r="AB56" s="19">
        <f t="shared" si="19"/>
        <v>0</v>
      </c>
      <c r="AC56" s="19">
        <f t="shared" si="20"/>
        <v>0</v>
      </c>
      <c r="AD56" s="19">
        <f t="shared" si="21"/>
        <v>0</v>
      </c>
      <c r="AE56" s="22" t="e">
        <f t="shared" si="15"/>
        <v>#DIV/0!</v>
      </c>
      <c r="AF56" s="165" t="s">
        <v>6</v>
      </c>
    </row>
    <row r="57" spans="1:32" ht="14.5" thickBot="1">
      <c r="A57" s="1">
        <v>172</v>
      </c>
      <c r="B57" s="138">
        <v>45515</v>
      </c>
      <c r="C57" s="615">
        <v>45604</v>
      </c>
      <c r="E57" s="24">
        <v>1440</v>
      </c>
      <c r="F57" s="616">
        <v>2</v>
      </c>
      <c r="G57" s="33">
        <v>30</v>
      </c>
      <c r="H57" s="74">
        <v>0.27356590483165677</v>
      </c>
      <c r="I57" s="73">
        <v>0</v>
      </c>
      <c r="J57" s="73">
        <v>0</v>
      </c>
      <c r="K57" s="129">
        <v>1.8396356504818663</v>
      </c>
      <c r="L57" s="73">
        <v>14.462805838481465</v>
      </c>
      <c r="M57" s="162">
        <f t="shared" si="9"/>
        <v>0</v>
      </c>
      <c r="N57" s="74"/>
      <c r="O57" s="73"/>
      <c r="P57" s="129"/>
      <c r="Q57" s="73"/>
      <c r="R57" s="73"/>
      <c r="S57" s="130"/>
      <c r="T57" s="74">
        <f t="shared" si="10"/>
        <v>0.16348854123232992</v>
      </c>
      <c r="U57" s="73">
        <f t="shared" si="11"/>
        <v>0</v>
      </c>
      <c r="V57" s="73">
        <f t="shared" si="12"/>
        <v>0</v>
      </c>
      <c r="W57" s="129">
        <f t="shared" si="13"/>
        <v>1.0994036302928385</v>
      </c>
      <c r="X57" s="73">
        <f t="shared" si="14"/>
        <v>8.6432665288270982</v>
      </c>
      <c r="Y57" s="74">
        <f t="shared" si="16"/>
        <v>0</v>
      </c>
      <c r="Z57" s="73">
        <f t="shared" si="17"/>
        <v>0</v>
      </c>
      <c r="AA57" s="129">
        <f t="shared" si="18"/>
        <v>0</v>
      </c>
      <c r="AB57" s="73">
        <f t="shared" si="19"/>
        <v>0</v>
      </c>
      <c r="AC57" s="73">
        <f t="shared" si="20"/>
        <v>0</v>
      </c>
      <c r="AD57" s="73">
        <f t="shared" si="21"/>
        <v>0</v>
      </c>
      <c r="AE57" s="22" t="e">
        <f t="shared" si="15"/>
        <v>#DIV/0!</v>
      </c>
      <c r="AF57" s="167" t="s">
        <v>6</v>
      </c>
    </row>
    <row r="58" spans="1:32">
      <c r="A58" s="1">
        <v>173</v>
      </c>
      <c r="B58" s="131" t="s">
        <v>283</v>
      </c>
      <c r="C58" s="615">
        <v>45615</v>
      </c>
      <c r="E58" s="16">
        <v>1440</v>
      </c>
      <c r="F58" s="617">
        <v>1</v>
      </c>
      <c r="G58" s="33">
        <v>30</v>
      </c>
      <c r="H58" s="13">
        <v>0.43849766415619951</v>
      </c>
      <c r="I58" s="19">
        <v>0</v>
      </c>
      <c r="J58" s="19">
        <v>0</v>
      </c>
      <c r="K58" s="125">
        <v>2.7929429475559928</v>
      </c>
      <c r="L58" s="19">
        <v>2.0739099522674169</v>
      </c>
      <c r="M58" s="160">
        <f t="shared" si="9"/>
        <v>0</v>
      </c>
      <c r="N58" s="13"/>
      <c r="O58" s="14"/>
      <c r="P58" s="159"/>
      <c r="Q58" s="14"/>
      <c r="R58" s="14"/>
      <c r="S58" s="15"/>
      <c r="T58" s="18">
        <f t="shared" si="10"/>
        <v>0.52411022119731165</v>
      </c>
      <c r="U58" s="19">
        <f t="shared" si="11"/>
        <v>0</v>
      </c>
      <c r="V58" s="19">
        <f t="shared" si="12"/>
        <v>0</v>
      </c>
      <c r="W58" s="125">
        <f t="shared" si="13"/>
        <v>3.3382388680492761</v>
      </c>
      <c r="X58" s="19">
        <f t="shared" si="14"/>
        <v>2.4788214229551544</v>
      </c>
      <c r="Y58" s="18">
        <f t="shared" si="16"/>
        <v>0</v>
      </c>
      <c r="Z58" s="19">
        <f t="shared" si="17"/>
        <v>0</v>
      </c>
      <c r="AA58" s="125">
        <f t="shared" si="18"/>
        <v>0</v>
      </c>
      <c r="AB58" s="19">
        <f t="shared" si="19"/>
        <v>0</v>
      </c>
      <c r="AC58" s="19">
        <f t="shared" si="20"/>
        <v>0</v>
      </c>
      <c r="AD58" s="19">
        <f t="shared" si="21"/>
        <v>0</v>
      </c>
      <c r="AE58" s="22" t="e">
        <f t="shared" si="15"/>
        <v>#DIV/0!</v>
      </c>
      <c r="AF58" s="165" t="s">
        <v>6</v>
      </c>
    </row>
    <row r="59" spans="1:32">
      <c r="A59" s="1">
        <v>174</v>
      </c>
      <c r="B59" s="77" t="s">
        <v>285</v>
      </c>
      <c r="C59" s="615">
        <v>45623</v>
      </c>
      <c r="E59" s="16">
        <v>1440</v>
      </c>
      <c r="F59" s="617">
        <v>1</v>
      </c>
      <c r="G59" s="33">
        <v>30</v>
      </c>
      <c r="H59" s="18">
        <v>1.0544393358561268</v>
      </c>
      <c r="I59" s="19">
        <v>0.12208569312974044</v>
      </c>
      <c r="J59" s="19">
        <v>0</v>
      </c>
      <c r="K59" s="125">
        <v>7.8974776490829219</v>
      </c>
      <c r="L59" s="19">
        <v>5.5972855572751232</v>
      </c>
      <c r="M59" s="161">
        <f t="shared" si="9"/>
        <v>1.5458820974810531E-2</v>
      </c>
      <c r="N59" s="18"/>
      <c r="O59" s="19"/>
      <c r="P59" s="125"/>
      <c r="Q59" s="19"/>
      <c r="R59" s="19"/>
      <c r="S59" s="20"/>
      <c r="T59" s="18">
        <f t="shared" si="10"/>
        <v>1.2603087284812569</v>
      </c>
      <c r="U59" s="19">
        <f t="shared" si="11"/>
        <v>0.14592177988994365</v>
      </c>
      <c r="V59" s="19">
        <f t="shared" si="12"/>
        <v>0</v>
      </c>
      <c r="W59" s="125">
        <f t="shared" si="13"/>
        <v>9.4393861037472888</v>
      </c>
      <c r="X59" s="19">
        <f t="shared" si="14"/>
        <v>6.6901030754019972</v>
      </c>
      <c r="Y59" s="18">
        <f t="shared" si="16"/>
        <v>0</v>
      </c>
      <c r="Z59" s="19">
        <f t="shared" si="17"/>
        <v>0</v>
      </c>
      <c r="AA59" s="125">
        <f t="shared" si="18"/>
        <v>0</v>
      </c>
      <c r="AB59" s="19">
        <f t="shared" si="19"/>
        <v>0</v>
      </c>
      <c r="AC59" s="19">
        <f t="shared" si="20"/>
        <v>0</v>
      </c>
      <c r="AD59" s="19">
        <f t="shared" si="21"/>
        <v>0</v>
      </c>
      <c r="AE59" s="22" t="e">
        <f t="shared" si="15"/>
        <v>#DIV/0!</v>
      </c>
      <c r="AF59" s="165" t="s">
        <v>6</v>
      </c>
    </row>
    <row r="60" spans="1:32" ht="14.5" thickBot="1">
      <c r="A60" s="82">
        <v>175</v>
      </c>
      <c r="B60" s="131">
        <v>45424</v>
      </c>
      <c r="C60" s="615">
        <v>45631</v>
      </c>
      <c r="E60" s="16">
        <v>1440</v>
      </c>
      <c r="F60" s="617">
        <v>1</v>
      </c>
      <c r="G60" s="33">
        <v>30</v>
      </c>
      <c r="H60" s="18">
        <v>0.76737091227334919</v>
      </c>
      <c r="I60" s="19">
        <v>0</v>
      </c>
      <c r="J60" s="19">
        <v>0</v>
      </c>
      <c r="K60" s="125">
        <v>3.5620910012596392</v>
      </c>
      <c r="L60" s="19">
        <v>2.7234055074589119</v>
      </c>
      <c r="M60" s="161">
        <f t="shared" si="9"/>
        <v>0</v>
      </c>
      <c r="N60" s="18"/>
      <c r="O60" s="19"/>
      <c r="P60" s="125"/>
      <c r="Q60" s="19"/>
      <c r="R60" s="19"/>
      <c r="S60" s="20"/>
      <c r="T60" s="18">
        <f t="shared" si="10"/>
        <v>0.91719288709529556</v>
      </c>
      <c r="U60" s="19">
        <f t="shared" si="11"/>
        <v>0</v>
      </c>
      <c r="V60" s="19">
        <f t="shared" si="12"/>
        <v>0</v>
      </c>
      <c r="W60" s="125">
        <f t="shared" si="13"/>
        <v>4.2575558667745019</v>
      </c>
      <c r="X60" s="19">
        <f t="shared" si="14"/>
        <v>3.25512489484053</v>
      </c>
      <c r="Y60" s="18">
        <f t="shared" si="16"/>
        <v>0</v>
      </c>
      <c r="Z60" s="19">
        <f t="shared" si="17"/>
        <v>0</v>
      </c>
      <c r="AA60" s="125">
        <f t="shared" si="18"/>
        <v>0</v>
      </c>
      <c r="AB60" s="19">
        <f t="shared" si="19"/>
        <v>0</v>
      </c>
      <c r="AC60" s="19">
        <f t="shared" si="20"/>
        <v>0</v>
      </c>
      <c r="AD60" s="19">
        <f t="shared" si="21"/>
        <v>0</v>
      </c>
      <c r="AE60" s="22" t="e">
        <f t="shared" si="15"/>
        <v>#DIV/0!</v>
      </c>
      <c r="AF60" s="165" t="s">
        <v>6</v>
      </c>
    </row>
    <row r="61" spans="1:32" ht="14.5" thickBot="1">
      <c r="A61" s="1">
        <v>176</v>
      </c>
      <c r="B61" s="131" t="s">
        <v>288</v>
      </c>
      <c r="C61" s="615">
        <v>45639</v>
      </c>
      <c r="E61" s="16">
        <v>1440</v>
      </c>
      <c r="F61" s="617">
        <v>1</v>
      </c>
      <c r="G61" s="128">
        <v>30</v>
      </c>
      <c r="H61" s="18">
        <v>1.5321532905198021</v>
      </c>
      <c r="I61" s="19">
        <v>0</v>
      </c>
      <c r="J61" s="19">
        <v>0</v>
      </c>
      <c r="K61" s="125">
        <v>6.9833942671049805</v>
      </c>
      <c r="L61" s="19">
        <v>8.1772308739627579</v>
      </c>
      <c r="M61" s="161">
        <f t="shared" si="9"/>
        <v>0</v>
      </c>
      <c r="N61" s="18"/>
      <c r="O61" s="19"/>
      <c r="P61" s="125"/>
      <c r="Q61" s="19"/>
      <c r="R61" s="19"/>
      <c r="S61" s="20"/>
      <c r="T61" s="18">
        <f t="shared" si="10"/>
        <v>1.8312918531681746</v>
      </c>
      <c r="U61" s="19">
        <f t="shared" si="11"/>
        <v>0</v>
      </c>
      <c r="V61" s="19">
        <f t="shared" si="12"/>
        <v>0</v>
      </c>
      <c r="W61" s="125">
        <f t="shared" si="13"/>
        <v>8.3468365129914517</v>
      </c>
      <c r="X61" s="19">
        <f t="shared" si="14"/>
        <v>9.7737585224797261</v>
      </c>
      <c r="Y61" s="18">
        <f t="shared" si="16"/>
        <v>0</v>
      </c>
      <c r="Z61" s="19">
        <f t="shared" si="17"/>
        <v>0</v>
      </c>
      <c r="AA61" s="125">
        <f t="shared" si="18"/>
        <v>0</v>
      </c>
      <c r="AB61" s="19">
        <f t="shared" si="19"/>
        <v>0</v>
      </c>
      <c r="AC61" s="19">
        <f t="shared" si="20"/>
        <v>0</v>
      </c>
      <c r="AD61" s="19">
        <f t="shared" si="21"/>
        <v>0</v>
      </c>
      <c r="AE61" s="22" t="e">
        <f t="shared" si="15"/>
        <v>#DIV/0!</v>
      </c>
      <c r="AF61" s="165" t="s">
        <v>6</v>
      </c>
    </row>
    <row r="62" spans="1:32">
      <c r="A62" s="1">
        <v>177</v>
      </c>
      <c r="B62" s="131" t="s">
        <v>290</v>
      </c>
      <c r="C62" s="615">
        <v>45646</v>
      </c>
      <c r="E62" s="16">
        <v>1440</v>
      </c>
      <c r="F62" s="617">
        <v>1</v>
      </c>
      <c r="G62" s="33">
        <v>30</v>
      </c>
      <c r="H62" s="18">
        <v>3.2335967063986097</v>
      </c>
      <c r="I62" s="19">
        <v>0</v>
      </c>
      <c r="J62" s="19">
        <v>0</v>
      </c>
      <c r="K62" s="125">
        <v>7.2707302835724601</v>
      </c>
      <c r="L62" s="19">
        <v>7.8665953037246048</v>
      </c>
      <c r="M62" s="161">
        <f t="shared" si="9"/>
        <v>0</v>
      </c>
      <c r="N62" s="18"/>
      <c r="O62" s="19"/>
      <c r="P62" s="125"/>
      <c r="Q62" s="19"/>
      <c r="R62" s="19"/>
      <c r="S62" s="20"/>
      <c r="T62" s="18">
        <f t="shared" si="10"/>
        <v>3.8649261412023712</v>
      </c>
      <c r="U62" s="19">
        <f t="shared" si="11"/>
        <v>0</v>
      </c>
      <c r="V62" s="19">
        <f t="shared" si="12"/>
        <v>0</v>
      </c>
      <c r="W62" s="125">
        <f t="shared" si="13"/>
        <v>8.6902721922635795</v>
      </c>
      <c r="X62" s="19">
        <f t="shared" si="14"/>
        <v>9.4024742700480459</v>
      </c>
      <c r="Y62" s="18">
        <f t="shared" si="16"/>
        <v>0</v>
      </c>
      <c r="Z62" s="19">
        <f t="shared" si="17"/>
        <v>0</v>
      </c>
      <c r="AA62" s="125">
        <f t="shared" si="18"/>
        <v>0</v>
      </c>
      <c r="AB62" s="19">
        <f t="shared" si="19"/>
        <v>0</v>
      </c>
      <c r="AC62" s="19">
        <f t="shared" si="20"/>
        <v>0</v>
      </c>
      <c r="AD62" s="19">
        <f t="shared" si="21"/>
        <v>0</v>
      </c>
      <c r="AE62" s="22" t="e">
        <f t="shared" si="15"/>
        <v>#DIV/0!</v>
      </c>
      <c r="AF62" s="165" t="s">
        <v>6</v>
      </c>
    </row>
    <row r="63" spans="1:32">
      <c r="A63" s="1">
        <v>178</v>
      </c>
      <c r="B63" s="131">
        <v>45748</v>
      </c>
      <c r="C63" s="615">
        <v>45661</v>
      </c>
      <c r="E63" s="16">
        <v>1440</v>
      </c>
      <c r="F63" s="617">
        <v>2</v>
      </c>
      <c r="G63" s="33">
        <v>30</v>
      </c>
      <c r="H63" s="18">
        <v>1.5166220863584257</v>
      </c>
      <c r="I63" s="19">
        <v>0</v>
      </c>
      <c r="J63" s="19">
        <v>0</v>
      </c>
      <c r="K63" s="125">
        <v>9.851454729792005</v>
      </c>
      <c r="L63" s="19">
        <v>6.0510473015423614</v>
      </c>
      <c r="M63" s="161">
        <f t="shared" si="9"/>
        <v>0</v>
      </c>
      <c r="N63" s="18"/>
      <c r="O63" s="19"/>
      <c r="P63" s="125"/>
      <c r="Q63" s="19"/>
      <c r="R63" s="19"/>
      <c r="S63" s="20"/>
      <c r="T63" s="18">
        <f t="shared" si="10"/>
        <v>0.90636416351683857</v>
      </c>
      <c r="U63" s="19">
        <f t="shared" si="11"/>
        <v>0</v>
      </c>
      <c r="V63" s="19">
        <f t="shared" si="12"/>
        <v>0</v>
      </c>
      <c r="W63" s="125">
        <f t="shared" si="13"/>
        <v>5.8874294433041294</v>
      </c>
      <c r="X63" s="19">
        <f t="shared" si="14"/>
        <v>3.6162287726087596</v>
      </c>
      <c r="Y63" s="18">
        <f t="shared" si="16"/>
        <v>0</v>
      </c>
      <c r="Z63" s="19">
        <f t="shared" si="17"/>
        <v>0</v>
      </c>
      <c r="AA63" s="125">
        <f t="shared" si="18"/>
        <v>0</v>
      </c>
      <c r="AB63" s="19">
        <f t="shared" si="19"/>
        <v>0</v>
      </c>
      <c r="AC63" s="19">
        <f t="shared" si="20"/>
        <v>0</v>
      </c>
      <c r="AD63" s="19">
        <f t="shared" si="21"/>
        <v>0</v>
      </c>
      <c r="AE63" s="22" t="e">
        <f t="shared" si="15"/>
        <v>#DIV/0!</v>
      </c>
      <c r="AF63" s="165" t="s">
        <v>6</v>
      </c>
    </row>
    <row r="64" spans="1:32" ht="14.5" thickBot="1">
      <c r="A64" s="82">
        <v>179</v>
      </c>
      <c r="B64" s="131">
        <v>45992</v>
      </c>
      <c r="C64" s="615">
        <v>45669</v>
      </c>
      <c r="E64" s="16">
        <v>1440</v>
      </c>
      <c r="F64" s="617">
        <v>3</v>
      </c>
      <c r="G64" s="33">
        <v>30</v>
      </c>
      <c r="H64" s="18">
        <v>1.6157629395885462</v>
      </c>
      <c r="I64" s="19">
        <v>0</v>
      </c>
      <c r="J64" s="19">
        <v>0</v>
      </c>
      <c r="K64" s="125">
        <v>2.6231220621217242</v>
      </c>
      <c r="L64" s="19">
        <v>2.5213253784330161</v>
      </c>
      <c r="M64" s="161">
        <f t="shared" si="9"/>
        <v>0</v>
      </c>
      <c r="N64" s="18"/>
      <c r="O64" s="19"/>
      <c r="P64" s="125"/>
      <c r="Q64" s="19"/>
      <c r="R64" s="19"/>
      <c r="S64" s="20"/>
      <c r="T64" s="18">
        <f t="shared" si="10"/>
        <v>0.64374183406407304</v>
      </c>
      <c r="U64" s="19">
        <f t="shared" si="11"/>
        <v>0</v>
      </c>
      <c r="V64" s="19">
        <f t="shared" si="12"/>
        <v>0</v>
      </c>
      <c r="W64" s="125">
        <f t="shared" si="13"/>
        <v>1.0450873490601149</v>
      </c>
      <c r="X64" s="19">
        <f t="shared" si="14"/>
        <v>1.0045301718568196</v>
      </c>
      <c r="Y64" s="18">
        <f t="shared" si="16"/>
        <v>0</v>
      </c>
      <c r="Z64" s="19">
        <f t="shared" si="17"/>
        <v>0</v>
      </c>
      <c r="AA64" s="125">
        <f t="shared" si="18"/>
        <v>0</v>
      </c>
      <c r="AB64" s="19">
        <f t="shared" si="19"/>
        <v>0</v>
      </c>
      <c r="AC64" s="19">
        <f t="shared" si="20"/>
        <v>0</v>
      </c>
      <c r="AD64" s="19">
        <f t="shared" si="21"/>
        <v>0</v>
      </c>
      <c r="AE64" s="22" t="e">
        <f t="shared" si="15"/>
        <v>#DIV/0!</v>
      </c>
      <c r="AF64" s="165" t="s">
        <v>6</v>
      </c>
    </row>
    <row r="65" spans="1:32">
      <c r="A65" s="1">
        <v>180</v>
      </c>
      <c r="B65" s="1" t="s">
        <v>294</v>
      </c>
      <c r="C65" s="615">
        <v>45677</v>
      </c>
      <c r="E65" s="16">
        <v>1440</v>
      </c>
      <c r="F65" s="617">
        <v>1</v>
      </c>
      <c r="G65" s="33">
        <v>30</v>
      </c>
      <c r="H65" s="19">
        <v>0.9506391213775931</v>
      </c>
      <c r="I65" s="19">
        <v>0</v>
      </c>
      <c r="J65" s="19">
        <v>0</v>
      </c>
      <c r="K65" s="125">
        <v>4.091600356385757</v>
      </c>
      <c r="L65" s="20">
        <v>8.5755458390261978</v>
      </c>
      <c r="M65" s="161">
        <f t="shared" si="9"/>
        <v>0</v>
      </c>
      <c r="N65" s="19"/>
      <c r="O65" s="19"/>
      <c r="P65" s="125"/>
      <c r="Q65" s="19"/>
      <c r="R65" s="19"/>
      <c r="S65" s="20"/>
      <c r="T65" s="19">
        <f t="shared" si="10"/>
        <v>1.1362424954823653</v>
      </c>
      <c r="U65" s="19">
        <f t="shared" si="11"/>
        <v>0</v>
      </c>
      <c r="V65" s="19">
        <f t="shared" si="12"/>
        <v>0</v>
      </c>
      <c r="W65" s="125">
        <f t="shared" si="13"/>
        <v>4.8904469581677237</v>
      </c>
      <c r="X65" s="20">
        <f t="shared" si="14"/>
        <v>10.249840749388087</v>
      </c>
      <c r="Y65" s="19">
        <f t="shared" si="16"/>
        <v>0</v>
      </c>
      <c r="Z65" s="19">
        <f t="shared" si="17"/>
        <v>0</v>
      </c>
      <c r="AA65" s="125">
        <f t="shared" si="18"/>
        <v>0</v>
      </c>
      <c r="AB65" s="19">
        <f t="shared" si="19"/>
        <v>0</v>
      </c>
      <c r="AC65" s="19">
        <f t="shared" si="20"/>
        <v>0</v>
      </c>
      <c r="AD65" s="19">
        <f t="shared" si="21"/>
        <v>0</v>
      </c>
      <c r="AE65" s="22" t="e">
        <f t="shared" si="15"/>
        <v>#DIV/0!</v>
      </c>
      <c r="AF65" s="165" t="s">
        <v>6</v>
      </c>
    </row>
    <row r="66" spans="1:32">
      <c r="A66" s="1"/>
      <c r="B66" s="1"/>
      <c r="C66" s="615"/>
      <c r="E66" s="16"/>
      <c r="F66" s="617"/>
      <c r="G66" s="33"/>
      <c r="H66" s="19"/>
      <c r="I66" s="19"/>
      <c r="J66" s="19"/>
      <c r="K66" s="125"/>
      <c r="L66" s="20"/>
      <c r="M66" s="161"/>
      <c r="N66" s="19"/>
      <c r="O66" s="19"/>
      <c r="P66" s="125"/>
      <c r="Q66" s="19"/>
      <c r="R66" s="19"/>
      <c r="S66" s="20"/>
      <c r="T66" s="19"/>
      <c r="U66" s="19"/>
      <c r="V66" s="19"/>
      <c r="W66" s="125"/>
      <c r="X66" s="20"/>
      <c r="Y66" s="19"/>
      <c r="Z66" s="19"/>
      <c r="AA66" s="125"/>
      <c r="AB66" s="19"/>
      <c r="AC66" s="19"/>
      <c r="AD66" s="19"/>
      <c r="AE66" s="22"/>
      <c r="AF66" s="165"/>
    </row>
    <row r="67" spans="1:32">
      <c r="A67" s="1">
        <v>181</v>
      </c>
      <c r="B67" s="77">
        <v>45842</v>
      </c>
      <c r="C67" s="615">
        <v>45754</v>
      </c>
      <c r="E67" s="16">
        <v>1440</v>
      </c>
      <c r="F67" s="617">
        <v>1</v>
      </c>
      <c r="G67" s="33">
        <v>30</v>
      </c>
      <c r="H67" s="19">
        <v>1.2661814192562277</v>
      </c>
      <c r="I67" s="19">
        <v>0</v>
      </c>
      <c r="J67" s="19">
        <v>0</v>
      </c>
      <c r="K67" s="125">
        <v>3.8077206673016066</v>
      </c>
      <c r="L67" s="20">
        <v>6.4894442756687889</v>
      </c>
      <c r="M67" s="161">
        <f t="shared" si="9"/>
        <v>0</v>
      </c>
      <c r="N67" s="19"/>
      <c r="O67" s="19"/>
      <c r="P67" s="125"/>
      <c r="Q67" s="19"/>
      <c r="R67" s="19"/>
      <c r="S67" s="20"/>
      <c r="T67" s="19">
        <f t="shared" si="10"/>
        <v>1.5133914681149054</v>
      </c>
      <c r="U67" s="19">
        <f t="shared" si="11"/>
        <v>0</v>
      </c>
      <c r="V67" s="19">
        <f t="shared" si="12"/>
        <v>0</v>
      </c>
      <c r="W67" s="125">
        <f t="shared" si="13"/>
        <v>4.5511424217898089</v>
      </c>
      <c r="X67" s="20">
        <f t="shared" si="14"/>
        <v>7.7564474176009366</v>
      </c>
      <c r="Y67" s="19">
        <f t="shared" si="16"/>
        <v>0</v>
      </c>
      <c r="Z67" s="19">
        <f t="shared" si="17"/>
        <v>0</v>
      </c>
      <c r="AA67" s="125">
        <f t="shared" si="18"/>
        <v>0</v>
      </c>
      <c r="AB67" s="19">
        <f t="shared" si="19"/>
        <v>0</v>
      </c>
      <c r="AC67" s="19">
        <f t="shared" si="20"/>
        <v>0</v>
      </c>
      <c r="AD67" s="19">
        <f t="shared" si="21"/>
        <v>0</v>
      </c>
      <c r="AE67" s="22" t="e">
        <f t="shared" si="15"/>
        <v>#DIV/0!</v>
      </c>
      <c r="AF67" s="165" t="s">
        <v>6</v>
      </c>
    </row>
    <row r="68" spans="1:32">
      <c r="A68" s="1">
        <v>182</v>
      </c>
      <c r="B68" s="163" t="s">
        <v>297</v>
      </c>
      <c r="C68" s="615">
        <v>45762</v>
      </c>
      <c r="E68" s="16">
        <v>1440</v>
      </c>
      <c r="F68" s="617">
        <v>1</v>
      </c>
      <c r="G68" s="33">
        <v>30</v>
      </c>
      <c r="H68" s="19">
        <v>0.88398437018501852</v>
      </c>
      <c r="I68" s="19">
        <v>0.11494126358342174</v>
      </c>
      <c r="J68" s="19">
        <v>0</v>
      </c>
      <c r="K68" s="125">
        <v>3.3560938892131862</v>
      </c>
      <c r="L68" s="20">
        <v>6.9306803921038442</v>
      </c>
      <c r="M68" s="161">
        <f t="shared" si="9"/>
        <v>3.4248524438739394E-2</v>
      </c>
      <c r="N68" s="19"/>
      <c r="O68" s="19"/>
      <c r="P68" s="125"/>
      <c r="Q68" s="19"/>
      <c r="R68" s="19"/>
      <c r="S68" s="20"/>
      <c r="T68" s="19">
        <f t="shared" si="10"/>
        <v>1.0565740291551471</v>
      </c>
      <c r="U68" s="19">
        <f t="shared" si="11"/>
        <v>0.13738246746953389</v>
      </c>
      <c r="V68" s="19">
        <f t="shared" si="12"/>
        <v>0</v>
      </c>
      <c r="W68" s="125">
        <f t="shared" si="13"/>
        <v>4.0113397502794896</v>
      </c>
      <c r="X68" s="20">
        <f t="shared" si="14"/>
        <v>8.2838307482055047</v>
      </c>
      <c r="Y68" s="19">
        <f t="shared" si="16"/>
        <v>0</v>
      </c>
      <c r="Z68" s="19">
        <f t="shared" si="17"/>
        <v>0</v>
      </c>
      <c r="AA68" s="125">
        <f t="shared" si="18"/>
        <v>0</v>
      </c>
      <c r="AB68" s="19">
        <f t="shared" si="19"/>
        <v>0</v>
      </c>
      <c r="AC68" s="19">
        <f t="shared" si="20"/>
        <v>0</v>
      </c>
      <c r="AD68" s="19">
        <f t="shared" si="21"/>
        <v>0</v>
      </c>
      <c r="AE68" s="22" t="e">
        <f t="shared" si="15"/>
        <v>#DIV/0!</v>
      </c>
      <c r="AF68" s="165" t="s">
        <v>6</v>
      </c>
    </row>
    <row r="69" spans="1:32" ht="14.5" thickBot="1">
      <c r="A69" s="82">
        <v>183</v>
      </c>
      <c r="B69" s="163" t="s">
        <v>299</v>
      </c>
      <c r="C69" s="615">
        <v>45768</v>
      </c>
      <c r="E69" s="16">
        <v>1440</v>
      </c>
      <c r="F69" s="617">
        <v>1</v>
      </c>
      <c r="G69" s="128">
        <v>30</v>
      </c>
      <c r="H69" s="19">
        <v>1.5562266569699359</v>
      </c>
      <c r="I69" s="19">
        <v>0.11094878824871422</v>
      </c>
      <c r="J69" s="19">
        <v>0</v>
      </c>
      <c r="K69" s="125">
        <v>4.5708777535408158</v>
      </c>
      <c r="L69" s="20">
        <v>9.1276755138688532</v>
      </c>
      <c r="M69" s="161">
        <f t="shared" si="9"/>
        <v>2.4272972114112678E-2</v>
      </c>
      <c r="N69" s="19"/>
      <c r="O69" s="19"/>
      <c r="P69" s="125"/>
      <c r="Q69" s="19"/>
      <c r="R69" s="19"/>
      <c r="S69" s="20"/>
      <c r="T69" s="19">
        <f t="shared" si="10"/>
        <v>1.8600653186766452</v>
      </c>
      <c r="U69" s="19">
        <f t="shared" si="11"/>
        <v>0.13261049876401076</v>
      </c>
      <c r="V69" s="19">
        <f t="shared" si="12"/>
        <v>0</v>
      </c>
      <c r="W69" s="125">
        <f t="shared" si="13"/>
        <v>5.4632987728317373</v>
      </c>
      <c r="X69" s="20">
        <f t="shared" si="14"/>
        <v>10.909768565806976</v>
      </c>
      <c r="Y69" s="19">
        <f t="shared" si="16"/>
        <v>0</v>
      </c>
      <c r="Z69" s="19">
        <f t="shared" si="17"/>
        <v>0</v>
      </c>
      <c r="AA69" s="125">
        <f t="shared" si="18"/>
        <v>0</v>
      </c>
      <c r="AB69" s="19">
        <f t="shared" si="19"/>
        <v>0</v>
      </c>
      <c r="AC69" s="19">
        <f t="shared" si="20"/>
        <v>0</v>
      </c>
      <c r="AD69" s="19">
        <f t="shared" si="21"/>
        <v>0</v>
      </c>
      <c r="AE69" s="22" t="e">
        <f t="shared" si="15"/>
        <v>#DIV/0!</v>
      </c>
      <c r="AF69" s="165" t="s">
        <v>6</v>
      </c>
    </row>
    <row r="70" spans="1:32">
      <c r="A70" s="1">
        <v>184</v>
      </c>
      <c r="B70" s="163" t="s">
        <v>301</v>
      </c>
      <c r="C70" s="615">
        <v>45775</v>
      </c>
      <c r="E70" s="16">
        <v>1440</v>
      </c>
      <c r="F70" s="617">
        <v>2</v>
      </c>
      <c r="G70" s="33">
        <v>30</v>
      </c>
      <c r="H70" s="19">
        <v>1.2197172334734427</v>
      </c>
      <c r="I70" s="19">
        <v>0</v>
      </c>
      <c r="J70" s="19">
        <v>0</v>
      </c>
      <c r="K70" s="125">
        <v>2.6261175458539436</v>
      </c>
      <c r="L70" s="20">
        <v>6.6569536718778579</v>
      </c>
      <c r="M70" s="161">
        <f t="shared" si="9"/>
        <v>0</v>
      </c>
      <c r="N70" s="19"/>
      <c r="O70" s="19"/>
      <c r="P70" s="125"/>
      <c r="Q70" s="19"/>
      <c r="R70" s="19"/>
      <c r="S70" s="20"/>
      <c r="T70" s="19">
        <f t="shared" si="10"/>
        <v>0.72892779288126697</v>
      </c>
      <c r="U70" s="19">
        <f t="shared" si="11"/>
        <v>0</v>
      </c>
      <c r="V70" s="19">
        <f t="shared" si="12"/>
        <v>0</v>
      </c>
      <c r="W70" s="125">
        <f t="shared" si="13"/>
        <v>1.5694211855109972</v>
      </c>
      <c r="X70" s="20">
        <f t="shared" si="14"/>
        <v>3.9783307263243866</v>
      </c>
      <c r="Y70" s="19">
        <f t="shared" si="16"/>
        <v>0</v>
      </c>
      <c r="Z70" s="19">
        <f t="shared" si="17"/>
        <v>0</v>
      </c>
      <c r="AA70" s="125">
        <f t="shared" si="18"/>
        <v>0</v>
      </c>
      <c r="AB70" s="19">
        <f t="shared" si="19"/>
        <v>0</v>
      </c>
      <c r="AC70" s="19">
        <f t="shared" si="20"/>
        <v>0</v>
      </c>
      <c r="AD70" s="19">
        <f t="shared" si="21"/>
        <v>0</v>
      </c>
      <c r="AE70" s="22" t="e">
        <f t="shared" si="15"/>
        <v>#DIV/0!</v>
      </c>
      <c r="AF70" s="165" t="s">
        <v>6</v>
      </c>
    </row>
    <row r="71" spans="1:32">
      <c r="A71" s="1">
        <v>185</v>
      </c>
      <c r="B71" s="77">
        <v>45782</v>
      </c>
      <c r="C71" s="615">
        <v>45782</v>
      </c>
      <c r="E71" s="16">
        <v>1440</v>
      </c>
      <c r="F71" s="617">
        <v>2</v>
      </c>
      <c r="G71" s="33">
        <v>30</v>
      </c>
      <c r="H71" s="19">
        <v>0.91362308479297893</v>
      </c>
      <c r="I71" s="19">
        <v>0</v>
      </c>
      <c r="J71" s="19">
        <v>0</v>
      </c>
      <c r="K71" s="125">
        <v>2.9323481520169592</v>
      </c>
      <c r="L71" s="20">
        <v>7.5541226414043967</v>
      </c>
      <c r="M71" s="161">
        <f t="shared" si="9"/>
        <v>0</v>
      </c>
      <c r="N71" s="19"/>
      <c r="O71" s="19"/>
      <c r="P71" s="125"/>
      <c r="Q71" s="19"/>
      <c r="R71" s="19"/>
      <c r="S71" s="20"/>
      <c r="T71" s="19">
        <f t="shared" si="10"/>
        <v>0.54599971243090673</v>
      </c>
      <c r="U71" s="19">
        <f t="shared" si="11"/>
        <v>0</v>
      </c>
      <c r="V71" s="19">
        <f t="shared" si="12"/>
        <v>0</v>
      </c>
      <c r="W71" s="125">
        <f t="shared" si="13"/>
        <v>1.7524308157245725</v>
      </c>
      <c r="X71" s="20">
        <f t="shared" si="14"/>
        <v>4.5144971252660469</v>
      </c>
      <c r="Y71" s="19">
        <f t="shared" si="16"/>
        <v>0</v>
      </c>
      <c r="Z71" s="19">
        <f t="shared" si="17"/>
        <v>0</v>
      </c>
      <c r="AA71" s="125">
        <f t="shared" si="18"/>
        <v>0</v>
      </c>
      <c r="AB71" s="19">
        <f t="shared" si="19"/>
        <v>0</v>
      </c>
      <c r="AC71" s="19">
        <f t="shared" si="20"/>
        <v>0</v>
      </c>
      <c r="AD71" s="19">
        <f t="shared" si="21"/>
        <v>0</v>
      </c>
      <c r="AE71" s="22" t="e">
        <f t="shared" si="15"/>
        <v>#DIV/0!</v>
      </c>
      <c r="AF71" s="165" t="s">
        <v>6</v>
      </c>
    </row>
    <row r="72" spans="1:32">
      <c r="A72" s="1">
        <v>186</v>
      </c>
      <c r="B72" s="163" t="s">
        <v>304</v>
      </c>
      <c r="C72" s="615">
        <v>45790</v>
      </c>
      <c r="E72" s="16">
        <v>1440</v>
      </c>
      <c r="F72" s="617">
        <v>3</v>
      </c>
      <c r="G72" s="33">
        <v>30</v>
      </c>
      <c r="H72" s="19">
        <v>1.4117864582691335</v>
      </c>
      <c r="I72" s="19">
        <v>0</v>
      </c>
      <c r="J72" s="19">
        <v>0</v>
      </c>
      <c r="K72" s="125">
        <v>4.1830778211312181</v>
      </c>
      <c r="L72" s="20">
        <v>17.703388361266146</v>
      </c>
      <c r="M72" s="161">
        <f t="shared" si="9"/>
        <v>0</v>
      </c>
      <c r="N72" s="19"/>
      <c r="O72" s="19"/>
      <c r="P72" s="125"/>
      <c r="Q72" s="19"/>
      <c r="R72" s="19"/>
      <c r="S72" s="20"/>
      <c r="T72" s="19">
        <f t="shared" si="10"/>
        <v>0.56247484187527308</v>
      </c>
      <c r="U72" s="19">
        <f t="shared" si="11"/>
        <v>0</v>
      </c>
      <c r="V72" s="19">
        <f t="shared" si="12"/>
        <v>0</v>
      </c>
      <c r="W72" s="125">
        <f t="shared" si="13"/>
        <v>1.6665948467003975</v>
      </c>
      <c r="X72" s="20">
        <f t="shared" si="14"/>
        <v>7.0532696434615128</v>
      </c>
      <c r="Y72" s="19">
        <f t="shared" si="16"/>
        <v>0</v>
      </c>
      <c r="Z72" s="19">
        <f t="shared" si="17"/>
        <v>0</v>
      </c>
      <c r="AA72" s="125">
        <f t="shared" si="18"/>
        <v>0</v>
      </c>
      <c r="AB72" s="19">
        <f t="shared" si="19"/>
        <v>0</v>
      </c>
      <c r="AC72" s="19">
        <f t="shared" si="20"/>
        <v>0</v>
      </c>
      <c r="AD72" s="19">
        <f t="shared" si="21"/>
        <v>0</v>
      </c>
      <c r="AE72" s="22" t="e">
        <f t="shared" si="15"/>
        <v>#DIV/0!</v>
      </c>
      <c r="AF72" s="165" t="s">
        <v>6</v>
      </c>
    </row>
    <row r="73" spans="1:32" ht="14.5" thickBot="1">
      <c r="A73" s="82">
        <v>187</v>
      </c>
      <c r="B73" s="163" t="s">
        <v>306</v>
      </c>
      <c r="C73" s="615">
        <v>45798</v>
      </c>
      <c r="E73" s="16">
        <v>1440</v>
      </c>
      <c r="F73" s="617">
        <v>1</v>
      </c>
      <c r="G73" s="33">
        <v>30</v>
      </c>
      <c r="H73" s="19">
        <v>1.0354136107584404</v>
      </c>
      <c r="I73" s="19">
        <v>0</v>
      </c>
      <c r="J73" s="19">
        <v>0</v>
      </c>
      <c r="K73" s="125">
        <v>1.0896648130510922</v>
      </c>
      <c r="L73" s="20">
        <v>4.0967153429795244</v>
      </c>
      <c r="M73" s="161">
        <f t="shared" si="9"/>
        <v>0</v>
      </c>
      <c r="N73" s="19"/>
      <c r="O73" s="19"/>
      <c r="P73" s="125"/>
      <c r="Q73" s="19"/>
      <c r="R73" s="19"/>
      <c r="S73" s="20"/>
      <c r="T73" s="19">
        <f t="shared" si="10"/>
        <v>1.2375684089664973</v>
      </c>
      <c r="U73" s="19">
        <f t="shared" si="11"/>
        <v>0</v>
      </c>
      <c r="V73" s="19">
        <f t="shared" si="12"/>
        <v>0</v>
      </c>
      <c r="W73" s="125">
        <f t="shared" si="13"/>
        <v>1.3024116497817857</v>
      </c>
      <c r="X73" s="20">
        <f t="shared" si="14"/>
        <v>4.8965605979296125</v>
      </c>
      <c r="Y73" s="19">
        <f t="shared" si="16"/>
        <v>0</v>
      </c>
      <c r="Z73" s="19">
        <f t="shared" si="17"/>
        <v>0</v>
      </c>
      <c r="AA73" s="125">
        <f t="shared" si="18"/>
        <v>0</v>
      </c>
      <c r="AB73" s="19">
        <f t="shared" si="19"/>
        <v>0</v>
      </c>
      <c r="AC73" s="19">
        <f t="shared" si="20"/>
        <v>0</v>
      </c>
      <c r="AD73" s="19">
        <f t="shared" si="21"/>
        <v>0</v>
      </c>
      <c r="AE73" s="22" t="e">
        <f t="shared" si="15"/>
        <v>#DIV/0!</v>
      </c>
      <c r="AF73" s="165" t="s">
        <v>6</v>
      </c>
    </row>
    <row r="74" spans="1:32">
      <c r="A74" s="1">
        <v>188</v>
      </c>
      <c r="B74" s="77">
        <v>45722</v>
      </c>
      <c r="C74" s="615">
        <v>45811</v>
      </c>
      <c r="E74" s="16">
        <v>1440</v>
      </c>
      <c r="F74" s="617">
        <v>3</v>
      </c>
      <c r="G74" s="33">
        <v>30</v>
      </c>
      <c r="H74" s="19">
        <v>0.94610918683052492</v>
      </c>
      <c r="I74" s="19">
        <v>0</v>
      </c>
      <c r="J74" s="19">
        <v>0</v>
      </c>
      <c r="K74" s="125">
        <v>1.3410550247319428</v>
      </c>
      <c r="L74" s="20">
        <v>3.5252126970897599</v>
      </c>
      <c r="M74" s="161">
        <f t="shared" si="9"/>
        <v>0</v>
      </c>
      <c r="N74" s="19"/>
      <c r="O74" s="19"/>
      <c r="P74" s="125"/>
      <c r="Q74" s="19"/>
      <c r="R74" s="19"/>
      <c r="S74" s="20"/>
      <c r="T74" s="19">
        <f t="shared" si="10"/>
        <v>0.37694271123104567</v>
      </c>
      <c r="U74" s="19">
        <f t="shared" si="11"/>
        <v>0</v>
      </c>
      <c r="V74" s="19">
        <f t="shared" si="12"/>
        <v>0</v>
      </c>
      <c r="W74" s="125">
        <f t="shared" si="13"/>
        <v>0.53429448098470389</v>
      </c>
      <c r="X74" s="20">
        <f t="shared" si="14"/>
        <v>1.4044924731770387</v>
      </c>
      <c r="Y74" s="19">
        <f t="shared" si="16"/>
        <v>0</v>
      </c>
      <c r="Z74" s="19">
        <f t="shared" si="17"/>
        <v>0</v>
      </c>
      <c r="AA74" s="125">
        <f t="shared" si="18"/>
        <v>0</v>
      </c>
      <c r="AB74" s="19">
        <f t="shared" si="19"/>
        <v>0</v>
      </c>
      <c r="AC74" s="19">
        <f t="shared" si="20"/>
        <v>0</v>
      </c>
      <c r="AD74" s="19">
        <f t="shared" si="21"/>
        <v>0</v>
      </c>
      <c r="AE74" s="22" t="e">
        <f t="shared" si="15"/>
        <v>#DIV/0!</v>
      </c>
      <c r="AF74" s="165" t="s">
        <v>6</v>
      </c>
    </row>
    <row r="75" spans="1:32" ht="14.5" thickBot="1">
      <c r="A75" s="1">
        <v>189</v>
      </c>
      <c r="B75" s="77">
        <v>45967</v>
      </c>
      <c r="C75" s="615">
        <v>45819</v>
      </c>
      <c r="E75" s="16">
        <v>1440</v>
      </c>
      <c r="F75" s="617">
        <v>2</v>
      </c>
      <c r="G75" s="33">
        <v>30</v>
      </c>
      <c r="H75" s="74">
        <v>2.2243272893118196</v>
      </c>
      <c r="I75" s="73">
        <v>0</v>
      </c>
      <c r="J75" s="73">
        <v>0</v>
      </c>
      <c r="K75" s="129">
        <v>2.6189744692617283</v>
      </c>
      <c r="L75" s="73">
        <v>3.4579083235381596</v>
      </c>
      <c r="M75" s="162">
        <f t="shared" si="9"/>
        <v>0</v>
      </c>
      <c r="N75" s="74"/>
      <c r="O75" s="73"/>
      <c r="P75" s="129"/>
      <c r="Q75" s="73"/>
      <c r="R75" s="73"/>
      <c r="S75" s="130"/>
      <c r="T75" s="74">
        <f t="shared" si="10"/>
        <v>1.3293031672811391</v>
      </c>
      <c r="U75" s="73">
        <f t="shared" si="11"/>
        <v>0</v>
      </c>
      <c r="V75" s="73">
        <f t="shared" si="12"/>
        <v>0</v>
      </c>
      <c r="W75" s="129">
        <f t="shared" si="13"/>
        <v>1.5651523378536449</v>
      </c>
      <c r="X75" s="73">
        <f t="shared" si="14"/>
        <v>2.0665162490854594</v>
      </c>
      <c r="Y75" s="74">
        <f t="shared" si="16"/>
        <v>0</v>
      </c>
      <c r="Z75" s="73">
        <f t="shared" si="17"/>
        <v>0</v>
      </c>
      <c r="AA75" s="129">
        <f t="shared" si="18"/>
        <v>0</v>
      </c>
      <c r="AB75" s="73">
        <f t="shared" si="19"/>
        <v>0</v>
      </c>
      <c r="AC75" s="73">
        <f t="shared" si="20"/>
        <v>0</v>
      </c>
      <c r="AD75" s="73">
        <f t="shared" si="21"/>
        <v>0</v>
      </c>
      <c r="AE75" s="22" t="e">
        <f t="shared" si="15"/>
        <v>#DIV/0!</v>
      </c>
      <c r="AF75" s="167" t="s">
        <v>6</v>
      </c>
    </row>
    <row r="76" spans="1:32" ht="14.5" thickBot="1">
      <c r="A76" s="1">
        <v>190</v>
      </c>
      <c r="B76" s="83" t="s">
        <v>310</v>
      </c>
      <c r="C76" s="615">
        <v>45827</v>
      </c>
      <c r="E76" s="127">
        <v>1440</v>
      </c>
      <c r="F76" s="617">
        <v>1</v>
      </c>
      <c r="G76" s="128">
        <v>30</v>
      </c>
      <c r="H76" s="13">
        <v>0.34116878474490614</v>
      </c>
      <c r="I76" s="19">
        <v>0</v>
      </c>
      <c r="J76" s="19">
        <v>0</v>
      </c>
      <c r="K76" s="125">
        <v>2.1535223816399891</v>
      </c>
      <c r="L76" s="19">
        <v>2.6990222852789278</v>
      </c>
      <c r="M76" s="160">
        <f t="shared" si="9"/>
        <v>0</v>
      </c>
      <c r="N76" s="13"/>
      <c r="O76" s="14"/>
      <c r="P76" s="159"/>
      <c r="Q76" s="14"/>
      <c r="R76" s="14"/>
      <c r="S76" s="15"/>
      <c r="T76" s="18">
        <f t="shared" si="10"/>
        <v>0.40777879075446088</v>
      </c>
      <c r="U76" s="19">
        <f t="shared" si="11"/>
        <v>0</v>
      </c>
      <c r="V76" s="19">
        <f t="shared" si="12"/>
        <v>0</v>
      </c>
      <c r="W76" s="125">
        <f t="shared" si="13"/>
        <v>2.5739774326201248</v>
      </c>
      <c r="X76" s="19">
        <f t="shared" si="14"/>
        <v>3.2259810771765385</v>
      </c>
      <c r="Y76" s="18">
        <f t="shared" si="16"/>
        <v>0</v>
      </c>
      <c r="Z76" s="19">
        <f t="shared" si="17"/>
        <v>0</v>
      </c>
      <c r="AA76" s="125">
        <f t="shared" si="18"/>
        <v>0</v>
      </c>
      <c r="AB76" s="19">
        <f t="shared" si="19"/>
        <v>0</v>
      </c>
      <c r="AC76" s="19">
        <f t="shared" si="20"/>
        <v>0</v>
      </c>
      <c r="AD76" s="19">
        <f t="shared" si="21"/>
        <v>0</v>
      </c>
      <c r="AE76" s="22" t="e">
        <f t="shared" si="15"/>
        <v>#DIV/0!</v>
      </c>
      <c r="AF76" s="165" t="s">
        <v>6</v>
      </c>
    </row>
    <row r="77" spans="1:32" ht="14.5" thickBot="1">
      <c r="A77" s="82">
        <v>191</v>
      </c>
      <c r="B77" s="1" t="s">
        <v>312</v>
      </c>
      <c r="C77" s="615">
        <v>45835</v>
      </c>
      <c r="E77" s="16">
        <v>1440</v>
      </c>
      <c r="F77" s="617">
        <v>1</v>
      </c>
      <c r="G77" s="644">
        <v>30</v>
      </c>
      <c r="H77" s="18">
        <v>0.25742286885853322</v>
      </c>
      <c r="I77" s="19">
        <v>0</v>
      </c>
      <c r="J77" s="19">
        <v>0</v>
      </c>
      <c r="K77" s="125">
        <v>2.0694446883616373</v>
      </c>
      <c r="L77" s="19">
        <v>4.3206100540271599</v>
      </c>
      <c r="M77" s="161">
        <f t="shared" si="9"/>
        <v>0</v>
      </c>
      <c r="N77" s="18"/>
      <c r="O77" s="19"/>
      <c r="P77" s="125"/>
      <c r="Q77" s="19"/>
      <c r="R77" s="19"/>
      <c r="S77" s="20"/>
      <c r="T77" s="18">
        <f t="shared" si="10"/>
        <v>0.30768227009444821</v>
      </c>
      <c r="U77" s="19">
        <f t="shared" si="11"/>
        <v>0</v>
      </c>
      <c r="V77" s="19">
        <f t="shared" si="12"/>
        <v>0</v>
      </c>
      <c r="W77" s="125">
        <f t="shared" si="13"/>
        <v>2.4734843581434958</v>
      </c>
      <c r="X77" s="19">
        <f t="shared" si="14"/>
        <v>5.1641686518012166</v>
      </c>
      <c r="Y77" s="18">
        <f t="shared" si="16"/>
        <v>0</v>
      </c>
      <c r="Z77" s="19">
        <f t="shared" si="17"/>
        <v>0</v>
      </c>
      <c r="AA77" s="125">
        <f t="shared" si="18"/>
        <v>0</v>
      </c>
      <c r="AB77" s="19">
        <f t="shared" si="19"/>
        <v>0</v>
      </c>
      <c r="AC77" s="19">
        <f t="shared" si="20"/>
        <v>0</v>
      </c>
      <c r="AD77" s="19">
        <f t="shared" si="21"/>
        <v>0</v>
      </c>
      <c r="AE77" s="22" t="e">
        <f t="shared" si="15"/>
        <v>#DIV/0!</v>
      </c>
      <c r="AF77" s="165" t="s">
        <v>6</v>
      </c>
    </row>
    <row r="78" spans="1:32">
      <c r="A78" s="1">
        <v>193</v>
      </c>
      <c r="B78" s="1" t="s">
        <v>315</v>
      </c>
      <c r="C78" s="615">
        <v>45851</v>
      </c>
      <c r="E78" s="16">
        <v>1440</v>
      </c>
      <c r="F78" s="617">
        <v>4</v>
      </c>
      <c r="G78" s="644">
        <v>30</v>
      </c>
      <c r="H78" s="18">
        <v>0.27103969567472763</v>
      </c>
      <c r="I78" s="19">
        <v>0</v>
      </c>
      <c r="J78" s="19">
        <v>0</v>
      </c>
      <c r="K78" s="125">
        <v>0.70164731915491463</v>
      </c>
      <c r="L78" s="19">
        <v>2.6437029973273458</v>
      </c>
      <c r="M78" s="161">
        <f t="shared" si="9"/>
        <v>0</v>
      </c>
      <c r="N78" s="18"/>
      <c r="O78" s="19"/>
      <c r="P78" s="125"/>
      <c r="Q78" s="19"/>
      <c r="R78" s="19"/>
      <c r="S78" s="20"/>
      <c r="T78" s="18">
        <f t="shared" ref="T78:T85" si="22">(H78/1000*$G78)*(1000/$E78)*($B$1/($B$2*$F78))</f>
        <v>8.0989413664659504E-2</v>
      </c>
      <c r="U78" s="19">
        <f t="shared" si="11"/>
        <v>0</v>
      </c>
      <c r="V78" s="19">
        <f t="shared" si="12"/>
        <v>0</v>
      </c>
      <c r="W78" s="125">
        <f t="shared" si="13"/>
        <v>0.2096593446811317</v>
      </c>
      <c r="X78" s="19">
        <f t="shared" si="14"/>
        <v>0.78996530424826972</v>
      </c>
      <c r="Y78" s="18">
        <f t="shared" si="16"/>
        <v>0</v>
      </c>
      <c r="Z78" s="19">
        <f t="shared" si="17"/>
        <v>0</v>
      </c>
      <c r="AA78" s="125">
        <f>(P78/1000*$G78)*(1000/$E78)*($B$1/($B$2*$F78))</f>
        <v>0</v>
      </c>
      <c r="AB78" s="19">
        <f t="shared" si="19"/>
        <v>0</v>
      </c>
      <c r="AC78" s="19">
        <f t="shared" si="20"/>
        <v>0</v>
      </c>
      <c r="AD78" s="19">
        <f t="shared" si="21"/>
        <v>0</v>
      </c>
      <c r="AE78" s="22" t="e">
        <f t="shared" si="15"/>
        <v>#DIV/0!</v>
      </c>
      <c r="AF78" s="165" t="s">
        <v>6</v>
      </c>
    </row>
    <row r="79" spans="1:32">
      <c r="A79" s="1">
        <v>194</v>
      </c>
      <c r="B79" s="1" t="s">
        <v>317</v>
      </c>
      <c r="C79" s="615">
        <v>45859</v>
      </c>
      <c r="E79" s="16">
        <v>1440</v>
      </c>
      <c r="F79" s="617">
        <v>4</v>
      </c>
      <c r="G79" s="644">
        <v>30</v>
      </c>
      <c r="H79" s="18">
        <v>0.10530346071190377</v>
      </c>
      <c r="I79" s="19">
        <v>0</v>
      </c>
      <c r="J79" s="19">
        <v>0</v>
      </c>
      <c r="K79" s="125">
        <v>0.5142493985002019</v>
      </c>
      <c r="L79" s="19">
        <v>6.8936535627946141</v>
      </c>
      <c r="M79" s="161">
        <f t="shared" si="9"/>
        <v>0</v>
      </c>
      <c r="N79" s="18"/>
      <c r="O79" s="19"/>
      <c r="P79" s="125"/>
      <c r="Q79" s="19"/>
      <c r="R79" s="19"/>
      <c r="S79" s="20"/>
      <c r="T79" s="18">
        <f t="shared" si="22"/>
        <v>3.1465743490767244E-2</v>
      </c>
      <c r="U79" s="19">
        <f t="shared" si="11"/>
        <v>0</v>
      </c>
      <c r="V79" s="19">
        <f t="shared" si="12"/>
        <v>0</v>
      </c>
      <c r="W79" s="125">
        <f t="shared" si="13"/>
        <v>0.15366294283298451</v>
      </c>
      <c r="X79" s="19">
        <f t="shared" si="14"/>
        <v>2.0598936944205155</v>
      </c>
      <c r="Y79" s="18">
        <f t="shared" si="16"/>
        <v>0</v>
      </c>
      <c r="Z79" s="19">
        <f t="shared" si="17"/>
        <v>0</v>
      </c>
      <c r="AA79" s="125">
        <f t="shared" ref="AA79:AA86" si="23">(P79/1000*$G79)*(1000/$E79)*($B$1/($B$2*$F79))</f>
        <v>0</v>
      </c>
      <c r="AB79" s="19">
        <f t="shared" si="19"/>
        <v>0</v>
      </c>
      <c r="AC79" s="19">
        <f t="shared" si="20"/>
        <v>0</v>
      </c>
      <c r="AD79" s="19">
        <f t="shared" si="21"/>
        <v>0</v>
      </c>
      <c r="AE79" s="22" t="e">
        <f t="shared" si="15"/>
        <v>#DIV/0!</v>
      </c>
      <c r="AF79" s="165" t="s">
        <v>6</v>
      </c>
    </row>
    <row r="80" spans="1:32" ht="14.5" thickBot="1">
      <c r="A80" s="82">
        <v>195</v>
      </c>
      <c r="B80" s="1" t="s">
        <v>319</v>
      </c>
      <c r="C80" s="615">
        <v>45867</v>
      </c>
      <c r="E80" s="16">
        <v>1440</v>
      </c>
      <c r="F80" s="617">
        <v>3</v>
      </c>
      <c r="G80" s="644">
        <v>30</v>
      </c>
      <c r="H80" s="18">
        <v>0.65684978880023714</v>
      </c>
      <c r="I80" s="19">
        <v>0</v>
      </c>
      <c r="J80" s="19">
        <v>0</v>
      </c>
      <c r="K80" s="125">
        <v>1.7393661860522294</v>
      </c>
      <c r="L80" s="19">
        <v>4.8688071287785526</v>
      </c>
      <c r="M80" s="161">
        <f t="shared" si="9"/>
        <v>0</v>
      </c>
      <c r="N80" s="18"/>
      <c r="O80" s="19"/>
      <c r="P80" s="125"/>
      <c r="Q80" s="19"/>
      <c r="R80" s="19"/>
      <c r="S80" s="20"/>
      <c r="T80" s="18">
        <f t="shared" si="22"/>
        <v>0.26169785021467334</v>
      </c>
      <c r="U80" s="19">
        <f t="shared" si="11"/>
        <v>0</v>
      </c>
      <c r="V80" s="19">
        <f t="shared" si="12"/>
        <v>0</v>
      </c>
      <c r="W80" s="125">
        <f t="shared" si="13"/>
        <v>0.69298704115804644</v>
      </c>
      <c r="X80" s="19">
        <f t="shared" si="14"/>
        <v>1.9397986882792819</v>
      </c>
      <c r="Y80" s="18">
        <f t="shared" si="16"/>
        <v>0</v>
      </c>
      <c r="Z80" s="19">
        <f t="shared" si="17"/>
        <v>0</v>
      </c>
      <c r="AA80" s="125">
        <f t="shared" si="23"/>
        <v>0</v>
      </c>
      <c r="AB80" s="19">
        <f t="shared" si="19"/>
        <v>0</v>
      </c>
      <c r="AC80" s="19">
        <f t="shared" si="20"/>
        <v>0</v>
      </c>
      <c r="AD80" s="19">
        <f t="shared" si="21"/>
        <v>0</v>
      </c>
      <c r="AE80" s="22" t="e">
        <f t="shared" si="15"/>
        <v>#DIV/0!</v>
      </c>
      <c r="AF80" s="165" t="s">
        <v>6</v>
      </c>
    </row>
    <row r="81" spans="1:32">
      <c r="A81" s="1">
        <v>196</v>
      </c>
      <c r="B81" s="1" t="s">
        <v>322</v>
      </c>
      <c r="C81" s="615">
        <v>45883</v>
      </c>
      <c r="E81" s="16">
        <v>1440</v>
      </c>
      <c r="F81" s="617">
        <v>3</v>
      </c>
      <c r="G81" s="644">
        <v>30</v>
      </c>
      <c r="H81" s="18">
        <v>0.78017933453548405</v>
      </c>
      <c r="I81" s="19">
        <v>0</v>
      </c>
      <c r="J81" s="19">
        <v>0</v>
      </c>
      <c r="K81" s="125">
        <v>1.3129379533201031</v>
      </c>
      <c r="L81" s="19">
        <v>2.1778861793803781</v>
      </c>
      <c r="M81" s="161">
        <f t="shared" si="9"/>
        <v>0</v>
      </c>
      <c r="N81" s="18"/>
      <c r="O81" s="19"/>
      <c r="P81" s="125"/>
      <c r="Q81" s="19"/>
      <c r="R81" s="19"/>
      <c r="S81" s="20"/>
      <c r="T81" s="18">
        <f t="shared" si="22"/>
        <v>0.31083401123227544</v>
      </c>
      <c r="U81" s="19">
        <f t="shared" si="11"/>
        <v>0</v>
      </c>
      <c r="V81" s="19">
        <f t="shared" si="12"/>
        <v>0</v>
      </c>
      <c r="W81" s="125">
        <f t="shared" si="13"/>
        <v>0.5230922590029462</v>
      </c>
      <c r="X81" s="19">
        <f t="shared" si="14"/>
        <v>0.86769934446827934</v>
      </c>
      <c r="Y81" s="18">
        <f t="shared" si="16"/>
        <v>0</v>
      </c>
      <c r="Z81" s="19">
        <f t="shared" si="17"/>
        <v>0</v>
      </c>
      <c r="AA81" s="125">
        <f t="shared" si="23"/>
        <v>0</v>
      </c>
      <c r="AB81" s="19">
        <f t="shared" si="19"/>
        <v>0</v>
      </c>
      <c r="AC81" s="19">
        <f t="shared" si="20"/>
        <v>0</v>
      </c>
      <c r="AD81" s="19">
        <f t="shared" si="21"/>
        <v>0</v>
      </c>
      <c r="AE81" s="22" t="e">
        <f t="shared" si="15"/>
        <v>#DIV/0!</v>
      </c>
      <c r="AF81" s="165" t="s">
        <v>6</v>
      </c>
    </row>
    <row r="82" spans="1:32">
      <c r="A82" s="1">
        <v>197</v>
      </c>
      <c r="B82" s="1" t="s">
        <v>324</v>
      </c>
      <c r="C82" s="614">
        <v>45891</v>
      </c>
      <c r="E82" s="16">
        <v>1440</v>
      </c>
      <c r="F82" s="617">
        <v>3</v>
      </c>
      <c r="G82" s="644">
        <v>30</v>
      </c>
      <c r="H82" s="18">
        <v>0.36739495590741794</v>
      </c>
      <c r="I82" s="19">
        <v>0</v>
      </c>
      <c r="J82" s="19">
        <v>0</v>
      </c>
      <c r="K82" s="125">
        <v>1.3687193761964136</v>
      </c>
      <c r="L82" s="19">
        <v>5.1465893361739585</v>
      </c>
      <c r="M82" s="161">
        <f t="shared" si="9"/>
        <v>0</v>
      </c>
      <c r="N82" s="18"/>
      <c r="O82" s="19"/>
      <c r="P82" s="125"/>
      <c r="Q82" s="19"/>
      <c r="R82" s="19"/>
      <c r="S82" s="20"/>
      <c r="T82" s="18">
        <f t="shared" si="22"/>
        <v>0.14637512530269886</v>
      </c>
      <c r="U82" s="19">
        <f t="shared" si="11"/>
        <v>0</v>
      </c>
      <c r="V82" s="19">
        <f t="shared" si="12"/>
        <v>0</v>
      </c>
      <c r="W82" s="125">
        <f t="shared" si="13"/>
        <v>0.54531633320918083</v>
      </c>
      <c r="X82" s="19">
        <f t="shared" si="14"/>
        <v>2.0504708811348888</v>
      </c>
      <c r="Y82" s="18">
        <f t="shared" si="16"/>
        <v>0</v>
      </c>
      <c r="Z82" s="19">
        <f t="shared" si="17"/>
        <v>0</v>
      </c>
      <c r="AA82" s="125">
        <f t="shared" si="23"/>
        <v>0</v>
      </c>
      <c r="AB82" s="19">
        <f t="shared" si="19"/>
        <v>0</v>
      </c>
      <c r="AC82" s="19">
        <f t="shared" si="20"/>
        <v>0</v>
      </c>
      <c r="AD82" s="19">
        <f t="shared" si="21"/>
        <v>0</v>
      </c>
      <c r="AE82" s="22" t="e">
        <f t="shared" si="15"/>
        <v>#DIV/0!</v>
      </c>
      <c r="AF82" s="165" t="s">
        <v>6</v>
      </c>
    </row>
    <row r="83" spans="1:32">
      <c r="A83" s="1">
        <v>198</v>
      </c>
      <c r="B83" s="1" t="s">
        <v>326</v>
      </c>
      <c r="C83" s="615">
        <v>45899</v>
      </c>
      <c r="E83" s="16">
        <v>1440</v>
      </c>
      <c r="F83" s="617">
        <v>3</v>
      </c>
      <c r="G83" s="644">
        <v>30</v>
      </c>
      <c r="H83" s="18">
        <v>0.22266753946100834</v>
      </c>
      <c r="I83" s="19">
        <v>0</v>
      </c>
      <c r="J83" s="19">
        <v>0</v>
      </c>
      <c r="K83" s="125">
        <v>0.74060211446936297</v>
      </c>
      <c r="L83" s="19">
        <v>5.2696574027415437</v>
      </c>
      <c r="M83" s="161">
        <f t="shared" si="9"/>
        <v>0</v>
      </c>
      <c r="N83" s="18"/>
      <c r="O83" s="19"/>
      <c r="P83" s="125"/>
      <c r="Q83" s="19"/>
      <c r="R83" s="19"/>
      <c r="S83" s="20"/>
      <c r="T83" s="18">
        <f t="shared" si="22"/>
        <v>8.8713762846711605E-2</v>
      </c>
      <c r="U83" s="19">
        <f t="shared" si="11"/>
        <v>0</v>
      </c>
      <c r="V83" s="19">
        <f t="shared" si="12"/>
        <v>0</v>
      </c>
      <c r="W83" s="125">
        <f t="shared" si="13"/>
        <v>0.29506591084558748</v>
      </c>
      <c r="X83" s="19">
        <f t="shared" si="14"/>
        <v>2.0995028653114232</v>
      </c>
      <c r="Y83" s="18">
        <f t="shared" si="16"/>
        <v>0</v>
      </c>
      <c r="Z83" s="19">
        <f t="shared" si="17"/>
        <v>0</v>
      </c>
      <c r="AA83" s="125">
        <f t="shared" si="23"/>
        <v>0</v>
      </c>
      <c r="AB83" s="19">
        <f t="shared" si="19"/>
        <v>0</v>
      </c>
      <c r="AC83" s="19">
        <f t="shared" si="20"/>
        <v>0</v>
      </c>
      <c r="AD83" s="19">
        <f t="shared" si="21"/>
        <v>0</v>
      </c>
      <c r="AE83" s="22" t="e">
        <f t="shared" si="15"/>
        <v>#DIV/0!</v>
      </c>
      <c r="AF83" s="165" t="s">
        <v>6</v>
      </c>
    </row>
    <row r="84" spans="1:32" ht="14.5" thickBot="1">
      <c r="A84" s="82">
        <v>199</v>
      </c>
      <c r="B84" s="131">
        <v>45878</v>
      </c>
      <c r="C84" s="615">
        <v>45908</v>
      </c>
      <c r="E84" s="16">
        <v>1440</v>
      </c>
      <c r="F84" s="617">
        <v>2</v>
      </c>
      <c r="G84" s="644">
        <v>30</v>
      </c>
      <c r="H84" s="19">
        <v>0.27480053355729567</v>
      </c>
      <c r="I84" s="19">
        <v>0</v>
      </c>
      <c r="J84" s="19">
        <v>0</v>
      </c>
      <c r="K84" s="125">
        <v>1.1926160411654168</v>
      </c>
      <c r="L84" s="20">
        <v>6.2449927602329476</v>
      </c>
      <c r="M84" s="161">
        <f t="shared" si="9"/>
        <v>0</v>
      </c>
      <c r="N84" s="19"/>
      <c r="O84" s="19"/>
      <c r="P84" s="125"/>
      <c r="Q84" s="19"/>
      <c r="R84" s="19"/>
      <c r="S84" s="20"/>
      <c r="T84" s="19">
        <f t="shared" si="22"/>
        <v>0.16422638043580243</v>
      </c>
      <c r="U84" s="19">
        <f t="shared" si="11"/>
        <v>0</v>
      </c>
      <c r="V84" s="19">
        <f t="shared" si="12"/>
        <v>0</v>
      </c>
      <c r="W84" s="125">
        <f t="shared" si="13"/>
        <v>0.71273156989499054</v>
      </c>
      <c r="X84" s="20">
        <f t="shared" si="14"/>
        <v>3.7321345180249179</v>
      </c>
      <c r="Y84" s="19">
        <f t="shared" si="16"/>
        <v>0</v>
      </c>
      <c r="Z84" s="19">
        <f t="shared" si="17"/>
        <v>0</v>
      </c>
      <c r="AA84" s="125">
        <f t="shared" si="23"/>
        <v>0</v>
      </c>
      <c r="AB84" s="19">
        <f t="shared" si="19"/>
        <v>0</v>
      </c>
      <c r="AC84" s="19">
        <f t="shared" si="20"/>
        <v>0</v>
      </c>
      <c r="AD84" s="19">
        <f t="shared" si="21"/>
        <v>0</v>
      </c>
      <c r="AE84" s="22" t="e">
        <f t="shared" si="15"/>
        <v>#DIV/0!</v>
      </c>
      <c r="AF84" s="165" t="s">
        <v>6</v>
      </c>
    </row>
    <row r="85" spans="1:32">
      <c r="A85" s="1">
        <v>200</v>
      </c>
      <c r="B85" s="1" t="s">
        <v>329</v>
      </c>
      <c r="C85" s="615">
        <v>45916</v>
      </c>
      <c r="E85" s="16">
        <v>1440</v>
      </c>
      <c r="F85" s="617">
        <v>2</v>
      </c>
      <c r="G85" s="644">
        <v>30</v>
      </c>
      <c r="H85" s="19">
        <v>9.0519477311464064E-2</v>
      </c>
      <c r="I85" s="19">
        <v>0</v>
      </c>
      <c r="J85" s="19">
        <v>0</v>
      </c>
      <c r="K85" s="125">
        <v>1.5017188844593523</v>
      </c>
      <c r="L85" s="20">
        <v>12.14506005498396</v>
      </c>
      <c r="M85" s="161">
        <f t="shared" si="9"/>
        <v>0</v>
      </c>
      <c r="N85" s="19"/>
      <c r="O85" s="19"/>
      <c r="P85" s="125"/>
      <c r="Q85" s="19"/>
      <c r="R85" s="19"/>
      <c r="S85" s="20"/>
      <c r="T85" s="19">
        <f t="shared" si="22"/>
        <v>5.4096278218117078E-2</v>
      </c>
      <c r="U85" s="19">
        <f t="shared" si="11"/>
        <v>0</v>
      </c>
      <c r="V85" s="19">
        <f t="shared" si="12"/>
        <v>0</v>
      </c>
      <c r="W85" s="125">
        <f t="shared" si="13"/>
        <v>0.89745770735714392</v>
      </c>
      <c r="X85" s="20">
        <f t="shared" si="14"/>
        <v>7.258134571960734</v>
      </c>
      <c r="Y85" s="19">
        <f t="shared" si="16"/>
        <v>0</v>
      </c>
      <c r="Z85" s="19">
        <f t="shared" si="17"/>
        <v>0</v>
      </c>
      <c r="AA85" s="125">
        <f t="shared" si="23"/>
        <v>0</v>
      </c>
      <c r="AB85" s="19">
        <f t="shared" si="19"/>
        <v>0</v>
      </c>
      <c r="AC85" s="19">
        <f t="shared" si="20"/>
        <v>0</v>
      </c>
      <c r="AD85" s="19">
        <f t="shared" si="21"/>
        <v>0</v>
      </c>
      <c r="AE85" s="22" t="e">
        <f t="shared" si="15"/>
        <v>#DIV/0!</v>
      </c>
      <c r="AF85" s="165" t="s">
        <v>6</v>
      </c>
    </row>
    <row r="86" spans="1:32">
      <c r="A86" s="1">
        <v>201</v>
      </c>
      <c r="B86" s="1" t="s">
        <v>331</v>
      </c>
      <c r="C86" s="615">
        <v>45924</v>
      </c>
      <c r="E86" s="16">
        <v>1440</v>
      </c>
      <c r="F86" s="617">
        <v>2</v>
      </c>
      <c r="G86" s="644">
        <v>30</v>
      </c>
      <c r="H86" s="13">
        <v>0.11515944964553022</v>
      </c>
      <c r="I86" s="19">
        <v>0</v>
      </c>
      <c r="J86" s="19">
        <v>0</v>
      </c>
      <c r="K86" s="125">
        <v>1.2997993537170052</v>
      </c>
      <c r="L86" s="19">
        <v>6.758529848889796</v>
      </c>
      <c r="M86" s="160">
        <f t="shared" si="9"/>
        <v>0</v>
      </c>
      <c r="N86" s="13"/>
      <c r="O86" s="14"/>
      <c r="P86" s="159"/>
      <c r="Q86" s="14"/>
      <c r="R86" s="14"/>
      <c r="S86" s="15"/>
      <c r="T86" s="18">
        <f>(H86/1000*$G86)*(1000/$E86)*($B$1/($B$2*$F86))</f>
        <v>6.8821626157146071E-2</v>
      </c>
      <c r="U86" s="19">
        <f t="shared" si="11"/>
        <v>0</v>
      </c>
      <c r="V86" s="19">
        <f t="shared" si="12"/>
        <v>0</v>
      </c>
      <c r="W86" s="125">
        <f t="shared" si="13"/>
        <v>0.77678649451833226</v>
      </c>
      <c r="X86" s="19">
        <f t="shared" si="14"/>
        <v>4.0390347128604933</v>
      </c>
      <c r="Y86" s="18">
        <f t="shared" si="16"/>
        <v>0</v>
      </c>
      <c r="Z86" s="19">
        <f t="shared" si="17"/>
        <v>0</v>
      </c>
      <c r="AA86" s="125">
        <f t="shared" si="23"/>
        <v>0</v>
      </c>
      <c r="AB86" s="19">
        <f t="shared" si="19"/>
        <v>0</v>
      </c>
      <c r="AC86" s="19">
        <f t="shared" si="20"/>
        <v>0</v>
      </c>
      <c r="AD86" s="19">
        <f t="shared" si="21"/>
        <v>0</v>
      </c>
      <c r="AE86" s="22" t="e">
        <f t="shared" si="15"/>
        <v>#DIV/0!</v>
      </c>
      <c r="AF86" s="165" t="s">
        <v>6</v>
      </c>
    </row>
    <row r="87" spans="1:32">
      <c r="A87" s="1">
        <v>202</v>
      </c>
      <c r="B87" s="131">
        <v>45698</v>
      </c>
      <c r="C87" s="615">
        <v>45932</v>
      </c>
      <c r="E87" s="16">
        <v>1440</v>
      </c>
      <c r="F87" s="617">
        <v>1</v>
      </c>
      <c r="G87" s="644">
        <v>30</v>
      </c>
      <c r="H87" s="18">
        <v>0.17338759479287602</v>
      </c>
      <c r="I87" s="19">
        <v>0</v>
      </c>
      <c r="J87" s="19">
        <v>0</v>
      </c>
      <c r="K87" s="125">
        <v>0.76941483289720936</v>
      </c>
      <c r="L87" s="19">
        <v>3.9336572624112569</v>
      </c>
      <c r="M87" s="161">
        <f t="shared" si="9"/>
        <v>0</v>
      </c>
      <c r="N87" s="18"/>
      <c r="O87" s="19"/>
      <c r="P87" s="125"/>
      <c r="Q87" s="19"/>
      <c r="R87" s="19"/>
      <c r="S87" s="20"/>
      <c r="T87" s="18">
        <f t="shared" ref="T87:T95" si="24">(H87/1000*$G87)*(1000/$E87)*($B$1/($B$2*$F87))</f>
        <v>0.20723989678401872</v>
      </c>
      <c r="U87" s="19">
        <f t="shared" si="11"/>
        <v>0</v>
      </c>
      <c r="V87" s="19">
        <f t="shared" si="12"/>
        <v>0</v>
      </c>
      <c r="W87" s="125">
        <f t="shared" si="13"/>
        <v>0.91963586405468811</v>
      </c>
      <c r="X87" s="19">
        <f t="shared" si="14"/>
        <v>4.7016669561605164</v>
      </c>
      <c r="Y87" s="18">
        <f t="shared" si="16"/>
        <v>0</v>
      </c>
      <c r="Z87" s="19">
        <f t="shared" si="17"/>
        <v>0</v>
      </c>
      <c r="AA87" s="125">
        <f>(P87/1000*$G87)*(1000/$E87)*($B$1/($B$2*$F87))</f>
        <v>0</v>
      </c>
      <c r="AB87" s="19">
        <f t="shared" si="19"/>
        <v>0</v>
      </c>
      <c r="AC87" s="19">
        <f t="shared" si="20"/>
        <v>0</v>
      </c>
      <c r="AD87" s="19">
        <f t="shared" si="21"/>
        <v>0</v>
      </c>
      <c r="AE87" s="22" t="e">
        <f t="shared" si="15"/>
        <v>#DIV/0!</v>
      </c>
      <c r="AF87" s="165" t="s">
        <v>6</v>
      </c>
    </row>
    <row r="88" spans="1:32" ht="14.5" thickBot="1">
      <c r="A88" s="82">
        <v>203</v>
      </c>
      <c r="B88" s="131">
        <v>45950</v>
      </c>
      <c r="C88" s="615">
        <v>45950</v>
      </c>
      <c r="E88" s="16">
        <v>1440</v>
      </c>
      <c r="F88" s="617">
        <v>2</v>
      </c>
      <c r="G88" s="644">
        <v>30</v>
      </c>
      <c r="H88" s="18">
        <v>0.30021861028085861</v>
      </c>
      <c r="I88" s="19">
        <v>0</v>
      </c>
      <c r="J88" s="19">
        <v>0</v>
      </c>
      <c r="K88" s="125">
        <v>1.2891962733355578</v>
      </c>
      <c r="L88" s="19">
        <v>5.1534543575743275</v>
      </c>
      <c r="M88" s="161">
        <f t="shared" si="9"/>
        <v>0</v>
      </c>
      <c r="N88" s="18"/>
      <c r="O88" s="19"/>
      <c r="P88" s="125"/>
      <c r="Q88" s="19"/>
      <c r="R88" s="19"/>
      <c r="S88" s="20"/>
      <c r="T88" s="18">
        <f t="shared" si="24"/>
        <v>0.1794167393623797</v>
      </c>
      <c r="U88" s="19">
        <f t="shared" si="11"/>
        <v>0</v>
      </c>
      <c r="V88" s="19">
        <f t="shared" si="12"/>
        <v>0</v>
      </c>
      <c r="W88" s="125">
        <f t="shared" si="13"/>
        <v>0.77044987831903389</v>
      </c>
      <c r="X88" s="19">
        <f t="shared" si="14"/>
        <v>3.0798089979293493</v>
      </c>
      <c r="Y88" s="18">
        <f t="shared" si="16"/>
        <v>0</v>
      </c>
      <c r="Z88" s="19">
        <f t="shared" si="17"/>
        <v>0</v>
      </c>
      <c r="AA88" s="125">
        <f t="shared" ref="AA88:AA96" si="25">(P88/1000*$G88)*(1000/$E88)*($B$1/($B$2*$F88))</f>
        <v>0</v>
      </c>
      <c r="AB88" s="19">
        <f t="shared" si="19"/>
        <v>0</v>
      </c>
      <c r="AC88" s="19">
        <f t="shared" si="20"/>
        <v>0</v>
      </c>
      <c r="AD88" s="19">
        <f t="shared" si="21"/>
        <v>0</v>
      </c>
      <c r="AE88" s="22" t="e">
        <f t="shared" si="15"/>
        <v>#DIV/0!</v>
      </c>
      <c r="AF88" s="165" t="s">
        <v>6</v>
      </c>
    </row>
    <row r="89" spans="1:32">
      <c r="A89" s="1">
        <v>204</v>
      </c>
      <c r="B89" s="1" t="s">
        <v>335</v>
      </c>
      <c r="C89" s="615">
        <v>45948</v>
      </c>
      <c r="E89" s="16">
        <v>1440</v>
      </c>
      <c r="F89" s="617">
        <v>3</v>
      </c>
      <c r="G89" s="644">
        <v>30</v>
      </c>
      <c r="H89" s="18">
        <v>0.10802682607514265</v>
      </c>
      <c r="I89" s="19">
        <v>0</v>
      </c>
      <c r="J89" s="19">
        <v>0</v>
      </c>
      <c r="K89" s="125">
        <v>1.146054688186017</v>
      </c>
      <c r="L89" s="19">
        <v>6.3616981240392159</v>
      </c>
      <c r="M89" s="161">
        <f t="shared" si="9"/>
        <v>0</v>
      </c>
      <c r="N89" s="18"/>
      <c r="O89" s="19"/>
      <c r="P89" s="125"/>
      <c r="Q89" s="19"/>
      <c r="R89" s="19"/>
      <c r="S89" s="20"/>
      <c r="T89" s="18">
        <f t="shared" si="24"/>
        <v>4.3039350291968981E-2</v>
      </c>
      <c r="U89" s="19">
        <f t="shared" si="11"/>
        <v>0</v>
      </c>
      <c r="V89" s="19">
        <f t="shared" si="12"/>
        <v>0</v>
      </c>
      <c r="W89" s="125">
        <f t="shared" si="13"/>
        <v>0.45660370641900427</v>
      </c>
      <c r="X89" s="19">
        <f t="shared" si="14"/>
        <v>2.5345866759227951</v>
      </c>
      <c r="Y89" s="18">
        <f t="shared" si="16"/>
        <v>0</v>
      </c>
      <c r="Z89" s="19">
        <f t="shared" si="17"/>
        <v>0</v>
      </c>
      <c r="AA89" s="125">
        <f t="shared" si="25"/>
        <v>0</v>
      </c>
      <c r="AB89" s="19">
        <f t="shared" si="19"/>
        <v>0</v>
      </c>
      <c r="AC89" s="19">
        <f t="shared" si="20"/>
        <v>0</v>
      </c>
      <c r="AD89" s="19">
        <f t="shared" si="21"/>
        <v>0</v>
      </c>
      <c r="AE89" s="22" t="e">
        <f t="shared" si="15"/>
        <v>#DIV/0!</v>
      </c>
      <c r="AF89" s="165" t="s">
        <v>6</v>
      </c>
    </row>
    <row r="90" spans="1:32">
      <c r="A90" s="1">
        <v>205</v>
      </c>
      <c r="B90" s="1" t="s">
        <v>337</v>
      </c>
      <c r="C90" s="615">
        <v>45956</v>
      </c>
      <c r="E90" s="16">
        <v>1440</v>
      </c>
      <c r="F90" s="617">
        <v>2</v>
      </c>
      <c r="G90" s="644">
        <v>30</v>
      </c>
      <c r="H90" s="18">
        <v>0.17870464145443765</v>
      </c>
      <c r="I90" s="19">
        <v>0</v>
      </c>
      <c r="J90" s="19">
        <v>0</v>
      </c>
      <c r="K90" s="125">
        <v>1.3203140092376318</v>
      </c>
      <c r="L90" s="19">
        <v>4.7509296881478313</v>
      </c>
      <c r="M90" s="161">
        <f t="shared" si="9"/>
        <v>0</v>
      </c>
      <c r="N90" s="18"/>
      <c r="O90" s="19"/>
      <c r="P90" s="125"/>
      <c r="Q90" s="19"/>
      <c r="R90" s="19"/>
      <c r="S90" s="20"/>
      <c r="T90" s="18">
        <f t="shared" si="24"/>
        <v>0.1067975234735893</v>
      </c>
      <c r="U90" s="19">
        <f t="shared" si="11"/>
        <v>0</v>
      </c>
      <c r="V90" s="19">
        <f t="shared" si="12"/>
        <v>0</v>
      </c>
      <c r="W90" s="125">
        <f t="shared" si="13"/>
        <v>0.7890464693387137</v>
      </c>
      <c r="X90" s="19">
        <f t="shared" si="14"/>
        <v>2.8392520796428404</v>
      </c>
      <c r="Y90" s="18">
        <f t="shared" si="16"/>
        <v>0</v>
      </c>
      <c r="Z90" s="19">
        <f t="shared" si="17"/>
        <v>0</v>
      </c>
      <c r="AA90" s="125">
        <f t="shared" si="25"/>
        <v>0</v>
      </c>
      <c r="AB90" s="19">
        <f t="shared" si="19"/>
        <v>0</v>
      </c>
      <c r="AC90" s="19">
        <f t="shared" si="20"/>
        <v>0</v>
      </c>
      <c r="AD90" s="19">
        <f t="shared" si="21"/>
        <v>0</v>
      </c>
      <c r="AE90" s="22" t="e">
        <f t="shared" si="15"/>
        <v>#DIV/0!</v>
      </c>
      <c r="AF90" s="165" t="s">
        <v>6</v>
      </c>
    </row>
    <row r="91" spans="1:32">
      <c r="A91" s="1">
        <v>206</v>
      </c>
      <c r="B91" s="131">
        <v>45758</v>
      </c>
      <c r="C91" s="615">
        <v>45965</v>
      </c>
      <c r="E91" s="16">
        <v>1440</v>
      </c>
      <c r="F91" s="617">
        <v>1</v>
      </c>
      <c r="G91" s="644">
        <v>30</v>
      </c>
      <c r="H91" s="18">
        <v>0.11956870785267891</v>
      </c>
      <c r="I91" s="19">
        <v>0</v>
      </c>
      <c r="J91" s="19">
        <v>0</v>
      </c>
      <c r="K91" s="125">
        <v>0.58962346990744796</v>
      </c>
      <c r="L91" s="19">
        <v>1.0274090564063965</v>
      </c>
      <c r="M91" s="161">
        <f t="shared" si="9"/>
        <v>0</v>
      </c>
      <c r="N91" s="18"/>
      <c r="O91" s="19"/>
      <c r="P91" s="125"/>
      <c r="Q91" s="19"/>
      <c r="R91" s="19"/>
      <c r="S91" s="20"/>
      <c r="T91" s="18">
        <f t="shared" si="24"/>
        <v>0.1429133768398394</v>
      </c>
      <c r="U91" s="19">
        <f t="shared" si="11"/>
        <v>0</v>
      </c>
      <c r="V91" s="19">
        <f t="shared" si="12"/>
        <v>0</v>
      </c>
      <c r="W91" s="125">
        <f t="shared" si="13"/>
        <v>0.7047419233828317</v>
      </c>
      <c r="X91" s="19">
        <f t="shared" si="14"/>
        <v>1.2280010404376169</v>
      </c>
      <c r="Y91" s="18">
        <f t="shared" si="16"/>
        <v>0</v>
      </c>
      <c r="Z91" s="19">
        <f t="shared" si="17"/>
        <v>0</v>
      </c>
      <c r="AA91" s="125">
        <f t="shared" si="25"/>
        <v>0</v>
      </c>
      <c r="AB91" s="19">
        <f t="shared" si="19"/>
        <v>0</v>
      </c>
      <c r="AC91" s="19">
        <f t="shared" si="20"/>
        <v>0</v>
      </c>
      <c r="AD91" s="19">
        <f t="shared" si="21"/>
        <v>0</v>
      </c>
      <c r="AE91" s="22" t="e">
        <f t="shared" si="15"/>
        <v>#DIV/0!</v>
      </c>
      <c r="AF91" s="165" t="s">
        <v>6</v>
      </c>
    </row>
    <row r="92" spans="1:32" ht="14.5" thickBot="1">
      <c r="A92" s="82">
        <v>207</v>
      </c>
      <c r="B92" s="138">
        <v>46002</v>
      </c>
      <c r="C92" s="615">
        <v>45973</v>
      </c>
      <c r="E92" s="24">
        <v>1440</v>
      </c>
      <c r="F92" s="617">
        <v>1</v>
      </c>
      <c r="G92" s="644">
        <v>30</v>
      </c>
      <c r="H92" s="18">
        <v>0.19452609737420645</v>
      </c>
      <c r="I92" s="19">
        <v>0</v>
      </c>
      <c r="J92" s="19">
        <v>0</v>
      </c>
      <c r="K92" s="125">
        <v>2.0537705695368889</v>
      </c>
      <c r="L92" s="19">
        <v>4.3966276080702675</v>
      </c>
      <c r="M92" s="161">
        <f t="shared" si="9"/>
        <v>0</v>
      </c>
      <c r="N92" s="18"/>
      <c r="O92" s="19"/>
      <c r="P92" s="125"/>
      <c r="Q92" s="19"/>
      <c r="R92" s="19"/>
      <c r="S92" s="20"/>
      <c r="T92" s="18">
        <f t="shared" si="24"/>
        <v>0.23250549377414215</v>
      </c>
      <c r="U92" s="19">
        <f t="shared" si="11"/>
        <v>0</v>
      </c>
      <c r="V92" s="19">
        <f t="shared" si="12"/>
        <v>0</v>
      </c>
      <c r="W92" s="125">
        <f t="shared" si="13"/>
        <v>2.4547500145977441</v>
      </c>
      <c r="X92" s="19">
        <f t="shared" si="14"/>
        <v>5.2550279204385504</v>
      </c>
      <c r="Y92" s="18">
        <f t="shared" si="16"/>
        <v>0</v>
      </c>
      <c r="Z92" s="19">
        <f t="shared" si="17"/>
        <v>0</v>
      </c>
      <c r="AA92" s="125">
        <f t="shared" si="25"/>
        <v>0</v>
      </c>
      <c r="AB92" s="19">
        <f t="shared" si="19"/>
        <v>0</v>
      </c>
      <c r="AC92" s="19">
        <f t="shared" si="20"/>
        <v>0</v>
      </c>
      <c r="AD92" s="19">
        <f t="shared" si="21"/>
        <v>0</v>
      </c>
      <c r="AE92" s="22" t="e">
        <f t="shared" si="15"/>
        <v>#DIV/0!</v>
      </c>
      <c r="AF92" s="165" t="s">
        <v>6</v>
      </c>
    </row>
    <row r="93" spans="1:32">
      <c r="A93" s="1">
        <v>208</v>
      </c>
      <c r="B93" s="1" t="s">
        <v>341</v>
      </c>
      <c r="C93" s="615">
        <v>45981</v>
      </c>
      <c r="E93" s="16">
        <v>1440</v>
      </c>
      <c r="F93" s="617">
        <v>1</v>
      </c>
      <c r="G93" s="644">
        <v>30</v>
      </c>
      <c r="H93" s="19">
        <v>0.20982881703431072</v>
      </c>
      <c r="I93" s="19">
        <v>0</v>
      </c>
      <c r="J93" s="19">
        <v>0</v>
      </c>
      <c r="K93" s="125">
        <v>3.563787516903461</v>
      </c>
      <c r="L93" s="20">
        <v>5.9749127719696631</v>
      </c>
      <c r="M93" s="161">
        <f t="shared" si="9"/>
        <v>0</v>
      </c>
      <c r="N93" s="19"/>
      <c r="O93" s="19"/>
      <c r="P93" s="125"/>
      <c r="Q93" s="19"/>
      <c r="R93" s="19"/>
      <c r="S93" s="20"/>
      <c r="T93" s="19">
        <f t="shared" si="24"/>
        <v>0.25079592595104139</v>
      </c>
      <c r="U93" s="19">
        <f t="shared" si="11"/>
        <v>0</v>
      </c>
      <c r="V93" s="19">
        <f t="shared" si="12"/>
        <v>0</v>
      </c>
      <c r="W93" s="125">
        <f t="shared" si="13"/>
        <v>4.2595836111891945</v>
      </c>
      <c r="X93" s="20">
        <f t="shared" si="14"/>
        <v>7.1414584626753452</v>
      </c>
      <c r="Y93" s="19">
        <f t="shared" si="16"/>
        <v>0</v>
      </c>
      <c r="Z93" s="19">
        <f t="shared" si="17"/>
        <v>0</v>
      </c>
      <c r="AA93" s="125">
        <f t="shared" si="25"/>
        <v>0</v>
      </c>
      <c r="AB93" s="19">
        <f t="shared" si="19"/>
        <v>0</v>
      </c>
      <c r="AC93" s="19">
        <f t="shared" si="20"/>
        <v>0</v>
      </c>
      <c r="AD93" s="19">
        <f t="shared" si="21"/>
        <v>0</v>
      </c>
      <c r="AE93" s="22" t="e">
        <f t="shared" si="15"/>
        <v>#DIV/0!</v>
      </c>
      <c r="AF93" s="165" t="s">
        <v>6</v>
      </c>
    </row>
    <row r="94" spans="1:32" ht="14.5" thickBot="1">
      <c r="A94" s="82">
        <v>209</v>
      </c>
      <c r="B94" s="163" t="s">
        <v>343</v>
      </c>
      <c r="C94" s="615">
        <v>45989</v>
      </c>
      <c r="E94" s="16">
        <v>1440</v>
      </c>
      <c r="F94" s="3">
        <v>1</v>
      </c>
      <c r="G94" s="33">
        <v>30</v>
      </c>
      <c r="H94" s="19">
        <v>0.21177407800805276</v>
      </c>
      <c r="I94" s="19">
        <v>0</v>
      </c>
      <c r="J94" s="19">
        <v>0</v>
      </c>
      <c r="K94" s="125">
        <v>5.4211705976361486</v>
      </c>
      <c r="L94" s="20">
        <v>8.2746949410931734</v>
      </c>
      <c r="M94" s="161">
        <f>I94/K94</f>
        <v>0</v>
      </c>
      <c r="N94" s="19"/>
      <c r="O94" s="19"/>
      <c r="P94" s="125"/>
      <c r="Q94" s="19"/>
      <c r="R94" s="19"/>
      <c r="S94" s="20"/>
      <c r="T94" s="19">
        <f t="shared" si="24"/>
        <v>0.25312098088878277</v>
      </c>
      <c r="U94" s="19">
        <f t="shared" ref="U94:X96" si="26">(I94/1000*$G94)*(1000/$E94)*($B$1/($B$2*$F94))</f>
        <v>0</v>
      </c>
      <c r="V94" s="19">
        <f t="shared" si="26"/>
        <v>0</v>
      </c>
      <c r="W94" s="125">
        <f t="shared" si="26"/>
        <v>6.4796033213607567</v>
      </c>
      <c r="X94" s="20">
        <f t="shared" si="26"/>
        <v>9.890251534776171</v>
      </c>
      <c r="Y94" s="19">
        <f t="shared" ref="Y94:Z96" si="27">(N94/1000*$G94)*(1000/$E94)*($B$1/($B$2*$F94))</f>
        <v>0</v>
      </c>
      <c r="Z94" s="19">
        <f t="shared" si="27"/>
        <v>0</v>
      </c>
      <c r="AA94" s="125">
        <f t="shared" si="25"/>
        <v>0</v>
      </c>
      <c r="AB94" s="19">
        <f t="shared" ref="AB94:AD96" si="28">(Q94/1000*$G94)*(1000/$E94)*($B$1/($B$2*$F94))</f>
        <v>0</v>
      </c>
      <c r="AC94" s="19">
        <f t="shared" si="28"/>
        <v>0</v>
      </c>
      <c r="AD94" s="19">
        <f t="shared" si="28"/>
        <v>0</v>
      </c>
      <c r="AE94" s="22" t="e">
        <f>(W94/62+X94/96*2+T94/35+U94/46)/(AA94/18+AD94/39+Z94/23+AB94/24*2+AC94/40*2)</f>
        <v>#DIV/0!</v>
      </c>
      <c r="AF94" s="165" t="s">
        <v>6</v>
      </c>
    </row>
    <row r="95" spans="1:32">
      <c r="A95" s="1">
        <v>210</v>
      </c>
      <c r="B95" s="131">
        <v>45820</v>
      </c>
      <c r="C95" s="615">
        <v>45997</v>
      </c>
      <c r="E95" s="16">
        <v>1440</v>
      </c>
      <c r="F95" s="3">
        <v>1</v>
      </c>
      <c r="G95" s="33">
        <v>30</v>
      </c>
      <c r="H95" s="19">
        <v>0.1726094904033792</v>
      </c>
      <c r="I95" s="19">
        <v>0</v>
      </c>
      <c r="J95" s="19">
        <v>0</v>
      </c>
      <c r="K95" s="125">
        <v>2.1858480708101369</v>
      </c>
      <c r="L95" s="20">
        <v>4.7001955056036442</v>
      </c>
      <c r="M95" s="161">
        <f>I95/K95</f>
        <v>0</v>
      </c>
      <c r="N95" s="19"/>
      <c r="O95" s="19"/>
      <c r="P95" s="125"/>
      <c r="Q95" s="19"/>
      <c r="R95" s="19"/>
      <c r="S95" s="20"/>
      <c r="T95" s="19">
        <f t="shared" si="24"/>
        <v>0.20630987480892216</v>
      </c>
      <c r="U95" s="19">
        <f t="shared" si="26"/>
        <v>0</v>
      </c>
      <c r="V95" s="19">
        <f t="shared" si="26"/>
        <v>0</v>
      </c>
      <c r="W95" s="125">
        <f t="shared" si="26"/>
        <v>2.6126144094759161</v>
      </c>
      <c r="X95" s="20">
        <f t="shared" si="26"/>
        <v>5.6178646033449064</v>
      </c>
      <c r="Y95" s="19">
        <f t="shared" si="27"/>
        <v>0</v>
      </c>
      <c r="Z95" s="19">
        <f t="shared" si="27"/>
        <v>0</v>
      </c>
      <c r="AA95" s="125">
        <f t="shared" si="25"/>
        <v>0</v>
      </c>
      <c r="AB95" s="19">
        <f t="shared" si="28"/>
        <v>0</v>
      </c>
      <c r="AC95" s="19">
        <f t="shared" si="28"/>
        <v>0</v>
      </c>
      <c r="AD95" s="19">
        <f t="shared" si="28"/>
        <v>0</v>
      </c>
      <c r="AE95" s="22" t="e">
        <f>(W95/62+X95/96*2+T95/35+U95/46)/(AA95/18+AD95/39+Z95/23+AB95/24*2+AC95/40*2)</f>
        <v>#DIV/0!</v>
      </c>
      <c r="AF95" s="165" t="s">
        <v>6</v>
      </c>
    </row>
    <row r="96" spans="1:32" ht="14.5" thickBot="1">
      <c r="A96" s="82">
        <v>211</v>
      </c>
      <c r="B96" s="1" t="s">
        <v>346</v>
      </c>
      <c r="C96" s="615">
        <v>46005</v>
      </c>
      <c r="E96" s="16">
        <v>1440</v>
      </c>
      <c r="F96" s="3">
        <v>1</v>
      </c>
      <c r="G96" s="128">
        <v>30</v>
      </c>
      <c r="H96" s="13">
        <v>0.11879060346318208</v>
      </c>
      <c r="I96" s="19">
        <v>0</v>
      </c>
      <c r="J96" s="19">
        <v>0</v>
      </c>
      <c r="K96" s="125">
        <v>0.89135025728385509</v>
      </c>
      <c r="L96" s="19">
        <v>0.98571660936513295</v>
      </c>
      <c r="M96" s="160">
        <f>I96/K96</f>
        <v>0</v>
      </c>
      <c r="N96" s="13"/>
      <c r="O96" s="14"/>
      <c r="P96" s="159"/>
      <c r="Q96" s="14"/>
      <c r="R96" s="14"/>
      <c r="S96" s="15"/>
      <c r="T96" s="18">
        <f>(H96/1000*$G96)*(1000/$E96)*($B$1/($B$2*$F96))</f>
        <v>0.14198335486474284</v>
      </c>
      <c r="U96" s="19">
        <f t="shared" si="26"/>
        <v>0</v>
      </c>
      <c r="V96" s="19">
        <f t="shared" si="26"/>
        <v>0</v>
      </c>
      <c r="W96" s="125">
        <f t="shared" si="26"/>
        <v>1.0653780366385497</v>
      </c>
      <c r="X96" s="19">
        <f t="shared" si="26"/>
        <v>1.1781685340704451</v>
      </c>
      <c r="Y96" s="18">
        <f t="shared" si="27"/>
        <v>0</v>
      </c>
      <c r="Z96" s="19">
        <f t="shared" si="27"/>
        <v>0</v>
      </c>
      <c r="AA96" s="125">
        <f t="shared" si="25"/>
        <v>0</v>
      </c>
      <c r="AB96" s="19">
        <f t="shared" si="28"/>
        <v>0</v>
      </c>
      <c r="AC96" s="19">
        <f t="shared" si="28"/>
        <v>0</v>
      </c>
      <c r="AD96" s="19">
        <f t="shared" si="28"/>
        <v>0</v>
      </c>
      <c r="AE96" s="22" t="e">
        <f>(W96/62+X96/96*2+T96/35+U96/46)/(AA96/18+AD96/39+Z96/23+AB96/24*2+AC96/40*2)</f>
        <v>#DIV/0!</v>
      </c>
      <c r="AF96" s="165" t="s">
        <v>6</v>
      </c>
    </row>
    <row r="97" spans="1:31">
      <c r="AE97" s="19" t="e">
        <f>AVERAGE(AE6:AE96)</f>
        <v>#DIV/0!</v>
      </c>
    </row>
    <row r="99" spans="1:31" ht="16.5">
      <c r="A99" s="3">
        <f>COUNT(A6:A40)</f>
        <v>34</v>
      </c>
      <c r="T99" s="4" t="s">
        <v>32</v>
      </c>
      <c r="U99" s="5" t="s">
        <v>33</v>
      </c>
      <c r="V99" s="5" t="s">
        <v>34</v>
      </c>
      <c r="W99" s="6" t="s">
        <v>35</v>
      </c>
      <c r="X99" s="7" t="s">
        <v>36</v>
      </c>
      <c r="Y99" s="8" t="s">
        <v>38</v>
      </c>
      <c r="Z99" s="9" t="s">
        <v>39</v>
      </c>
      <c r="AA99" s="10" t="s">
        <v>40</v>
      </c>
      <c r="AB99" s="9" t="s">
        <v>41</v>
      </c>
      <c r="AC99" s="9" t="s">
        <v>42</v>
      </c>
      <c r="AD99" s="11" t="s">
        <v>43</v>
      </c>
    </row>
    <row r="100" spans="1:31">
      <c r="S100" s="31" t="s">
        <v>45</v>
      </c>
      <c r="T100" s="13">
        <f>AVERAGE(T6:T96)</f>
        <v>0.74226474038949186</v>
      </c>
      <c r="U100" s="13">
        <f>AVERAGE(U6:U96)</f>
        <v>2.1156714692374075E-2</v>
      </c>
      <c r="V100" s="13">
        <f>AVERAGE(V6:V96)</f>
        <v>0</v>
      </c>
      <c r="W100" s="13">
        <f>AVERAGE(W6:W96)</f>
        <v>2.586960226466168</v>
      </c>
      <c r="X100" s="13">
        <f>AVERAGE(X6:X96)</f>
        <v>5.3795504508617746</v>
      </c>
      <c r="Y100" s="13">
        <f>AVERAGE(Y6:Y96)</f>
        <v>0</v>
      </c>
      <c r="Z100" s="13">
        <f>AVERAGE(Z6:Z96)</f>
        <v>9.3914127883680143E-2</v>
      </c>
      <c r="AA100" s="13">
        <f>AVERAGE(AA6:AA96)</f>
        <v>0.77362164032381864</v>
      </c>
      <c r="AB100" s="13">
        <f>AVERAGE(AB6:AB96)</f>
        <v>4.0551910542598678E-2</v>
      </c>
      <c r="AC100" s="13">
        <f>AVERAGE(AC6:AC96)</f>
        <v>0.30389268190093449</v>
      </c>
      <c r="AD100" s="13">
        <f>AVERAGE(AD6:AD96)</f>
        <v>0.17573900669338777</v>
      </c>
      <c r="AE100" s="32" t="e">
        <f>AVERAGE(AE6:AE97)</f>
        <v>#DIV/0!</v>
      </c>
    </row>
    <row r="101" spans="1:31">
      <c r="S101" s="33" t="s">
        <v>46</v>
      </c>
      <c r="T101" s="34">
        <f>STDEV(T6:T96)</f>
        <v>0.75538866949441819</v>
      </c>
      <c r="U101" s="34">
        <f>STDEV(U6:U96)</f>
        <v>4.4253637505682661E-2</v>
      </c>
      <c r="V101" s="34">
        <f>STDEV(V6:V96)</f>
        <v>0</v>
      </c>
      <c r="W101" s="34">
        <f>STDEV(W6:W96)</f>
        <v>2.8908518837110058</v>
      </c>
      <c r="X101" s="34">
        <f>STDEV(X6:X96)</f>
        <v>3.2568395842388629</v>
      </c>
      <c r="Y101" s="34">
        <f>STDEV(Y6:Y96)</f>
        <v>0</v>
      </c>
      <c r="Z101" s="34">
        <f>STDEV(Z6:Z96)</f>
        <v>0.16536492026189159</v>
      </c>
      <c r="AA101" s="34">
        <f>STDEV(AA6:AA96)</f>
        <v>1.2471460577739664</v>
      </c>
      <c r="AB101" s="34">
        <f>STDEV(AB6:AB96)</f>
        <v>6.9076398912793005E-2</v>
      </c>
      <c r="AC101" s="34">
        <f>STDEV(AC6:AC96)</f>
        <v>0.4565569841339816</v>
      </c>
      <c r="AD101" s="34">
        <f>STDEV(AD6:AD96)</f>
        <v>0.31103760178454098</v>
      </c>
      <c r="AE101" s="37" t="e">
        <f>STDEV(AE6:AE97)</f>
        <v>#DIV/0!</v>
      </c>
    </row>
    <row r="102" spans="1:31">
      <c r="S102" s="33" t="s">
        <v>47</v>
      </c>
      <c r="T102" s="18">
        <f>MIN(T6:T96)</f>
        <v>3.1465743490767244E-2</v>
      </c>
      <c r="U102" s="18">
        <f>MIN(U6:U96)</f>
        <v>0</v>
      </c>
      <c r="V102" s="18">
        <f>MIN(V6:V96)</f>
        <v>0</v>
      </c>
      <c r="W102" s="18">
        <f>MIN(W6:W96)</f>
        <v>0.15366294283298451</v>
      </c>
      <c r="X102" s="18">
        <f>MIN(X6:X96)</f>
        <v>0.69862468936930955</v>
      </c>
      <c r="Y102" s="18">
        <f>MIN(Y6:Y96)</f>
        <v>0</v>
      </c>
      <c r="Z102" s="18">
        <f>MIN(Z6:Z96)</f>
        <v>0</v>
      </c>
      <c r="AA102" s="18">
        <f>MIN(AA6:AA96)</f>
        <v>0</v>
      </c>
      <c r="AB102" s="18">
        <f>MIN(AB6:AB96)</f>
        <v>0</v>
      </c>
      <c r="AC102" s="18">
        <f>MIN(AC6:AC96)</f>
        <v>0</v>
      </c>
      <c r="AD102" s="18">
        <f>MIN(AD6:AD96)</f>
        <v>0</v>
      </c>
      <c r="AE102" s="37" t="e">
        <f>MIN(AE6:AE97)</f>
        <v>#DIV/0!</v>
      </c>
    </row>
    <row r="103" spans="1:31">
      <c r="S103" s="38" t="s">
        <v>48</v>
      </c>
      <c r="T103" s="26">
        <f>MAX(T6:T96)</f>
        <v>3.8649261412023712</v>
      </c>
      <c r="U103" s="26">
        <f t="shared" ref="U103:AD103" si="29">MAX(U6:U96)</f>
        <v>0.16339254018469504</v>
      </c>
      <c r="V103" s="26">
        <f t="shared" si="29"/>
        <v>0</v>
      </c>
      <c r="W103" s="26">
        <f t="shared" si="29"/>
        <v>16.118872737377526</v>
      </c>
      <c r="X103" s="26">
        <f t="shared" si="29"/>
        <v>12.837480630653518</v>
      </c>
      <c r="Y103" s="26">
        <f t="shared" si="29"/>
        <v>0</v>
      </c>
      <c r="Z103" s="26">
        <f t="shared" si="29"/>
        <v>0.83004135923146438</v>
      </c>
      <c r="AA103" s="26">
        <f t="shared" si="29"/>
        <v>5.1404392517698314</v>
      </c>
      <c r="AB103" s="26">
        <f t="shared" si="29"/>
        <v>0.31173891745647514</v>
      </c>
      <c r="AC103" s="26">
        <f t="shared" si="29"/>
        <v>1.5587035959648901</v>
      </c>
      <c r="AD103" s="26">
        <f t="shared" si="29"/>
        <v>1.430647743047599</v>
      </c>
      <c r="AE103" s="39" t="e">
        <f>MAX(AE6:AE97)</f>
        <v>#DIV/0!</v>
      </c>
    </row>
  </sheetData>
  <mergeCells count="4">
    <mergeCell ref="H4:L4"/>
    <mergeCell ref="N4:S4"/>
    <mergeCell ref="T4:X4"/>
    <mergeCell ref="Y4:AD4"/>
  </mergeCells>
  <phoneticPr fontId="13"/>
  <conditionalFormatting sqref="AE6:AE96">
    <cfRule type="cellIs" dxfId="18" priority="1" operator="notBetween">
      <formula>0.7</formula>
      <formula>1.3</formula>
    </cfRule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F3BF-DAD2-4513-8DB7-419BCB7AF2E4}">
  <dimension ref="A1:AF96"/>
  <sheetViews>
    <sheetView topLeftCell="I1" zoomScale="20" zoomScaleNormal="39" workbookViewId="0">
      <selection activeCell="BM83" sqref="BM83"/>
    </sheetView>
  </sheetViews>
  <sheetFormatPr defaultColWidth="8.25" defaultRowHeight="14"/>
  <cols>
    <col min="1" max="1" width="12" style="3" bestFit="1" customWidth="1"/>
    <col min="2" max="2" width="13.1640625" style="3" bestFit="1" customWidth="1"/>
    <col min="3" max="3" width="13.33203125" style="3" customWidth="1"/>
    <col min="4" max="4" width="13.9140625" style="3" customWidth="1"/>
    <col min="5" max="5" width="9.6640625" style="3" bestFit="1" customWidth="1"/>
    <col min="6" max="7" width="8.25" style="3"/>
    <col min="8" max="12" width="6.75" style="3" customWidth="1"/>
    <col min="13" max="13" width="8.6640625" style="3" bestFit="1" customWidth="1"/>
    <col min="14" max="18" width="6.75" style="3" customWidth="1"/>
    <col min="19" max="19" width="7.6640625" style="3" bestFit="1" customWidth="1"/>
    <col min="20" max="30" width="6.75" style="3" customWidth="1"/>
    <col min="31" max="31" width="12.58203125" style="3" bestFit="1" customWidth="1"/>
    <col min="32" max="32" width="25.1640625" style="3" customWidth="1"/>
    <col min="33" max="16384" width="8.25" style="3"/>
  </cols>
  <sheetData>
    <row r="1" spans="1:32">
      <c r="A1" s="3" t="s">
        <v>3</v>
      </c>
      <c r="B1" s="132">
        <f>17.7*22.9</f>
        <v>405.33</v>
      </c>
      <c r="C1" s="3" t="s">
        <v>4</v>
      </c>
    </row>
    <row r="2" spans="1:32">
      <c r="A2" s="3" t="s">
        <v>5</v>
      </c>
      <c r="B2" s="3">
        <f>1.5*1.5*3.14</f>
        <v>7.0650000000000004</v>
      </c>
      <c r="C2" s="3" t="s">
        <v>4</v>
      </c>
    </row>
    <row r="4" spans="1:32" ht="14.5" thickBot="1">
      <c r="H4" s="618" t="s">
        <v>24</v>
      </c>
      <c r="I4" s="619"/>
      <c r="J4" s="619"/>
      <c r="K4" s="619"/>
      <c r="L4" s="620"/>
      <c r="M4" s="108"/>
      <c r="N4" s="621" t="s">
        <v>25</v>
      </c>
      <c r="O4" s="622"/>
      <c r="P4" s="622"/>
      <c r="Q4" s="622"/>
      <c r="R4" s="622"/>
      <c r="S4" s="623"/>
      <c r="T4" s="618" t="s">
        <v>26</v>
      </c>
      <c r="U4" s="619"/>
      <c r="V4" s="619"/>
      <c r="W4" s="619"/>
      <c r="X4" s="620"/>
      <c r="Y4" s="624" t="s">
        <v>27</v>
      </c>
      <c r="Z4" s="622"/>
      <c r="AA4" s="622"/>
      <c r="AB4" s="622"/>
      <c r="AC4" s="622"/>
      <c r="AD4" s="623"/>
    </row>
    <row r="5" spans="1:32" ht="29.5">
      <c r="A5" s="133" t="s">
        <v>0</v>
      </c>
      <c r="B5" s="134" t="s">
        <v>28</v>
      </c>
      <c r="C5" s="109" t="s">
        <v>1</v>
      </c>
      <c r="D5" s="140" t="s">
        <v>75</v>
      </c>
      <c r="E5" s="110" t="s">
        <v>29</v>
      </c>
      <c r="F5" s="111" t="s">
        <v>30</v>
      </c>
      <c r="G5" s="112" t="s">
        <v>31</v>
      </c>
      <c r="H5" s="53" t="s">
        <v>32</v>
      </c>
      <c r="I5" s="46" t="s">
        <v>33</v>
      </c>
      <c r="J5" s="46" t="s">
        <v>34</v>
      </c>
      <c r="K5" s="113" t="s">
        <v>35</v>
      </c>
      <c r="L5" s="114" t="s">
        <v>36</v>
      </c>
      <c r="M5" s="115" t="s">
        <v>37</v>
      </c>
      <c r="N5" s="50" t="s">
        <v>38</v>
      </c>
      <c r="O5" s="116" t="s">
        <v>39</v>
      </c>
      <c r="P5" s="117" t="s">
        <v>40</v>
      </c>
      <c r="Q5" s="116" t="s">
        <v>41</v>
      </c>
      <c r="R5" s="116" t="s">
        <v>42</v>
      </c>
      <c r="S5" s="118" t="s">
        <v>43</v>
      </c>
      <c r="T5" s="119" t="s">
        <v>32</v>
      </c>
      <c r="U5" s="47" t="s">
        <v>33</v>
      </c>
      <c r="V5" s="47" t="s">
        <v>34</v>
      </c>
      <c r="W5" s="120" t="s">
        <v>35</v>
      </c>
      <c r="X5" s="121" t="s">
        <v>36</v>
      </c>
      <c r="Y5" s="122" t="s">
        <v>38</v>
      </c>
      <c r="Z5" s="123" t="s">
        <v>39</v>
      </c>
      <c r="AA5" s="124" t="s">
        <v>40</v>
      </c>
      <c r="AB5" s="123" t="s">
        <v>41</v>
      </c>
      <c r="AC5" s="123" t="s">
        <v>42</v>
      </c>
      <c r="AD5" s="123" t="s">
        <v>43</v>
      </c>
      <c r="AE5" s="12" t="s">
        <v>44</v>
      </c>
      <c r="AF5" s="164" t="s">
        <v>2</v>
      </c>
    </row>
    <row r="6" spans="1:32">
      <c r="A6" s="641">
        <v>1</v>
      </c>
      <c r="B6" s="1"/>
      <c r="C6" s="614">
        <v>45327</v>
      </c>
      <c r="D6" s="137"/>
      <c r="E6" s="16">
        <v>1440</v>
      </c>
      <c r="F6" s="3">
        <v>3</v>
      </c>
      <c r="G6" s="17">
        <v>30</v>
      </c>
      <c r="H6" s="18">
        <v>1.9010512030674451</v>
      </c>
      <c r="I6" s="19">
        <v>0</v>
      </c>
      <c r="J6" s="19">
        <v>0</v>
      </c>
      <c r="K6" s="125">
        <v>11.332018860986407</v>
      </c>
      <c r="L6" s="20">
        <v>67.110054614140452</v>
      </c>
      <c r="M6" s="21">
        <f>I6/K6</f>
        <v>0</v>
      </c>
      <c r="N6" s="141">
        <v>0</v>
      </c>
      <c r="O6" s="35">
        <v>0.26944000000000001</v>
      </c>
      <c r="P6" s="142">
        <v>5.0520009999999997</v>
      </c>
      <c r="Q6" s="35">
        <v>8.8029999999999997E-2</v>
      </c>
      <c r="R6" s="35">
        <v>1.24387</v>
      </c>
      <c r="S6" s="35">
        <v>0.89087799999999995</v>
      </c>
      <c r="T6" s="18">
        <f t="shared" ref="T6:X21" si="0">(H6/1000*$G6)*(1000/$E6)*($B$1/($B$2*$F6))</f>
        <v>0.75740454130231916</v>
      </c>
      <c r="U6" s="19">
        <f t="shared" si="0"/>
        <v>0</v>
      </c>
      <c r="V6" s="19">
        <f t="shared" si="0"/>
        <v>0</v>
      </c>
      <c r="W6" s="125">
        <f t="shared" si="0"/>
        <v>4.5148297602850711</v>
      </c>
      <c r="X6" s="19">
        <f t="shared" si="0"/>
        <v>26.737554490789439</v>
      </c>
      <c r="Y6" s="18">
        <f t="shared" ref="Y6:AD21" si="1">(N6/1000*$G6)*(1000/$E6)*($B$1/($B$2*$F6))</f>
        <v>0</v>
      </c>
      <c r="Z6" s="19">
        <f t="shared" si="1"/>
        <v>0.10734854446803489</v>
      </c>
      <c r="AA6" s="125">
        <f t="shared" si="1"/>
        <v>2.012785607189195</v>
      </c>
      <c r="AB6" s="19">
        <f t="shared" si="1"/>
        <v>3.5072344008020749E-2</v>
      </c>
      <c r="AC6" s="19">
        <f t="shared" si="1"/>
        <v>0.49557465115593291</v>
      </c>
      <c r="AD6" s="19">
        <f t="shared" si="1"/>
        <v>0.35493785851615939</v>
      </c>
      <c r="AE6" s="22">
        <f>(W6/62+X6/96*2+T6/35+U6/46)/(AA6/18+AD6/39+Z6/23+AB6/24*2+AC6/40*2)</f>
        <v>4.2500323922389196</v>
      </c>
      <c r="AF6" s="165" t="s">
        <v>6</v>
      </c>
    </row>
    <row r="7" spans="1:32">
      <c r="A7" s="641">
        <v>2</v>
      </c>
      <c r="B7" s="1"/>
      <c r="C7" s="614">
        <v>45334</v>
      </c>
      <c r="D7" s="131"/>
      <c r="E7" s="16">
        <v>1440</v>
      </c>
      <c r="F7" s="3">
        <v>1</v>
      </c>
      <c r="G7" s="17">
        <v>30</v>
      </c>
      <c r="H7" s="18">
        <v>1.1383689119617433</v>
      </c>
      <c r="I7" s="19">
        <v>0</v>
      </c>
      <c r="J7" s="19">
        <v>0</v>
      </c>
      <c r="K7" s="125">
        <v>6.6448492346821499</v>
      </c>
      <c r="L7" s="20">
        <v>5.6573438603863462</v>
      </c>
      <c r="M7" s="21">
        <f t="shared" ref="M7:M69" si="2">I7/K7</f>
        <v>0</v>
      </c>
      <c r="N7" s="34">
        <v>0</v>
      </c>
      <c r="O7" s="35">
        <v>0.90901884136215472</v>
      </c>
      <c r="P7" s="142">
        <v>1.2878392484342378</v>
      </c>
      <c r="Q7" s="35">
        <v>0.4908501617990414</v>
      </c>
      <c r="R7" s="35">
        <v>3.3467423658743973</v>
      </c>
      <c r="S7" s="35">
        <v>1.0998593498739073</v>
      </c>
      <c r="T7" s="18">
        <f t="shared" si="0"/>
        <v>1.3606247672960998</v>
      </c>
      <c r="U7" s="19">
        <f t="shared" si="0"/>
        <v>0</v>
      </c>
      <c r="V7" s="19">
        <f t="shared" si="0"/>
        <v>0</v>
      </c>
      <c r="W7" s="125">
        <f t="shared" si="0"/>
        <v>7.9421937375964733</v>
      </c>
      <c r="X7" s="19">
        <f t="shared" si="0"/>
        <v>6.7618871990162699</v>
      </c>
      <c r="Y7" s="18">
        <f t="shared" si="1"/>
        <v>0</v>
      </c>
      <c r="Z7" s="19">
        <f t="shared" si="1"/>
        <v>1.0864962460760854</v>
      </c>
      <c r="AA7" s="125">
        <f t="shared" si="1"/>
        <v>1.5392777853498749</v>
      </c>
      <c r="AB7" s="19">
        <f t="shared" si="1"/>
        <v>0.58668405308446991</v>
      </c>
      <c r="AC7" s="19">
        <f t="shared" si="1"/>
        <v>4.0001624297000156</v>
      </c>
      <c r="AD7" s="19">
        <f t="shared" si="1"/>
        <v>1.3145965743229264</v>
      </c>
      <c r="AE7" s="22">
        <f>(W7/62+X7/96*2+T7/35+U7/46)/(AA7/18+AD7/39+Z7/23+AB7/24*2+AC7/40*2)</f>
        <v>0.74115754726832184</v>
      </c>
      <c r="AF7" s="165" t="s">
        <v>6</v>
      </c>
    </row>
    <row r="8" spans="1:32">
      <c r="A8" s="641">
        <v>3</v>
      </c>
      <c r="B8" s="1"/>
      <c r="C8" s="614">
        <v>45341</v>
      </c>
      <c r="D8" s="131"/>
      <c r="E8" s="16">
        <v>1440</v>
      </c>
      <c r="F8" s="3">
        <v>1</v>
      </c>
      <c r="G8" s="17">
        <v>30</v>
      </c>
      <c r="H8" s="18">
        <v>0.50053852616160099</v>
      </c>
      <c r="I8" s="19">
        <v>0</v>
      </c>
      <c r="J8" s="19">
        <v>0</v>
      </c>
      <c r="K8" s="125">
        <v>4.359783657897558</v>
      </c>
      <c r="L8" s="20">
        <v>10.973550285761828</v>
      </c>
      <c r="M8" s="21">
        <f t="shared" si="2"/>
        <v>0</v>
      </c>
      <c r="N8" s="34">
        <v>0</v>
      </c>
      <c r="O8" s="35">
        <v>0.7497180971386006</v>
      </c>
      <c r="P8" s="142">
        <v>5.6554653233992838</v>
      </c>
      <c r="Q8" s="35">
        <v>0.25355663478474577</v>
      </c>
      <c r="R8" s="35">
        <v>1.2747734889892246</v>
      </c>
      <c r="S8" s="35">
        <v>1.117849352068766</v>
      </c>
      <c r="T8" s="18">
        <f t="shared" si="0"/>
        <v>0.59826397973897649</v>
      </c>
      <c r="U8" s="19">
        <f t="shared" si="0"/>
        <v>0</v>
      </c>
      <c r="V8" s="19">
        <f t="shared" si="0"/>
        <v>0</v>
      </c>
      <c r="W8" s="125">
        <f t="shared" si="0"/>
        <v>5.2109905344881371</v>
      </c>
      <c r="X8" s="19">
        <f t="shared" si="0"/>
        <v>13.116033077753718</v>
      </c>
      <c r="Y8" s="18">
        <f t="shared" si="1"/>
        <v>0</v>
      </c>
      <c r="Z8" s="19">
        <f t="shared" si="1"/>
        <v>0.89609352533967013</v>
      </c>
      <c r="AA8" s="125">
        <f t="shared" si="1"/>
        <v>6.7596418952979231</v>
      </c>
      <c r="AB8" s="19">
        <f t="shared" si="1"/>
        <v>0.30306119007224869</v>
      </c>
      <c r="AC8" s="19">
        <f t="shared" si="1"/>
        <v>1.5236610588936139</v>
      </c>
      <c r="AD8" s="19">
        <f t="shared" si="1"/>
        <v>1.3360989557502738</v>
      </c>
      <c r="AE8" s="22">
        <f t="shared" ref="AE8:AE70" si="3">(W8/62+X8/96*2+T8/35+U8/46)/(AA8/18+AD8/39+Z8/23+AB8/24*2+AC8/40*2)</f>
        <v>0.68047383898354319</v>
      </c>
      <c r="AF8" s="165" t="s">
        <v>6</v>
      </c>
    </row>
    <row r="9" spans="1:32">
      <c r="A9" s="641">
        <v>4</v>
      </c>
      <c r="B9" s="1"/>
      <c r="C9" s="614">
        <v>45348</v>
      </c>
      <c r="D9" s="131"/>
      <c r="E9" s="16">
        <v>1440</v>
      </c>
      <c r="F9" s="3">
        <v>1</v>
      </c>
      <c r="G9" s="17">
        <v>30</v>
      </c>
      <c r="H9" s="18">
        <v>0.47283135514723312</v>
      </c>
      <c r="I9" s="19">
        <v>0</v>
      </c>
      <c r="J9" s="19">
        <v>0</v>
      </c>
      <c r="K9" s="125">
        <v>3.3955233885424483</v>
      </c>
      <c r="L9" s="20">
        <v>5.3961605117061531</v>
      </c>
      <c r="M9" s="21">
        <f>I9/K9</f>
        <v>0</v>
      </c>
      <c r="N9" s="34">
        <v>0</v>
      </c>
      <c r="O9" s="35">
        <v>5.4392000000000003E-2</v>
      </c>
      <c r="P9" s="142">
        <v>1.1795899999999999</v>
      </c>
      <c r="Q9" s="35">
        <v>1.9847E-2</v>
      </c>
      <c r="R9" s="35">
        <v>0.43956000000000001</v>
      </c>
      <c r="S9" s="35">
        <v>0.178036</v>
      </c>
      <c r="T9" s="18">
        <f t="shared" si="0"/>
        <v>0.56514724340005895</v>
      </c>
      <c r="U9" s="19">
        <f t="shared" si="0"/>
        <v>0</v>
      </c>
      <c r="V9" s="19">
        <f t="shared" si="0"/>
        <v>0</v>
      </c>
      <c r="W9" s="125">
        <f t="shared" si="0"/>
        <v>4.0584674896140323</v>
      </c>
      <c r="X9" s="19">
        <f t="shared" si="0"/>
        <v>6.4497102506777981</v>
      </c>
      <c r="Y9" s="18">
        <f t="shared" si="1"/>
        <v>0</v>
      </c>
      <c r="Z9" s="19">
        <f t="shared" si="1"/>
        <v>6.5011527954706286E-2</v>
      </c>
      <c r="AA9" s="125">
        <f t="shared" si="1"/>
        <v>1.4098938862349606</v>
      </c>
      <c r="AB9" s="19">
        <f t="shared" si="1"/>
        <v>2.3721940640481241E-2</v>
      </c>
      <c r="AC9" s="19">
        <f t="shared" si="1"/>
        <v>0.52537996815286625</v>
      </c>
      <c r="AD9" s="19">
        <f t="shared" si="1"/>
        <v>0.21279585951875438</v>
      </c>
      <c r="AE9" s="22">
        <f t="shared" si="3"/>
        <v>1.880397063706976</v>
      </c>
      <c r="AF9" s="165" t="s">
        <v>6</v>
      </c>
    </row>
    <row r="10" spans="1:32">
      <c r="A10" s="641">
        <v>5</v>
      </c>
      <c r="B10" s="1"/>
      <c r="C10" s="614">
        <v>45354</v>
      </c>
      <c r="D10" s="131"/>
      <c r="E10" s="16">
        <v>1440</v>
      </c>
      <c r="F10" s="3">
        <v>1</v>
      </c>
      <c r="G10" s="17">
        <v>30</v>
      </c>
      <c r="H10" s="18">
        <v>1.6453535962777073</v>
      </c>
      <c r="I10" s="19">
        <v>0</v>
      </c>
      <c r="J10" s="19">
        <v>0</v>
      </c>
      <c r="K10" s="125">
        <v>7.0454345228063158</v>
      </c>
      <c r="L10" s="20">
        <v>11.291737936733334</v>
      </c>
      <c r="M10" s="21">
        <f t="shared" si="2"/>
        <v>0</v>
      </c>
      <c r="N10" s="34">
        <v>0</v>
      </c>
      <c r="O10" s="35">
        <v>0.86165916064704395</v>
      </c>
      <c r="P10" s="142">
        <v>6.5813118882993997</v>
      </c>
      <c r="Q10" s="35">
        <v>0.35758676217588981</v>
      </c>
      <c r="R10" s="35">
        <v>1.8803280433391674</v>
      </c>
      <c r="S10" s="35">
        <v>1.5835905200023288</v>
      </c>
      <c r="T10" s="18">
        <f t="shared" si="0"/>
        <v>1.9665934571220895</v>
      </c>
      <c r="U10" s="19">
        <f t="shared" si="0"/>
        <v>0</v>
      </c>
      <c r="V10" s="19">
        <f t="shared" si="0"/>
        <v>0</v>
      </c>
      <c r="W10" s="125">
        <f t="shared" si="0"/>
        <v>8.4209895468538676</v>
      </c>
      <c r="X10" s="19">
        <f t="shared" si="0"/>
        <v>13.49634388386448</v>
      </c>
      <c r="Y10" s="18">
        <f t="shared" si="1"/>
        <v>0</v>
      </c>
      <c r="Z10" s="19">
        <f t="shared" si="1"/>
        <v>1.029890031803097</v>
      </c>
      <c r="AA10" s="125">
        <f t="shared" si="1"/>
        <v>7.866251320135631</v>
      </c>
      <c r="AB10" s="19">
        <f t="shared" si="1"/>
        <v>0.42740222432399561</v>
      </c>
      <c r="AC10" s="19">
        <f t="shared" si="1"/>
        <v>2.2474444615671878</v>
      </c>
      <c r="AD10" s="19">
        <f t="shared" si="1"/>
        <v>1.8927717193693794</v>
      </c>
      <c r="AE10" s="22">
        <f t="shared" si="3"/>
        <v>0.69758989949093764</v>
      </c>
      <c r="AF10" s="165" t="s">
        <v>6</v>
      </c>
    </row>
    <row r="11" spans="1:32">
      <c r="A11" s="641">
        <v>6</v>
      </c>
      <c r="B11" s="1"/>
      <c r="C11" s="614">
        <v>45362</v>
      </c>
      <c r="D11" s="131"/>
      <c r="E11" s="16">
        <v>1440</v>
      </c>
      <c r="F11" s="3">
        <v>1</v>
      </c>
      <c r="G11" s="17">
        <v>30</v>
      </c>
      <c r="H11" s="18">
        <v>1.1604215582793014</v>
      </c>
      <c r="I11" s="19">
        <v>0</v>
      </c>
      <c r="J11" s="19">
        <v>0</v>
      </c>
      <c r="K11" s="125">
        <v>4.9105884290682873</v>
      </c>
      <c r="L11" s="20">
        <v>7.4096709191335624</v>
      </c>
      <c r="M11" s="21">
        <f t="shared" si="2"/>
        <v>0</v>
      </c>
      <c r="N11" s="34">
        <v>0</v>
      </c>
      <c r="O11" s="35">
        <v>0.349078</v>
      </c>
      <c r="P11" s="142">
        <v>1.690607</v>
      </c>
      <c r="Q11" s="35">
        <v>7.7376E-2</v>
      </c>
      <c r="R11" s="35">
        <v>2.0555669999999999</v>
      </c>
      <c r="S11" s="35">
        <v>0.69726299999999997</v>
      </c>
      <c r="T11" s="18">
        <f t="shared" si="0"/>
        <v>1.3869829860148299</v>
      </c>
      <c r="U11" s="19">
        <f t="shared" si="0"/>
        <v>0</v>
      </c>
      <c r="V11" s="19">
        <f t="shared" si="0"/>
        <v>0</v>
      </c>
      <c r="W11" s="125">
        <f t="shared" si="0"/>
        <v>5.8693347722170577</v>
      </c>
      <c r="X11" s="19">
        <f t="shared" si="0"/>
        <v>8.8563396840422453</v>
      </c>
      <c r="Y11" s="18">
        <f t="shared" si="1"/>
        <v>0</v>
      </c>
      <c r="Z11" s="19">
        <f t="shared" si="1"/>
        <v>0.41723220612172679</v>
      </c>
      <c r="AA11" s="125">
        <f t="shared" si="1"/>
        <v>2.0206821635704175</v>
      </c>
      <c r="AB11" s="19">
        <f t="shared" si="1"/>
        <v>9.2482938428874714E-2</v>
      </c>
      <c r="AC11" s="19">
        <f t="shared" si="1"/>
        <v>2.4568971812632694</v>
      </c>
      <c r="AD11" s="19">
        <f t="shared" si="1"/>
        <v>0.83339706236730338</v>
      </c>
      <c r="AE11" s="22">
        <f t="shared" si="3"/>
        <v>1.1292153273989278</v>
      </c>
      <c r="AF11" s="165" t="s">
        <v>6</v>
      </c>
    </row>
    <row r="12" spans="1:32">
      <c r="A12" s="641">
        <v>7</v>
      </c>
      <c r="B12" s="1"/>
      <c r="C12" s="614">
        <v>45376</v>
      </c>
      <c r="D12" s="131"/>
      <c r="E12" s="16">
        <v>1440</v>
      </c>
      <c r="F12" s="3">
        <v>4</v>
      </c>
      <c r="G12" s="17">
        <v>30</v>
      </c>
      <c r="H12" s="18">
        <v>0.42261917583956238</v>
      </c>
      <c r="I12" s="19">
        <v>4.5688895977366181E-2</v>
      </c>
      <c r="J12" s="19">
        <v>0</v>
      </c>
      <c r="K12" s="125">
        <v>1.8215369175846901</v>
      </c>
      <c r="L12" s="20">
        <v>34.189847946223473</v>
      </c>
      <c r="M12" s="21">
        <f t="shared" si="2"/>
        <v>2.5082607734323855E-2</v>
      </c>
      <c r="N12" s="34">
        <v>0</v>
      </c>
      <c r="O12" s="35">
        <v>0.84651841423660723</v>
      </c>
      <c r="P12" s="142">
        <v>3.2488843347187371</v>
      </c>
      <c r="Q12" s="35">
        <v>0.24750837156433039</v>
      </c>
      <c r="R12" s="35">
        <v>1.7503323129099484</v>
      </c>
      <c r="S12" s="35">
        <v>1.0045005800697873</v>
      </c>
      <c r="T12" s="18">
        <f t="shared" si="0"/>
        <v>0.126282901733199</v>
      </c>
      <c r="U12" s="19">
        <f t="shared" si="0"/>
        <v>1.3652306120625318E-2</v>
      </c>
      <c r="V12" s="19">
        <f t="shared" si="0"/>
        <v>0</v>
      </c>
      <c r="W12" s="125">
        <f t="shared" si="0"/>
        <v>0.54429372995149372</v>
      </c>
      <c r="X12" s="19">
        <f t="shared" si="0"/>
        <v>10.216273788071152</v>
      </c>
      <c r="Y12" s="18">
        <f t="shared" si="1"/>
        <v>0</v>
      </c>
      <c r="Z12" s="19">
        <f t="shared" si="1"/>
        <v>0.25294829915850142</v>
      </c>
      <c r="AA12" s="125">
        <f t="shared" si="1"/>
        <v>0.97079963389916957</v>
      </c>
      <c r="AB12" s="19">
        <f t="shared" si="1"/>
        <v>7.3958015043472825E-2</v>
      </c>
      <c r="AC12" s="19">
        <f t="shared" si="1"/>
        <v>0.523017070942284</v>
      </c>
      <c r="AD12" s="19">
        <f t="shared" si="1"/>
        <v>0.30015497472847874</v>
      </c>
      <c r="AE12" s="22">
        <f t="shared" si="3"/>
        <v>2.1490365986526987</v>
      </c>
      <c r="AF12" s="165" t="s">
        <v>6</v>
      </c>
    </row>
    <row r="13" spans="1:32">
      <c r="A13" s="641">
        <v>8</v>
      </c>
      <c r="B13" s="1"/>
      <c r="C13" s="614">
        <v>45383</v>
      </c>
      <c r="D13" s="131"/>
      <c r="E13" s="16">
        <v>1440</v>
      </c>
      <c r="F13" s="3">
        <v>1</v>
      </c>
      <c r="G13" s="17">
        <v>30</v>
      </c>
      <c r="H13" s="18">
        <v>0.2811429679253819</v>
      </c>
      <c r="I13" s="19">
        <v>0</v>
      </c>
      <c r="J13" s="19">
        <v>0</v>
      </c>
      <c r="K13" s="125">
        <v>0.3078795562841864</v>
      </c>
      <c r="L13" s="20">
        <v>13.942660087963597</v>
      </c>
      <c r="M13" s="21">
        <f t="shared" si="2"/>
        <v>0</v>
      </c>
      <c r="N13" s="34">
        <v>0</v>
      </c>
      <c r="O13" s="35">
        <v>0.45716443308480331</v>
      </c>
      <c r="P13" s="142">
        <v>1.5131629350136944</v>
      </c>
      <c r="Q13" s="35">
        <v>0.18521126039405228</v>
      </c>
      <c r="R13" s="35">
        <v>1.1378436369485994</v>
      </c>
      <c r="S13" s="35">
        <v>0.62694569740513939</v>
      </c>
      <c r="T13" s="18">
        <f t="shared" si="0"/>
        <v>0.3360334960757107</v>
      </c>
      <c r="U13" s="19">
        <f t="shared" si="0"/>
        <v>0</v>
      </c>
      <c r="V13" s="19">
        <f t="shared" si="0"/>
        <v>0</v>
      </c>
      <c r="W13" s="125">
        <f t="shared" si="0"/>
        <v>0.36799015259692514</v>
      </c>
      <c r="X13" s="19">
        <f t="shared" si="0"/>
        <v>16.664833726864487</v>
      </c>
      <c r="Y13" s="18">
        <f t="shared" si="1"/>
        <v>0</v>
      </c>
      <c r="Z13" s="19">
        <f t="shared" si="1"/>
        <v>0.546421501716983</v>
      </c>
      <c r="AA13" s="125">
        <f t="shared" si="1"/>
        <v>1.8085938088260813</v>
      </c>
      <c r="AB13" s="19">
        <f t="shared" si="1"/>
        <v>0.22137202222081032</v>
      </c>
      <c r="AC13" s="19">
        <f t="shared" si="1"/>
        <v>1.3599969372622545</v>
      </c>
      <c r="AD13" s="19">
        <f t="shared" si="1"/>
        <v>0.74935096582102234</v>
      </c>
      <c r="AE13" s="22">
        <f t="shared" si="3"/>
        <v>1.5777546233955244</v>
      </c>
      <c r="AF13" s="165" t="s">
        <v>6</v>
      </c>
    </row>
    <row r="14" spans="1:32">
      <c r="A14" s="641">
        <v>9</v>
      </c>
      <c r="B14" s="1"/>
      <c r="C14" s="614">
        <v>45396</v>
      </c>
      <c r="D14" s="131"/>
      <c r="E14" s="16">
        <v>1440</v>
      </c>
      <c r="F14" s="3">
        <v>4</v>
      </c>
      <c r="G14" s="17">
        <v>30</v>
      </c>
      <c r="H14" s="18">
        <v>0.40090580100381285</v>
      </c>
      <c r="I14" s="19">
        <v>0</v>
      </c>
      <c r="J14" s="19">
        <v>0</v>
      </c>
      <c r="K14" s="125">
        <v>2.4751022722049423</v>
      </c>
      <c r="L14" s="20">
        <v>14.020689353697419</v>
      </c>
      <c r="M14" s="21">
        <f t="shared" si="2"/>
        <v>0</v>
      </c>
      <c r="N14" s="34">
        <v>0</v>
      </c>
      <c r="O14" s="35">
        <v>0.34385399999999999</v>
      </c>
      <c r="P14" s="142">
        <v>1.0808770000000001</v>
      </c>
      <c r="Q14" s="35">
        <v>4.9463E-2</v>
      </c>
      <c r="R14" s="35">
        <v>0.99355499999999997</v>
      </c>
      <c r="S14" s="35">
        <v>0.41435</v>
      </c>
      <c r="T14" s="18">
        <f t="shared" si="0"/>
        <v>0.11979472481781922</v>
      </c>
      <c r="U14" s="19">
        <f t="shared" si="0"/>
        <v>0</v>
      </c>
      <c r="V14" s="19">
        <f t="shared" si="0"/>
        <v>0</v>
      </c>
      <c r="W14" s="125">
        <f t="shared" si="0"/>
        <v>0.73958569532380058</v>
      </c>
      <c r="X14" s="19">
        <f t="shared" si="0"/>
        <v>4.1895243687589749</v>
      </c>
      <c r="Y14" s="18">
        <f t="shared" si="1"/>
        <v>0</v>
      </c>
      <c r="Z14" s="19">
        <f t="shared" si="1"/>
        <v>0.10274706727707004</v>
      </c>
      <c r="AA14" s="125">
        <f t="shared" si="1"/>
        <v>0.32297702465941258</v>
      </c>
      <c r="AB14" s="19">
        <f t="shared" si="1"/>
        <v>1.4780046731245573E-2</v>
      </c>
      <c r="AC14" s="19">
        <f t="shared" si="1"/>
        <v>0.29688432424363048</v>
      </c>
      <c r="AD14" s="19">
        <f t="shared" si="1"/>
        <v>0.12381198801309269</v>
      </c>
      <c r="AE14" s="22">
        <f t="shared" si="3"/>
        <v>2.4635343051228284</v>
      </c>
      <c r="AF14" s="165" t="s">
        <v>6</v>
      </c>
    </row>
    <row r="15" spans="1:32">
      <c r="A15" s="641">
        <v>10</v>
      </c>
      <c r="B15" s="1"/>
      <c r="C15" s="614">
        <v>45404</v>
      </c>
      <c r="D15" s="131"/>
      <c r="E15" s="16">
        <v>1440</v>
      </c>
      <c r="F15" s="3">
        <v>1</v>
      </c>
      <c r="G15" s="17">
        <v>30</v>
      </c>
      <c r="H15" s="18">
        <v>0.44659436055403579</v>
      </c>
      <c r="I15" s="19">
        <v>0</v>
      </c>
      <c r="J15" s="19">
        <v>0</v>
      </c>
      <c r="K15" s="125">
        <v>0.53994553143242363</v>
      </c>
      <c r="L15" s="20">
        <v>17.036290976469246</v>
      </c>
      <c r="M15" s="21">
        <f t="shared" si="2"/>
        <v>0</v>
      </c>
      <c r="N15" s="34">
        <v>0</v>
      </c>
      <c r="O15" s="35">
        <v>0.26025903946911222</v>
      </c>
      <c r="P15" s="142">
        <v>3.5933739040040598</v>
      </c>
      <c r="Q15" s="35">
        <v>0.10723601584387982</v>
      </c>
      <c r="R15" s="35">
        <v>0.33702973087219945</v>
      </c>
      <c r="S15" s="35">
        <v>0.65627888551432711</v>
      </c>
      <c r="T15" s="18">
        <f t="shared" si="0"/>
        <v>0.53378772164238997</v>
      </c>
      <c r="U15" s="19">
        <f t="shared" si="0"/>
        <v>0</v>
      </c>
      <c r="V15" s="19">
        <f t="shared" si="0"/>
        <v>0</v>
      </c>
      <c r="W15" s="125">
        <f t="shared" si="0"/>
        <v>0.64536483326110006</v>
      </c>
      <c r="X15" s="19">
        <f t="shared" si="0"/>
        <v>20.362467036719387</v>
      </c>
      <c r="Y15" s="18">
        <f t="shared" si="1"/>
        <v>0</v>
      </c>
      <c r="Z15" s="19">
        <f t="shared" si="1"/>
        <v>0.31107217642137075</v>
      </c>
      <c r="AA15" s="125">
        <f t="shared" si="1"/>
        <v>4.2949464629333729</v>
      </c>
      <c r="AB15" s="19">
        <f t="shared" si="1"/>
        <v>0.12817284236258492</v>
      </c>
      <c r="AC15" s="19">
        <f t="shared" si="1"/>
        <v>0.40283162542589224</v>
      </c>
      <c r="AD15" s="19">
        <f t="shared" si="1"/>
        <v>0.78441118384501718</v>
      </c>
      <c r="AE15" s="22">
        <f t="shared" si="3"/>
        <v>1.4844097828572835</v>
      </c>
      <c r="AF15" s="165" t="s">
        <v>6</v>
      </c>
    </row>
    <row r="16" spans="1:32">
      <c r="A16" s="641">
        <v>11</v>
      </c>
      <c r="B16" s="1"/>
      <c r="C16" s="614">
        <v>45411</v>
      </c>
      <c r="D16" s="131"/>
      <c r="E16" s="16">
        <v>1440</v>
      </c>
      <c r="F16" s="3">
        <v>3</v>
      </c>
      <c r="G16" s="17">
        <v>30</v>
      </c>
      <c r="H16" s="18">
        <v>0.48052150873489435</v>
      </c>
      <c r="I16" s="19">
        <v>0</v>
      </c>
      <c r="J16" s="19">
        <v>0</v>
      </c>
      <c r="K16" s="125">
        <v>0.49389431106071968</v>
      </c>
      <c r="L16" s="20">
        <v>21.615291113251367</v>
      </c>
      <c r="M16" s="21">
        <f t="shared" si="2"/>
        <v>0</v>
      </c>
      <c r="N16" s="34">
        <v>0</v>
      </c>
      <c r="O16" s="35">
        <v>0.34710743801652905</v>
      </c>
      <c r="P16" s="142">
        <v>1.5778164852639982</v>
      </c>
      <c r="Q16" s="35">
        <v>0.12054171314146198</v>
      </c>
      <c r="R16" s="35">
        <v>1.2224461039876002</v>
      </c>
      <c r="S16" s="35">
        <v>0.33602348902059165</v>
      </c>
      <c r="T16" s="18">
        <f t="shared" si="0"/>
        <v>0.19144627578783785</v>
      </c>
      <c r="U16" s="19">
        <f t="shared" si="0"/>
        <v>0</v>
      </c>
      <c r="V16" s="19">
        <f t="shared" si="0"/>
        <v>0</v>
      </c>
      <c r="W16" s="125">
        <f t="shared" si="0"/>
        <v>0.19677418131461968</v>
      </c>
      <c r="X16" s="19">
        <f t="shared" si="0"/>
        <v>8.6118246706516608</v>
      </c>
      <c r="Y16" s="18">
        <f t="shared" si="1"/>
        <v>0</v>
      </c>
      <c r="Z16" s="19">
        <f t="shared" si="1"/>
        <v>0.13829230346311994</v>
      </c>
      <c r="AA16" s="125">
        <f t="shared" si="1"/>
        <v>0.62862345283091159</v>
      </c>
      <c r="AB16" s="19">
        <f t="shared" si="1"/>
        <v>4.8025450762393625E-2</v>
      </c>
      <c r="AC16" s="19">
        <f t="shared" si="1"/>
        <v>0.48703908088512815</v>
      </c>
      <c r="AD16" s="19">
        <f t="shared" si="1"/>
        <v>0.13387630809616693</v>
      </c>
      <c r="AE16" s="22">
        <f>(W16/62+X16/96*2+T16/35+U16/46)/(AA16/18+AD16/39+Z16/23+AB16/24*2+AC16/40*2)</f>
        <v>2.5859301006689073</v>
      </c>
      <c r="AF16" s="165" t="s">
        <v>6</v>
      </c>
    </row>
    <row r="17" spans="1:32">
      <c r="A17" s="641">
        <v>12</v>
      </c>
      <c r="B17" s="1"/>
      <c r="C17" s="614">
        <v>45424</v>
      </c>
      <c r="D17" s="131"/>
      <c r="E17" s="16">
        <v>1440</v>
      </c>
      <c r="F17" s="3">
        <v>1</v>
      </c>
      <c r="G17" s="17">
        <v>30</v>
      </c>
      <c r="H17" s="18">
        <v>0.1392143980354566</v>
      </c>
      <c r="I17" s="19">
        <v>0</v>
      </c>
      <c r="J17" s="19">
        <v>0</v>
      </c>
      <c r="K17" s="125">
        <v>0.18078623193957125</v>
      </c>
      <c r="L17" s="20">
        <v>2.5986558688696579</v>
      </c>
      <c r="M17" s="21">
        <f t="shared" si="2"/>
        <v>0</v>
      </c>
      <c r="N17" s="34">
        <v>0</v>
      </c>
      <c r="O17" s="35">
        <v>0.28980466434562224</v>
      </c>
      <c r="P17" s="142">
        <v>0.96652223549139604</v>
      </c>
      <c r="Q17" s="35">
        <v>6.1127163822555577E-2</v>
      </c>
      <c r="R17" s="35">
        <v>0.55202198111878253</v>
      </c>
      <c r="S17" s="35">
        <v>0.50906471131962616</v>
      </c>
      <c r="T17" s="18">
        <f>(H17/1000*$G17)*(1000/$E17)*($B$1/($B$2*$F17))</f>
        <v>0.16639470380901042</v>
      </c>
      <c r="U17" s="19">
        <f t="shared" si="0"/>
        <v>0</v>
      </c>
      <c r="V17" s="19">
        <f t="shared" si="0"/>
        <v>0</v>
      </c>
      <c r="W17" s="125">
        <f t="shared" si="0"/>
        <v>0.21608304845502008</v>
      </c>
      <c r="X17" s="19">
        <f t="shared" si="0"/>
        <v>3.1060190591204839</v>
      </c>
      <c r="Y17" s="18">
        <f t="shared" si="1"/>
        <v>0</v>
      </c>
      <c r="Z17" s="19">
        <f t="shared" si="1"/>
        <v>0.34638630749944282</v>
      </c>
      <c r="AA17" s="125">
        <f t="shared" si="1"/>
        <v>1.1552266386875663</v>
      </c>
      <c r="AB17" s="19">
        <f t="shared" si="1"/>
        <v>7.3061669356559472E-2</v>
      </c>
      <c r="AC17" s="19">
        <f t="shared" si="1"/>
        <v>0.65979909650529633</v>
      </c>
      <c r="AD17" s="19">
        <f t="shared" si="1"/>
        <v>0.60845482259726358</v>
      </c>
      <c r="AE17" s="22">
        <f t="shared" si="3"/>
        <v>0.54471640672468902</v>
      </c>
      <c r="AF17" s="165" t="s">
        <v>6</v>
      </c>
    </row>
    <row r="18" spans="1:32">
      <c r="A18" s="641">
        <v>14</v>
      </c>
      <c r="B18" s="1"/>
      <c r="C18" s="614">
        <v>45446</v>
      </c>
      <c r="D18" s="131"/>
      <c r="E18" s="16">
        <v>1440</v>
      </c>
      <c r="F18" s="3">
        <v>4</v>
      </c>
      <c r="G18" s="17">
        <v>30</v>
      </c>
      <c r="H18" s="18">
        <v>0.20424143204876896</v>
      </c>
      <c r="I18" s="19">
        <v>7.1354769813257141E-2</v>
      </c>
      <c r="J18" s="19">
        <v>0</v>
      </c>
      <c r="K18" s="125">
        <v>9.8336448741324065E-2</v>
      </c>
      <c r="L18" s="20">
        <v>5.5123900631312948</v>
      </c>
      <c r="M18" s="21">
        <f t="shared" si="2"/>
        <v>0.72561873777806685</v>
      </c>
      <c r="N18" s="34">
        <v>0</v>
      </c>
      <c r="O18" s="35">
        <v>0.2872292587873792</v>
      </c>
      <c r="P18" s="142">
        <v>1.3193138152724755</v>
      </c>
      <c r="Q18" s="35">
        <v>8.74750792633123E-2</v>
      </c>
      <c r="R18" s="35">
        <v>1.0343807242496827</v>
      </c>
      <c r="S18" s="35">
        <v>0.41404836066210443</v>
      </c>
      <c r="T18" s="18">
        <f t="shared" si="0"/>
        <v>6.1029414110290982E-2</v>
      </c>
      <c r="U18" s="19">
        <f t="shared" si="0"/>
        <v>2.1321529877629974E-2</v>
      </c>
      <c r="V18" s="19">
        <f t="shared" si="0"/>
        <v>0</v>
      </c>
      <c r="W18" s="125">
        <f t="shared" si="0"/>
        <v>2.938392955909477E-2</v>
      </c>
      <c r="X18" s="19">
        <f t="shared" si="0"/>
        <v>1.6471581330273999</v>
      </c>
      <c r="Y18" s="18">
        <f t="shared" si="1"/>
        <v>0</v>
      </c>
      <c r="Z18" s="19">
        <f t="shared" si="1"/>
        <v>8.5827019539018917E-2</v>
      </c>
      <c r="AA18" s="125">
        <f t="shared" si="1"/>
        <v>0.39422436655490123</v>
      </c>
      <c r="AB18" s="19">
        <f t="shared" si="1"/>
        <v>2.6138442054286365E-2</v>
      </c>
      <c r="AC18" s="19">
        <f t="shared" si="1"/>
        <v>0.30908346526312508</v>
      </c>
      <c r="AD18" s="19">
        <f t="shared" si="1"/>
        <v>0.12372185511557175</v>
      </c>
      <c r="AE18" s="22">
        <f t="shared" si="3"/>
        <v>0.7967005605251708</v>
      </c>
      <c r="AF18" s="165" t="s">
        <v>6</v>
      </c>
    </row>
    <row r="19" spans="1:32">
      <c r="A19" s="641">
        <v>15</v>
      </c>
      <c r="B19" s="1"/>
      <c r="C19" s="614">
        <v>45453</v>
      </c>
      <c r="D19" s="131"/>
      <c r="E19" s="16">
        <v>1440</v>
      </c>
      <c r="F19" s="3">
        <v>4</v>
      </c>
      <c r="G19" s="17">
        <v>30</v>
      </c>
      <c r="H19" s="18">
        <v>4.2408935226073287E-2</v>
      </c>
      <c r="I19" s="19">
        <v>8.2276418254061803E-2</v>
      </c>
      <c r="J19" s="19">
        <v>0</v>
      </c>
      <c r="K19" s="125">
        <v>0</v>
      </c>
      <c r="L19" s="20">
        <v>0.90984788981847453</v>
      </c>
      <c r="M19" s="21" t="e">
        <f t="shared" si="2"/>
        <v>#DIV/0!</v>
      </c>
      <c r="N19" s="34">
        <v>0</v>
      </c>
      <c r="O19" s="35">
        <v>0.244841</v>
      </c>
      <c r="P19" s="142">
        <v>1.657213</v>
      </c>
      <c r="Q19" s="35">
        <v>4.2813999999999998E-2</v>
      </c>
      <c r="R19" s="35">
        <v>1.244707</v>
      </c>
      <c r="S19" s="35">
        <v>0.23507500000000001</v>
      </c>
      <c r="T19" s="18">
        <f t="shared" si="0"/>
        <v>1.2672220537851117E-2</v>
      </c>
      <c r="U19" s="19">
        <f t="shared" si="0"/>
        <v>2.4585029348695792E-2</v>
      </c>
      <c r="V19" s="19">
        <f t="shared" si="0"/>
        <v>0</v>
      </c>
      <c r="W19" s="125">
        <f t="shared" si="0"/>
        <v>0</v>
      </c>
      <c r="X19" s="19">
        <f t="shared" si="0"/>
        <v>0.27187178961733477</v>
      </c>
      <c r="Y19" s="18">
        <f t="shared" si="1"/>
        <v>0</v>
      </c>
      <c r="Z19" s="19">
        <f t="shared" si="1"/>
        <v>7.3160977331033245E-2</v>
      </c>
      <c r="AA19" s="125">
        <f t="shared" si="1"/>
        <v>0.49519207455325537</v>
      </c>
      <c r="AB19" s="19">
        <f t="shared" si="1"/>
        <v>1.2793258006015568E-2</v>
      </c>
      <c r="AC19" s="19">
        <f t="shared" si="1"/>
        <v>0.37193109246726819</v>
      </c>
      <c r="AD19" s="19">
        <f t="shared" si="1"/>
        <v>7.0242797350495392E-2</v>
      </c>
      <c r="AE19" s="22">
        <f t="shared" si="3"/>
        <v>0.1257880067414123</v>
      </c>
      <c r="AF19" s="165" t="s">
        <v>6</v>
      </c>
    </row>
    <row r="20" spans="1:32">
      <c r="A20" s="641">
        <v>16</v>
      </c>
      <c r="B20" s="1"/>
      <c r="C20" s="614">
        <v>45467</v>
      </c>
      <c r="D20" s="131"/>
      <c r="E20" s="16">
        <v>1440</v>
      </c>
      <c r="F20" s="3">
        <v>4</v>
      </c>
      <c r="G20" s="17">
        <v>30</v>
      </c>
      <c r="H20" s="18">
        <v>0.3030825237490038</v>
      </c>
      <c r="I20" s="19">
        <v>8.3004528150115456E-2</v>
      </c>
      <c r="J20" s="19">
        <v>0</v>
      </c>
      <c r="K20" s="125">
        <v>0.34930554491550087</v>
      </c>
      <c r="L20" s="20">
        <v>12.587142198413046</v>
      </c>
      <c r="M20" s="21">
        <f t="shared" si="2"/>
        <v>0.23762728464615343</v>
      </c>
      <c r="N20" s="34">
        <v>0</v>
      </c>
      <c r="O20" s="35">
        <v>0.126804</v>
      </c>
      <c r="P20" s="142">
        <v>1.683182</v>
      </c>
      <c r="Q20" s="35">
        <v>4.8625000000000002E-2</v>
      </c>
      <c r="R20" s="35">
        <v>1.17899</v>
      </c>
      <c r="S20" s="35">
        <v>0.38411099999999998</v>
      </c>
      <c r="T20" s="18">
        <f t="shared" si="0"/>
        <v>9.0564136110509327E-2</v>
      </c>
      <c r="U20" s="19">
        <f t="shared" si="0"/>
        <v>2.4802595980100182E-2</v>
      </c>
      <c r="V20" s="19">
        <f t="shared" si="0"/>
        <v>0</v>
      </c>
      <c r="W20" s="125">
        <f t="shared" si="0"/>
        <v>0.10437604426206058</v>
      </c>
      <c r="X20" s="19">
        <f t="shared" si="0"/>
        <v>3.7611659200893186</v>
      </c>
      <c r="Y20" s="18">
        <f t="shared" si="1"/>
        <v>0</v>
      </c>
      <c r="Z20" s="19">
        <f t="shared" si="1"/>
        <v>3.7890322983014861E-2</v>
      </c>
      <c r="AA20" s="125">
        <f t="shared" si="1"/>
        <v>0.5029518754865534</v>
      </c>
      <c r="AB20" s="19">
        <f t="shared" si="1"/>
        <v>1.4529643820771406E-2</v>
      </c>
      <c r="AC20" s="19">
        <f t="shared" si="1"/>
        <v>0.35229418546532193</v>
      </c>
      <c r="AD20" s="19">
        <f t="shared" si="1"/>
        <v>0.11477626771496813</v>
      </c>
      <c r="AE20" s="22">
        <f t="shared" si="3"/>
        <v>1.6193850102401224</v>
      </c>
      <c r="AF20" s="165" t="s">
        <v>6</v>
      </c>
    </row>
    <row r="21" spans="1:32">
      <c r="A21" s="641">
        <v>18</v>
      </c>
      <c r="B21" s="1"/>
      <c r="C21" s="614">
        <v>45481</v>
      </c>
      <c r="D21" s="131"/>
      <c r="E21" s="16">
        <v>1440</v>
      </c>
      <c r="F21" s="3">
        <v>4</v>
      </c>
      <c r="G21" s="17">
        <v>30</v>
      </c>
      <c r="H21" s="18">
        <v>8.3573875018848429E-2</v>
      </c>
      <c r="I21" s="19">
        <v>0</v>
      </c>
      <c r="J21" s="19">
        <v>0</v>
      </c>
      <c r="K21" s="125">
        <v>6.0731303721635724E-2</v>
      </c>
      <c r="L21" s="20">
        <v>3.3862036192267722</v>
      </c>
      <c r="M21" s="21">
        <f t="shared" si="2"/>
        <v>0</v>
      </c>
      <c r="N21" s="34">
        <v>0</v>
      </c>
      <c r="O21" s="35">
        <v>0.44146743610882122</v>
      </c>
      <c r="P21" s="142">
        <v>8.0379468291143557</v>
      </c>
      <c r="Q21" s="35">
        <v>0.40951247573796123</v>
      </c>
      <c r="R21" s="35">
        <v>2.6246723967873749</v>
      </c>
      <c r="S21" s="35">
        <v>0.7981917182560333</v>
      </c>
      <c r="T21" s="18">
        <f t="shared" si="0"/>
        <v>2.4972722606591936E-2</v>
      </c>
      <c r="U21" s="19">
        <f t="shared" si="0"/>
        <v>0</v>
      </c>
      <c r="V21" s="19">
        <f t="shared" si="0"/>
        <v>0</v>
      </c>
      <c r="W21" s="125">
        <f t="shared" si="0"/>
        <v>1.814713032074974E-2</v>
      </c>
      <c r="X21" s="20">
        <f t="shared" si="0"/>
        <v>1.0118320306832298</v>
      </c>
      <c r="Y21" s="18">
        <f t="shared" si="1"/>
        <v>0</v>
      </c>
      <c r="Z21" s="19">
        <f t="shared" si="1"/>
        <v>0.13191495331887568</v>
      </c>
      <c r="AA21" s="125">
        <f t="shared" si="1"/>
        <v>2.4018201434926585</v>
      </c>
      <c r="AB21" s="19">
        <f t="shared" si="1"/>
        <v>0.1223664866351644</v>
      </c>
      <c r="AC21" s="19">
        <f t="shared" si="1"/>
        <v>0.7842787675379117</v>
      </c>
      <c r="AD21" s="19">
        <f t="shared" si="1"/>
        <v>0.23850779160821975</v>
      </c>
      <c r="AE21" s="22">
        <f t="shared" si="3"/>
        <v>0.1134382123914402</v>
      </c>
      <c r="AF21" s="165" t="s">
        <v>6</v>
      </c>
    </row>
    <row r="22" spans="1:32">
      <c r="A22" s="641">
        <v>19</v>
      </c>
      <c r="B22" s="2"/>
      <c r="C22" s="614">
        <v>45487</v>
      </c>
      <c r="D22" s="138"/>
      <c r="E22" s="24">
        <v>1440</v>
      </c>
      <c r="F22" s="25">
        <v>4</v>
      </c>
      <c r="G22" s="17">
        <v>30</v>
      </c>
      <c r="H22" s="26">
        <v>0.18829567240376541</v>
      </c>
      <c r="I22" s="27">
        <v>0</v>
      </c>
      <c r="J22" s="27">
        <v>0</v>
      </c>
      <c r="K22" s="28">
        <v>7.1389446427750608E-2</v>
      </c>
      <c r="L22" s="29">
        <v>1.6144802913882257</v>
      </c>
      <c r="M22" s="30">
        <f t="shared" si="2"/>
        <v>0</v>
      </c>
      <c r="N22" s="143">
        <v>0</v>
      </c>
      <c r="O22" s="144">
        <v>7.4899999999999994E-2</v>
      </c>
      <c r="P22" s="145">
        <v>1.7549920000000001</v>
      </c>
      <c r="Q22" s="144">
        <v>2.3921999999999999E-2</v>
      </c>
      <c r="R22" s="144">
        <v>0.68255900000000003</v>
      </c>
      <c r="S22" s="144">
        <v>0.163852</v>
      </c>
      <c r="T22" s="26">
        <f t="shared" ref="T22:X33" si="4">(H22/1000*$G22)*(1000/$E22)*($B$1/($B$2*$F22))</f>
        <v>5.6264659188058959E-2</v>
      </c>
      <c r="U22" s="27">
        <f t="shared" si="4"/>
        <v>0</v>
      </c>
      <c r="V22" s="27">
        <f t="shared" si="4"/>
        <v>0</v>
      </c>
      <c r="W22" s="28">
        <f t="shared" si="4"/>
        <v>2.1331891602205822E-2</v>
      </c>
      <c r="X22" s="29">
        <f t="shared" si="4"/>
        <v>0.48242310723961235</v>
      </c>
      <c r="Y22" s="26">
        <f t="shared" ref="Y22:AD37" si="5">(N22/1000*$G22)*(1000/$E22)*($B$1/($B$2*$F22))</f>
        <v>0</v>
      </c>
      <c r="Z22" s="27">
        <f t="shared" si="5"/>
        <v>2.2380880661712663E-2</v>
      </c>
      <c r="AA22" s="28">
        <f>(P22/1000*$G22)*(1000/$E22)*($B$1/($B$2*$F22))</f>
        <v>0.52440943276716201</v>
      </c>
      <c r="AB22" s="27">
        <f t="shared" ref="AB22:AD34" si="6">(Q22/1000*$G22)*(1000/$E22)*($B$1/($B$2*$F22))</f>
        <v>7.1481365445859851E-3</v>
      </c>
      <c r="AC22" s="27">
        <f t="shared" si="6"/>
        <v>0.20395556106245577</v>
      </c>
      <c r="AD22" s="27">
        <f t="shared" si="6"/>
        <v>4.8960641631280964E-2</v>
      </c>
      <c r="AE22" s="22">
        <f t="shared" si="3"/>
        <v>0.28470831796129881</v>
      </c>
      <c r="AF22" s="166" t="s">
        <v>6</v>
      </c>
    </row>
    <row r="23" spans="1:32">
      <c r="A23" s="641">
        <v>20</v>
      </c>
      <c r="B23" s="77"/>
      <c r="C23" s="614">
        <v>45496</v>
      </c>
      <c r="D23" s="131"/>
      <c r="E23" s="16">
        <v>1440</v>
      </c>
      <c r="F23" s="3">
        <v>4</v>
      </c>
      <c r="G23" s="17">
        <v>30</v>
      </c>
      <c r="H23" s="13">
        <v>0.15459470521077917</v>
      </c>
      <c r="I23" s="19">
        <v>0</v>
      </c>
      <c r="J23" s="19">
        <v>0</v>
      </c>
      <c r="K23" s="125">
        <v>0.1518282593040893</v>
      </c>
      <c r="L23" s="19">
        <v>2.3916636231469193</v>
      </c>
      <c r="M23" s="160">
        <f t="shared" si="2"/>
        <v>0</v>
      </c>
      <c r="N23" s="13">
        <v>0</v>
      </c>
      <c r="O23" s="14">
        <v>0.32111084279159618</v>
      </c>
      <c r="P23" s="159">
        <v>5.1879786258718639</v>
      </c>
      <c r="Q23" s="14">
        <v>0.16045865924968472</v>
      </c>
      <c r="R23" s="14">
        <v>1.7467086417323969</v>
      </c>
      <c r="S23" s="15">
        <v>0.66196698762035766</v>
      </c>
      <c r="T23" s="18">
        <f>(H23/1000*$G23)*(1000/$E23)*($B$1/($B$2*$F23))</f>
        <v>4.6194467933979952E-2</v>
      </c>
      <c r="U23" s="19">
        <f t="shared" si="4"/>
        <v>0</v>
      </c>
      <c r="V23" s="19">
        <f t="shared" si="4"/>
        <v>0</v>
      </c>
      <c r="W23" s="125">
        <f t="shared" si="4"/>
        <v>4.5367825801874345E-2</v>
      </c>
      <c r="X23" s="19">
        <f t="shared" si="4"/>
        <v>0.71465337960761721</v>
      </c>
      <c r="Y23" s="18">
        <f t="shared" si="5"/>
        <v>0</v>
      </c>
      <c r="Z23" s="19">
        <f t="shared" si="5"/>
        <v>9.5951180930583316E-2</v>
      </c>
      <c r="AA23" s="125">
        <f t="shared" si="5"/>
        <v>1.55022070094999</v>
      </c>
      <c r="AB23" s="19">
        <f t="shared" si="6"/>
        <v>4.7946676953345937E-2</v>
      </c>
      <c r="AC23" s="19">
        <f t="shared" si="6"/>
        <v>0.5219342811935247</v>
      </c>
      <c r="AD23" s="19">
        <f t="shared" si="6"/>
        <v>0.19780245863717824</v>
      </c>
      <c r="AE23" s="22">
        <f t="shared" si="3"/>
        <v>0.13502541731675474</v>
      </c>
      <c r="AF23" s="165" t="s">
        <v>6</v>
      </c>
    </row>
    <row r="24" spans="1:32">
      <c r="A24" s="641">
        <v>21</v>
      </c>
      <c r="B24" s="1"/>
      <c r="C24" s="614">
        <v>45502</v>
      </c>
      <c r="D24" s="131"/>
      <c r="E24" s="16">
        <v>1440</v>
      </c>
      <c r="F24" s="3">
        <v>4</v>
      </c>
      <c r="G24" s="17">
        <v>30</v>
      </c>
      <c r="H24" s="18">
        <v>0.18728043684593293</v>
      </c>
      <c r="I24" s="19">
        <v>0</v>
      </c>
      <c r="J24" s="19">
        <v>0</v>
      </c>
      <c r="K24" s="125">
        <v>0.10023349411656272</v>
      </c>
      <c r="L24" s="19">
        <v>5.6771155586589073</v>
      </c>
      <c r="M24" s="161">
        <f t="shared" si="2"/>
        <v>0</v>
      </c>
      <c r="N24" s="18">
        <v>0</v>
      </c>
      <c r="O24" s="19">
        <v>0.54929185220025567</v>
      </c>
      <c r="P24" s="125">
        <v>6.1694911698058901</v>
      </c>
      <c r="Q24" s="19">
        <v>0.33066572686666457</v>
      </c>
      <c r="R24" s="19">
        <v>1.458926420942491</v>
      </c>
      <c r="S24" s="20">
        <v>0.79860324495318757</v>
      </c>
      <c r="T24" s="18">
        <f t="shared" ref="T24:X39" si="7">(H24/1000*$G24)*(1000/$E24)*($B$1/($B$2*$F24))</f>
        <v>5.596129649295381E-2</v>
      </c>
      <c r="U24" s="19">
        <f t="shared" si="4"/>
        <v>0</v>
      </c>
      <c r="V24" s="19">
        <f t="shared" si="4"/>
        <v>0</v>
      </c>
      <c r="W24" s="125">
        <f t="shared" si="4"/>
        <v>2.9950785983034304E-2</v>
      </c>
      <c r="X24" s="19">
        <f t="shared" si="4"/>
        <v>1.6963797839932875</v>
      </c>
      <c r="Y24" s="18">
        <f t="shared" si="5"/>
        <v>0</v>
      </c>
      <c r="Z24" s="19">
        <f t="shared" si="5"/>
        <v>0.16413398387910594</v>
      </c>
      <c r="AA24" s="125">
        <f>(P24/1000*$G24)*(1000/$E24)*($B$1/($B$2*$F24))</f>
        <v>1.8435066170215715</v>
      </c>
      <c r="AB24" s="19">
        <f t="shared" si="6"/>
        <v>9.8806277328722228E-2</v>
      </c>
      <c r="AC24" s="19">
        <f t="shared" si="6"/>
        <v>0.43594203099243617</v>
      </c>
      <c r="AD24" s="19">
        <f t="shared" si="6"/>
        <v>0.23863075996466993</v>
      </c>
      <c r="AE24" s="22">
        <f t="shared" si="3"/>
        <v>0.25684590899897142</v>
      </c>
      <c r="AF24" s="165" t="s">
        <v>6</v>
      </c>
    </row>
    <row r="25" spans="1:32">
      <c r="A25" s="641">
        <v>22</v>
      </c>
      <c r="B25" s="1"/>
      <c r="C25" s="614">
        <v>45524</v>
      </c>
      <c r="D25" s="131"/>
      <c r="E25" s="16">
        <v>1440</v>
      </c>
      <c r="F25" s="3">
        <v>4</v>
      </c>
      <c r="G25" s="17">
        <v>30</v>
      </c>
      <c r="H25" s="18">
        <v>0.1432753583886992</v>
      </c>
      <c r="I25" s="19">
        <v>0</v>
      </c>
      <c r="J25" s="19">
        <v>0</v>
      </c>
      <c r="K25" s="125">
        <v>0.13364465882208362</v>
      </c>
      <c r="L25" s="19">
        <v>10.865564623491556</v>
      </c>
      <c r="M25" s="161">
        <f t="shared" si="2"/>
        <v>0</v>
      </c>
      <c r="N25" s="18">
        <v>0</v>
      </c>
      <c r="O25" s="19">
        <v>0.94433228688722526</v>
      </c>
      <c r="P25" s="125">
        <v>4.7097235205292307</v>
      </c>
      <c r="Q25" s="19">
        <v>0.30927881883916641</v>
      </c>
      <c r="R25" s="19">
        <v>1.4223042690725167</v>
      </c>
      <c r="S25" s="20">
        <v>0.64045863263538638</v>
      </c>
      <c r="T25" s="18">
        <f t="shared" si="7"/>
        <v>4.2812132147684763E-2</v>
      </c>
      <c r="U25" s="19">
        <f t="shared" si="4"/>
        <v>0</v>
      </c>
      <c r="V25" s="19">
        <f t="shared" si="4"/>
        <v>0</v>
      </c>
      <c r="W25" s="125">
        <f t="shared" si="4"/>
        <v>3.9934381310712391E-2</v>
      </c>
      <c r="X25" s="19">
        <f t="shared" si="4"/>
        <v>3.2467410568823953</v>
      </c>
      <c r="Y25" s="18">
        <f t="shared" si="5"/>
        <v>0</v>
      </c>
      <c r="Z25" s="19">
        <f t="shared" si="5"/>
        <v>0.2821760776745687</v>
      </c>
      <c r="AA25" s="125">
        <f t="shared" si="5"/>
        <v>1.4073132184596255</v>
      </c>
      <c r="AB25" s="19">
        <f t="shared" si="6"/>
        <v>9.2415652011145988E-2</v>
      </c>
      <c r="AC25" s="19">
        <f t="shared" si="6"/>
        <v>0.42499896009020638</v>
      </c>
      <c r="AD25" s="19">
        <f t="shared" si="6"/>
        <v>0.19137554373533047</v>
      </c>
      <c r="AE25" s="22">
        <f t="shared" si="3"/>
        <v>0.5591443677589224</v>
      </c>
      <c r="AF25" s="165" t="s">
        <v>6</v>
      </c>
    </row>
    <row r="26" spans="1:32">
      <c r="A26" s="641">
        <v>23</v>
      </c>
      <c r="B26" s="1"/>
      <c r="C26" s="614">
        <v>45531</v>
      </c>
      <c r="D26" s="131"/>
      <c r="E26" s="16">
        <v>1440</v>
      </c>
      <c r="F26" s="3">
        <v>4</v>
      </c>
      <c r="G26" s="17">
        <v>30</v>
      </c>
      <c r="H26" s="18">
        <v>5.5653481578266176E-2</v>
      </c>
      <c r="I26" s="19">
        <v>0</v>
      </c>
      <c r="J26" s="19">
        <v>0</v>
      </c>
      <c r="K26" s="125">
        <v>0</v>
      </c>
      <c r="L26" s="19">
        <v>5.149703122738428</v>
      </c>
      <c r="M26" s="161" t="e">
        <f t="shared" si="2"/>
        <v>#DIV/0!</v>
      </c>
      <c r="N26" s="18">
        <v>0</v>
      </c>
      <c r="O26" s="19">
        <v>0.36532814303440642</v>
      </c>
      <c r="P26" s="125">
        <v>5.3062093109691002</v>
      </c>
      <c r="Q26" s="19">
        <v>0.21983004403332593</v>
      </c>
      <c r="R26" s="19">
        <v>1.2438256371784493</v>
      </c>
      <c r="S26" s="20">
        <v>0.76778792884004665</v>
      </c>
      <c r="T26" s="18">
        <f t="shared" si="7"/>
        <v>1.6629825495487308E-2</v>
      </c>
      <c r="U26" s="19">
        <f t="shared" si="4"/>
        <v>0</v>
      </c>
      <c r="V26" s="19">
        <f t="shared" si="4"/>
        <v>0</v>
      </c>
      <c r="W26" s="125">
        <f t="shared" si="4"/>
        <v>0</v>
      </c>
      <c r="X26" s="19">
        <f t="shared" si="4"/>
        <v>1.5387835918993034</v>
      </c>
      <c r="Y26" s="18">
        <f t="shared" si="5"/>
        <v>0</v>
      </c>
      <c r="Z26" s="19">
        <f t="shared" si="5"/>
        <v>0.1091637593006428</v>
      </c>
      <c r="AA26" s="125">
        <f t="shared" si="5"/>
        <v>1.5855492303720697</v>
      </c>
      <c r="AB26" s="19">
        <f t="shared" si="6"/>
        <v>6.5687449684498106E-2</v>
      </c>
      <c r="AC26" s="19">
        <f t="shared" si="6"/>
        <v>0.37166773230533501</v>
      </c>
      <c r="AD26" s="19">
        <f t="shared" si="6"/>
        <v>0.229422830559047</v>
      </c>
      <c r="AE26" s="22">
        <f t="shared" si="3"/>
        <v>0.26498754505269878</v>
      </c>
      <c r="AF26" s="165" t="s">
        <v>6</v>
      </c>
    </row>
    <row r="27" spans="1:32">
      <c r="A27" s="641">
        <v>25</v>
      </c>
      <c r="B27" s="1"/>
      <c r="C27" s="614">
        <v>45544</v>
      </c>
      <c r="D27" s="131"/>
      <c r="E27" s="16">
        <v>1440</v>
      </c>
      <c r="F27" s="3">
        <v>4</v>
      </c>
      <c r="G27" s="17">
        <v>30</v>
      </c>
      <c r="H27" s="18">
        <v>0.22727328756147769</v>
      </c>
      <c r="I27" s="19">
        <v>0</v>
      </c>
      <c r="J27" s="19">
        <v>0</v>
      </c>
      <c r="K27" s="125">
        <v>8.2030169897692712E-2</v>
      </c>
      <c r="L27" s="19">
        <v>7.5016820128803214</v>
      </c>
      <c r="M27" s="161">
        <f t="shared" si="2"/>
        <v>0</v>
      </c>
      <c r="N27" s="18">
        <v>0</v>
      </c>
      <c r="O27" s="19">
        <v>1.3637575464863561</v>
      </c>
      <c r="P27" s="125">
        <v>8.6015136262313945</v>
      </c>
      <c r="Q27" s="19">
        <v>0.23016246049330519</v>
      </c>
      <c r="R27" s="19">
        <v>1.8455466114200725</v>
      </c>
      <c r="S27" s="20">
        <v>1.9850094248306078</v>
      </c>
      <c r="T27" s="18">
        <f t="shared" si="7"/>
        <v>6.7911566442036553E-2</v>
      </c>
      <c r="U27" s="19">
        <f t="shared" si="4"/>
        <v>0</v>
      </c>
      <c r="V27" s="19">
        <f t="shared" si="4"/>
        <v>0</v>
      </c>
      <c r="W27" s="125">
        <f t="shared" si="4"/>
        <v>2.4511447838988988E-2</v>
      </c>
      <c r="X27" s="19">
        <f t="shared" si="4"/>
        <v>2.241578770258891</v>
      </c>
      <c r="Y27" s="18">
        <f t="shared" si="5"/>
        <v>0</v>
      </c>
      <c r="Z27" s="19">
        <f t="shared" si="5"/>
        <v>0.40750460479868089</v>
      </c>
      <c r="AA27" s="125">
        <f t="shared" si="5"/>
        <v>2.5702196258849157</v>
      </c>
      <c r="AB27" s="19">
        <f t="shared" si="6"/>
        <v>6.8774880655631768E-2</v>
      </c>
      <c r="AC27" s="19">
        <f t="shared" si="6"/>
        <v>0.55146807030468414</v>
      </c>
      <c r="AD27" s="19">
        <f t="shared" si="6"/>
        <v>0.59314097529384158</v>
      </c>
      <c r="AE27" s="22">
        <f t="shared" si="3"/>
        <v>0.23459482130578566</v>
      </c>
      <c r="AF27" s="165" t="s">
        <v>6</v>
      </c>
    </row>
    <row r="28" spans="1:32">
      <c r="A28" s="641">
        <v>26</v>
      </c>
      <c r="B28" s="1"/>
      <c r="C28" s="614">
        <v>45552</v>
      </c>
      <c r="D28" s="131"/>
      <c r="E28" s="16">
        <v>1440</v>
      </c>
      <c r="F28" s="3">
        <v>4</v>
      </c>
      <c r="G28" s="17">
        <v>30</v>
      </c>
      <c r="H28" s="18">
        <v>0.13693345002280374</v>
      </c>
      <c r="I28" s="19">
        <v>0</v>
      </c>
      <c r="J28" s="19">
        <v>0</v>
      </c>
      <c r="K28" s="125">
        <v>0.17650311837537253</v>
      </c>
      <c r="L28" s="19">
        <v>25.163485289743615</v>
      </c>
      <c r="M28" s="161">
        <f t="shared" si="2"/>
        <v>0</v>
      </c>
      <c r="N28" s="18">
        <v>0</v>
      </c>
      <c r="O28" s="19">
        <v>0.41205011650323214</v>
      </c>
      <c r="P28" s="125">
        <v>5.6047229249343573</v>
      </c>
      <c r="Q28" s="19">
        <v>0.29336411442329013</v>
      </c>
      <c r="R28" s="19">
        <v>2.6118196355595913</v>
      </c>
      <c r="S28" s="20">
        <v>0.90575404589396868</v>
      </c>
      <c r="T28" s="18">
        <f t="shared" si="7"/>
        <v>4.0917105521454819E-2</v>
      </c>
      <c r="U28" s="19">
        <f t="shared" si="4"/>
        <v>0</v>
      </c>
      <c r="V28" s="19">
        <f t="shared" si="4"/>
        <v>0</v>
      </c>
      <c r="W28" s="125">
        <f t="shared" si="4"/>
        <v>5.2740924282768442E-2</v>
      </c>
      <c r="X28" s="19">
        <f t="shared" si="4"/>
        <v>7.519104957309934</v>
      </c>
      <c r="Y28" s="18">
        <f t="shared" si="5"/>
        <v>0</v>
      </c>
      <c r="Z28" s="19">
        <f t="shared" si="5"/>
        <v>0.12312475946733831</v>
      </c>
      <c r="AA28" s="125">
        <f t="shared" si="5"/>
        <v>1.6747481298387314</v>
      </c>
      <c r="AB28" s="19">
        <f t="shared" si="6"/>
        <v>8.7660176706764681E-2</v>
      </c>
      <c r="AC28" s="19">
        <f t="shared" si="6"/>
        <v>0.78043823195430007</v>
      </c>
      <c r="AD28" s="19">
        <f t="shared" si="6"/>
        <v>0.27064850747685354</v>
      </c>
      <c r="AE28" s="22">
        <f t="shared" si="3"/>
        <v>1.0461969444857735</v>
      </c>
      <c r="AF28" s="165" t="s">
        <v>6</v>
      </c>
    </row>
    <row r="29" spans="1:32">
      <c r="A29" s="641">
        <v>27</v>
      </c>
      <c r="B29" s="1"/>
      <c r="C29" s="614">
        <v>45559</v>
      </c>
      <c r="D29" s="131"/>
      <c r="E29" s="16">
        <v>1440</v>
      </c>
      <c r="F29" s="3">
        <v>4</v>
      </c>
      <c r="G29" s="17">
        <v>30</v>
      </c>
      <c r="H29" s="18">
        <v>0.12463791339504726</v>
      </c>
      <c r="I29" s="19">
        <v>0</v>
      </c>
      <c r="J29" s="19">
        <v>0</v>
      </c>
      <c r="K29" s="125">
        <v>0</v>
      </c>
      <c r="L29" s="19">
        <v>3.5746471749341113</v>
      </c>
      <c r="M29" s="161" t="e">
        <f t="shared" si="2"/>
        <v>#DIV/0!</v>
      </c>
      <c r="N29" s="18">
        <v>0</v>
      </c>
      <c r="O29" s="19">
        <v>0.49360057957015213</v>
      </c>
      <c r="P29" s="125">
        <v>5.4276960343711806</v>
      </c>
      <c r="Q29" s="19">
        <v>0.25642858267726071</v>
      </c>
      <c r="R29" s="19">
        <v>2.0648057592259299</v>
      </c>
      <c r="S29" s="20">
        <v>1.6082231647052829</v>
      </c>
      <c r="T29" s="18">
        <f t="shared" si="7"/>
        <v>3.7243074307335533E-2</v>
      </c>
      <c r="U29" s="19">
        <f t="shared" si="4"/>
        <v>0</v>
      </c>
      <c r="V29" s="19">
        <f t="shared" si="4"/>
        <v>0</v>
      </c>
      <c r="W29" s="125">
        <f t="shared" si="4"/>
        <v>0</v>
      </c>
      <c r="X29" s="19">
        <f t="shared" si="4"/>
        <v>1.0681408789042546</v>
      </c>
      <c r="Y29" s="18">
        <f t="shared" si="5"/>
        <v>0</v>
      </c>
      <c r="Z29" s="19">
        <f t="shared" si="5"/>
        <v>0.14749286603353515</v>
      </c>
      <c r="AA29" s="125">
        <f t="shared" si="5"/>
        <v>1.6218506971069757</v>
      </c>
      <c r="AB29" s="19">
        <f t="shared" si="6"/>
        <v>7.6623464714978537E-2</v>
      </c>
      <c r="AC29" s="19">
        <f t="shared" si="6"/>
        <v>0.6169849303985655</v>
      </c>
      <c r="AD29" s="19">
        <f t="shared" si="6"/>
        <v>0.48055341424126574</v>
      </c>
      <c r="AE29" s="22">
        <f t="shared" si="3"/>
        <v>0.15962695113705472</v>
      </c>
      <c r="AF29" s="165" t="s">
        <v>6</v>
      </c>
    </row>
    <row r="30" spans="1:32">
      <c r="A30" s="641">
        <v>28</v>
      </c>
      <c r="B30" s="163"/>
      <c r="C30" s="614">
        <v>45565</v>
      </c>
      <c r="D30" s="131"/>
      <c r="E30" s="16">
        <v>1440</v>
      </c>
      <c r="F30" s="33">
        <v>3</v>
      </c>
      <c r="G30" s="17">
        <v>30</v>
      </c>
      <c r="H30" s="19">
        <v>0.25134665401161144</v>
      </c>
      <c r="I30" s="19">
        <v>0</v>
      </c>
      <c r="J30" s="19">
        <v>0</v>
      </c>
      <c r="K30" s="125">
        <v>1.1424314111032599</v>
      </c>
      <c r="L30" s="20">
        <v>26.966507664093676</v>
      </c>
      <c r="M30" s="161">
        <f t="shared" si="2"/>
        <v>0</v>
      </c>
      <c r="N30" s="19">
        <v>0</v>
      </c>
      <c r="O30" s="19">
        <v>0.75041104899704036</v>
      </c>
      <c r="P30" s="125">
        <v>6.2242893810374431</v>
      </c>
      <c r="Q30" s="19">
        <v>0.38199880330811542</v>
      </c>
      <c r="R30" s="19">
        <v>2.608183768601454</v>
      </c>
      <c r="S30" s="20">
        <v>2.174244650088033</v>
      </c>
      <c r="T30" s="19">
        <f t="shared" si="7"/>
        <v>0.10013991042553907</v>
      </c>
      <c r="U30" s="19">
        <f t="shared" si="7"/>
        <v>0</v>
      </c>
      <c r="V30" s="19">
        <f t="shared" si="7"/>
        <v>0</v>
      </c>
      <c r="W30" s="125">
        <f t="shared" si="7"/>
        <v>0.4551601437666945</v>
      </c>
      <c r="X30" s="20">
        <f t="shared" si="7"/>
        <v>10.743821804953102</v>
      </c>
      <c r="Y30" s="19">
        <f t="shared" si="5"/>
        <v>0</v>
      </c>
      <c r="Z30" s="19">
        <f t="shared" si="5"/>
        <v>0.29897392318350463</v>
      </c>
      <c r="AA30" s="125">
        <f t="shared" si="5"/>
        <v>2.4798411720687921</v>
      </c>
      <c r="AB30" s="19">
        <f t="shared" si="6"/>
        <v>0.15219349585680431</v>
      </c>
      <c r="AC30" s="19">
        <f t="shared" si="6"/>
        <v>1.03913573064326</v>
      </c>
      <c r="AD30" s="19">
        <f t="shared" si="6"/>
        <v>0.86624850988851765</v>
      </c>
      <c r="AE30" s="22">
        <f t="shared" si="3"/>
        <v>0.98490505390932204</v>
      </c>
      <c r="AF30" s="165" t="s">
        <v>6</v>
      </c>
    </row>
    <row r="31" spans="1:32">
      <c r="A31" s="641">
        <v>29</v>
      </c>
      <c r="B31" s="163"/>
      <c r="C31" s="614">
        <v>45571</v>
      </c>
      <c r="D31" s="131"/>
      <c r="E31" s="16">
        <v>1440</v>
      </c>
      <c r="F31" s="33">
        <v>3</v>
      </c>
      <c r="G31" s="17">
        <v>30</v>
      </c>
      <c r="H31" s="19">
        <v>7.5326340182676532E-2</v>
      </c>
      <c r="I31" s="19">
        <v>0</v>
      </c>
      <c r="J31" s="19">
        <v>0</v>
      </c>
      <c r="K31" s="125">
        <v>0.19539770807090848</v>
      </c>
      <c r="L31" s="20">
        <v>3.9185174110203258</v>
      </c>
      <c r="M31" s="161">
        <f t="shared" si="2"/>
        <v>0</v>
      </c>
      <c r="N31" s="19">
        <v>0</v>
      </c>
      <c r="O31" s="19">
        <v>0.73695242695001195</v>
      </c>
      <c r="P31" s="125">
        <v>8.17382882720932</v>
      </c>
      <c r="Q31" s="19">
        <v>0.4308788808627087</v>
      </c>
      <c r="R31" s="19">
        <v>3.4014698989010475</v>
      </c>
      <c r="S31" s="20">
        <v>2.4761354373630851</v>
      </c>
      <c r="T31" s="19">
        <f t="shared" si="7"/>
        <v>3.0011033917437563E-2</v>
      </c>
      <c r="U31" s="19">
        <f t="shared" si="4"/>
        <v>0</v>
      </c>
      <c r="V31" s="19">
        <f t="shared" si="4"/>
        <v>0</v>
      </c>
      <c r="W31" s="125">
        <f t="shared" si="4"/>
        <v>7.7849092762032446E-2</v>
      </c>
      <c r="X31" s="20">
        <f t="shared" si="4"/>
        <v>1.5611903969183658</v>
      </c>
      <c r="Y31" s="19">
        <f t="shared" si="5"/>
        <v>0</v>
      </c>
      <c r="Z31" s="19">
        <f t="shared" si="5"/>
        <v>0.29361182591771673</v>
      </c>
      <c r="AA31" s="125">
        <f t="shared" si="5"/>
        <v>3.2565640859997962</v>
      </c>
      <c r="AB31" s="19">
        <f t="shared" si="6"/>
        <v>0.17166798063623664</v>
      </c>
      <c r="AC31" s="19">
        <f t="shared" si="6"/>
        <v>1.3551916667861539</v>
      </c>
      <c r="AD31" s="19">
        <f t="shared" si="6"/>
        <v>0.98652588742075475</v>
      </c>
      <c r="AE31" s="22">
        <f t="shared" si="3"/>
        <v>0.11505817430602777</v>
      </c>
      <c r="AF31" s="165" t="s">
        <v>6</v>
      </c>
    </row>
    <row r="32" spans="1:32">
      <c r="A32" s="641">
        <v>30</v>
      </c>
      <c r="B32" s="163"/>
      <c r="C32" s="614">
        <v>45580</v>
      </c>
      <c r="D32" s="131"/>
      <c r="E32" s="16">
        <v>1440</v>
      </c>
      <c r="F32" s="33">
        <v>1</v>
      </c>
      <c r="G32" s="17">
        <v>30</v>
      </c>
      <c r="H32" s="19">
        <v>0.28564472986798473</v>
      </c>
      <c r="I32" s="19">
        <v>6.2408693389901744E-2</v>
      </c>
      <c r="J32" s="19">
        <v>0</v>
      </c>
      <c r="K32" s="125">
        <v>1.993379212879044</v>
      </c>
      <c r="L32" s="20">
        <v>13.47607247208972</v>
      </c>
      <c r="M32" s="161">
        <f t="shared" si="2"/>
        <v>3.1307988458334865E-2</v>
      </c>
      <c r="N32" s="19">
        <v>0</v>
      </c>
      <c r="O32" s="19">
        <v>0.4061821769154883</v>
      </c>
      <c r="P32" s="125">
        <v>5.7641863651341456</v>
      </c>
      <c r="Q32" s="19">
        <v>0.31695941903067959</v>
      </c>
      <c r="R32" s="19">
        <v>2.2356958578768173</v>
      </c>
      <c r="S32" s="20">
        <v>1.2940855499910531</v>
      </c>
      <c r="T32" s="19">
        <f t="shared" si="7"/>
        <v>0.34141418482363245</v>
      </c>
      <c r="U32" s="19">
        <f t="shared" si="7"/>
        <v>7.4593405554756048E-2</v>
      </c>
      <c r="V32" s="19">
        <f t="shared" si="7"/>
        <v>0</v>
      </c>
      <c r="W32" s="125">
        <f t="shared" si="7"/>
        <v>2.3825678118549858</v>
      </c>
      <c r="X32" s="20">
        <f t="shared" si="7"/>
        <v>16.107149254282042</v>
      </c>
      <c r="Y32" s="19">
        <f t="shared" si="5"/>
        <v>0</v>
      </c>
      <c r="Z32" s="19">
        <f t="shared" si="5"/>
        <v>0.48548543810201361</v>
      </c>
      <c r="AA32" s="125">
        <f t="shared" si="5"/>
        <v>6.8895897009313005</v>
      </c>
      <c r="AB32" s="19">
        <f t="shared" si="6"/>
        <v>0.3788427734008768</v>
      </c>
      <c r="AC32" s="19">
        <f t="shared" si="6"/>
        <v>2.6721945095341182</v>
      </c>
      <c r="AD32" s="19">
        <f t="shared" si="6"/>
        <v>1.5467436187127668</v>
      </c>
      <c r="AE32" s="22">
        <f t="shared" si="3"/>
        <v>0.63310078806407788</v>
      </c>
      <c r="AF32" s="165" t="s">
        <v>6</v>
      </c>
    </row>
    <row r="33" spans="1:32">
      <c r="A33" s="641">
        <v>31</v>
      </c>
      <c r="B33" s="163"/>
      <c r="C33" s="614">
        <v>45586</v>
      </c>
      <c r="D33" s="131"/>
      <c r="E33" s="16">
        <v>1440</v>
      </c>
      <c r="F33" s="33">
        <v>1</v>
      </c>
      <c r="G33" s="17">
        <v>30</v>
      </c>
      <c r="H33" s="19">
        <v>0.20397648131941279</v>
      </c>
      <c r="I33" s="19">
        <v>0</v>
      </c>
      <c r="J33" s="19">
        <v>0</v>
      </c>
      <c r="K33" s="125">
        <v>1.4346062859074011</v>
      </c>
      <c r="L33" s="20">
        <v>12.689296035857494</v>
      </c>
      <c r="M33" s="161">
        <f t="shared" si="2"/>
        <v>0</v>
      </c>
      <c r="N33" s="19">
        <v>0</v>
      </c>
      <c r="O33" s="19">
        <v>0.64255976817193916</v>
      </c>
      <c r="P33" s="125">
        <v>4.3782245451930688</v>
      </c>
      <c r="Q33" s="19">
        <v>0.32168049880495653</v>
      </c>
      <c r="R33" s="19">
        <v>2.1417323973819591</v>
      </c>
      <c r="S33" s="20">
        <v>1.2691043863671099</v>
      </c>
      <c r="T33" s="19">
        <f t="shared" si="7"/>
        <v>0.24380097656640001</v>
      </c>
      <c r="U33" s="19">
        <f t="shared" si="4"/>
        <v>0</v>
      </c>
      <c r="V33" s="19">
        <f t="shared" si="4"/>
        <v>0</v>
      </c>
      <c r="W33" s="125">
        <f t="shared" si="4"/>
        <v>1.7146997106241062</v>
      </c>
      <c r="X33" s="20">
        <f t="shared" si="4"/>
        <v>15.1667620966446</v>
      </c>
      <c r="Y33" s="19">
        <f t="shared" si="5"/>
        <v>0</v>
      </c>
      <c r="Z33" s="19">
        <f t="shared" si="5"/>
        <v>0.76801353748859424</v>
      </c>
      <c r="AA33" s="125">
        <f t="shared" si="5"/>
        <v>5.2330318321039933</v>
      </c>
      <c r="AB33" s="19">
        <f t="shared" si="6"/>
        <v>0.38448559973051721</v>
      </c>
      <c r="AC33" s="19">
        <f t="shared" si="6"/>
        <v>2.5598855644928915</v>
      </c>
      <c r="AD33" s="19">
        <f t="shared" si="6"/>
        <v>1.5168851171449063</v>
      </c>
      <c r="AE33" s="22">
        <f t="shared" si="3"/>
        <v>0.67029857840741647</v>
      </c>
      <c r="AF33" s="165" t="s">
        <v>6</v>
      </c>
    </row>
    <row r="34" spans="1:32">
      <c r="A34" s="641">
        <v>32</v>
      </c>
      <c r="B34" s="163"/>
      <c r="C34" s="614">
        <v>45594</v>
      </c>
      <c r="D34" s="131"/>
      <c r="E34" s="16">
        <v>1440</v>
      </c>
      <c r="F34" s="33">
        <v>2</v>
      </c>
      <c r="G34" s="17">
        <v>30</v>
      </c>
      <c r="H34" s="19">
        <v>0.23335634252468351</v>
      </c>
      <c r="I34" s="19">
        <v>0</v>
      </c>
      <c r="J34" s="19">
        <v>0</v>
      </c>
      <c r="K34" s="125">
        <v>0.97238010384343598</v>
      </c>
      <c r="L34" s="20">
        <v>19.895540240269376</v>
      </c>
      <c r="M34" s="161">
        <f t="shared" si="2"/>
        <v>0</v>
      </c>
      <c r="N34" s="19">
        <v>0</v>
      </c>
      <c r="O34" s="19">
        <v>0.48924695823742187</v>
      </c>
      <c r="P34" s="125">
        <v>5.1397391651202708</v>
      </c>
      <c r="Q34" s="19">
        <v>0.34738899863118122</v>
      </c>
      <c r="R34" s="19">
        <v>2.1898117871451186</v>
      </c>
      <c r="S34" s="20">
        <v>2.393907495730895</v>
      </c>
      <c r="T34" s="19">
        <f t="shared" si="7"/>
        <v>0.1394584900854122</v>
      </c>
      <c r="U34" s="19">
        <f t="shared" si="7"/>
        <v>0</v>
      </c>
      <c r="V34" s="19">
        <f t="shared" si="7"/>
        <v>0</v>
      </c>
      <c r="W34" s="125">
        <f t="shared" si="7"/>
        <v>0.58111410045243561</v>
      </c>
      <c r="X34" s="20">
        <f t="shared" si="7"/>
        <v>11.889978953745555</v>
      </c>
      <c r="Y34" s="19">
        <f t="shared" si="5"/>
        <v>0</v>
      </c>
      <c r="Z34" s="19">
        <f t="shared" si="5"/>
        <v>0.29238391953051157</v>
      </c>
      <c r="AA34" s="125">
        <f t="shared" si="5"/>
        <v>3.0716125203441247</v>
      </c>
      <c r="AB34" s="19">
        <f t="shared" si="6"/>
        <v>0.2076067215368847</v>
      </c>
      <c r="AC34" s="19">
        <f t="shared" si="6"/>
        <v>1.3086760021283479</v>
      </c>
      <c r="AD34" s="19">
        <f t="shared" si="6"/>
        <v>1.430647743047599</v>
      </c>
      <c r="AE34" s="22">
        <f t="shared" si="3"/>
        <v>0.86224135983140482</v>
      </c>
      <c r="AF34" s="165" t="s">
        <v>6</v>
      </c>
    </row>
    <row r="35" spans="1:32">
      <c r="A35" s="641">
        <v>33</v>
      </c>
      <c r="B35" s="163"/>
      <c r="C35" s="614">
        <v>45600</v>
      </c>
      <c r="D35" s="131"/>
      <c r="E35" s="16">
        <v>1440</v>
      </c>
      <c r="F35" s="33">
        <v>1</v>
      </c>
      <c r="G35" s="17">
        <v>30</v>
      </c>
      <c r="H35" s="19">
        <v>0.17563203372490047</v>
      </c>
      <c r="I35" s="19">
        <v>0</v>
      </c>
      <c r="J35" s="19">
        <v>0</v>
      </c>
      <c r="K35" s="125">
        <v>1.317321576699745</v>
      </c>
      <c r="L35" s="20">
        <v>9.0446723534342475</v>
      </c>
      <c r="M35" s="161">
        <f t="shared" si="2"/>
        <v>0</v>
      </c>
      <c r="N35" s="19">
        <v>0</v>
      </c>
      <c r="O35" s="19">
        <v>1.3889108910891088</v>
      </c>
      <c r="P35" s="125">
        <v>5.3014668871791191</v>
      </c>
      <c r="Q35" s="19">
        <v>0.52163373886877284</v>
      </c>
      <c r="R35" s="19">
        <v>2.108737796656269</v>
      </c>
      <c r="S35" s="20">
        <v>1.352240307707983</v>
      </c>
      <c r="T35" s="19">
        <f t="shared" si="7"/>
        <v>0.20992254137094213</v>
      </c>
      <c r="U35" s="19">
        <f t="shared" si="7"/>
        <v>0</v>
      </c>
      <c r="V35" s="19">
        <f t="shared" si="7"/>
        <v>0</v>
      </c>
      <c r="W35" s="125">
        <f t="shared" si="7"/>
        <v>1.5745162617471913</v>
      </c>
      <c r="X35" s="20">
        <f t="shared" si="7"/>
        <v>10.810559816635712</v>
      </c>
      <c r="Y35" s="19">
        <f t="shared" si="5"/>
        <v>0</v>
      </c>
      <c r="Z35" s="19">
        <f t="shared" si="5"/>
        <v>1.6600827184629288</v>
      </c>
      <c r="AA35" s="125">
        <f t="shared" si="5"/>
        <v>6.3365285839240153</v>
      </c>
      <c r="AB35" s="19">
        <f t="shared" si="5"/>
        <v>0.62347783491295028</v>
      </c>
      <c r="AC35" s="19">
        <f t="shared" si="5"/>
        <v>2.5204490773728634</v>
      </c>
      <c r="AD35" s="19">
        <f t="shared" si="5"/>
        <v>1.6162525475444582</v>
      </c>
      <c r="AE35" s="22">
        <f t="shared" si="3"/>
        <v>0.39869789931324534</v>
      </c>
      <c r="AF35" s="165" t="s">
        <v>6</v>
      </c>
    </row>
    <row r="36" spans="1:32">
      <c r="A36" s="641">
        <v>34</v>
      </c>
      <c r="B36" s="163"/>
      <c r="C36" s="614">
        <v>45607</v>
      </c>
      <c r="D36" s="131"/>
      <c r="E36" s="16">
        <v>1440</v>
      </c>
      <c r="F36" s="33">
        <v>1</v>
      </c>
      <c r="G36" s="17">
        <v>30</v>
      </c>
      <c r="H36" s="19">
        <v>9.0728117642708342E-2</v>
      </c>
      <c r="I36" s="19">
        <v>0</v>
      </c>
      <c r="J36" s="19">
        <v>0</v>
      </c>
      <c r="K36" s="125">
        <v>0.89749301053795816</v>
      </c>
      <c r="L36" s="20">
        <v>2.2158670676988317</v>
      </c>
      <c r="M36" s="161">
        <f t="shared" si="2"/>
        <v>0</v>
      </c>
      <c r="N36" s="19">
        <v>0</v>
      </c>
      <c r="O36" s="19">
        <v>0.26747780335415999</v>
      </c>
      <c r="P36" s="125">
        <v>2.8758714729193038</v>
      </c>
      <c r="Q36" s="19">
        <v>0.12171831840200652</v>
      </c>
      <c r="R36" s="19">
        <v>1.0909724505074414</v>
      </c>
      <c r="S36" s="20">
        <v>0.53593559119095335</v>
      </c>
      <c r="T36" s="19">
        <f t="shared" si="7"/>
        <v>0.10844193183568934</v>
      </c>
      <c r="U36" s="19">
        <f t="shared" si="7"/>
        <v>0</v>
      </c>
      <c r="V36" s="19">
        <f t="shared" si="7"/>
        <v>0</v>
      </c>
      <c r="W36" s="125">
        <f t="shared" si="7"/>
        <v>1.0727201048636192</v>
      </c>
      <c r="X36" s="20">
        <f t="shared" si="7"/>
        <v>2.6484943340126428</v>
      </c>
      <c r="Y36" s="19">
        <f t="shared" si="5"/>
        <v>0</v>
      </c>
      <c r="Z36" s="19">
        <f t="shared" si="5"/>
        <v>0.31970033626309763</v>
      </c>
      <c r="AA36" s="125">
        <f t="shared" si="5"/>
        <v>3.4373584103514427</v>
      </c>
      <c r="AB36" s="19">
        <f t="shared" si="5"/>
        <v>0.14548267869157025</v>
      </c>
      <c r="AC36" s="19">
        <f t="shared" si="5"/>
        <v>1.3039745911894938</v>
      </c>
      <c r="AD36" s="19">
        <f t="shared" si="5"/>
        <v>0.64057198978954089</v>
      </c>
      <c r="AE36" s="22">
        <f t="shared" si="3"/>
        <v>0.25309548764644041</v>
      </c>
      <c r="AF36" s="165" t="s">
        <v>6</v>
      </c>
    </row>
    <row r="37" spans="1:32">
      <c r="A37" s="641">
        <v>35</v>
      </c>
      <c r="B37" s="163"/>
      <c r="C37" s="614">
        <v>45614</v>
      </c>
      <c r="D37" s="131"/>
      <c r="E37" s="16">
        <v>1440</v>
      </c>
      <c r="F37" s="33">
        <v>1</v>
      </c>
      <c r="G37" s="17">
        <v>30</v>
      </c>
      <c r="H37" s="19">
        <v>0.24539302574975036</v>
      </c>
      <c r="I37" s="19">
        <v>0</v>
      </c>
      <c r="J37" s="19">
        <v>0</v>
      </c>
      <c r="K37" s="125">
        <v>1.6594979876493903</v>
      </c>
      <c r="L37" s="20">
        <v>6.1778066552040602</v>
      </c>
      <c r="M37" s="161">
        <f t="shared" si="2"/>
        <v>0</v>
      </c>
      <c r="N37" s="19">
        <v>0</v>
      </c>
      <c r="O37" s="19">
        <v>1.2490817441137247</v>
      </c>
      <c r="P37" s="125">
        <v>5.6047229249343573</v>
      </c>
      <c r="Q37" s="19">
        <v>0.59551905470903155</v>
      </c>
      <c r="R37" s="19">
        <v>2.3785461868003868</v>
      </c>
      <c r="S37" s="20">
        <v>1.1759557124439299</v>
      </c>
      <c r="T37" s="19">
        <f t="shared" si="7"/>
        <v>0.29330371292505986</v>
      </c>
      <c r="U37" s="19">
        <f t="shared" si="7"/>
        <v>0</v>
      </c>
      <c r="V37" s="19">
        <f t="shared" si="7"/>
        <v>0</v>
      </c>
      <c r="W37" s="125">
        <f t="shared" si="7"/>
        <v>1.9834994082741428</v>
      </c>
      <c r="X37" s="20">
        <f t="shared" si="7"/>
        <v>7.3839654740323821</v>
      </c>
      <c r="Y37" s="19">
        <f t="shared" si="5"/>
        <v>0</v>
      </c>
      <c r="Z37" s="19">
        <f t="shared" si="5"/>
        <v>1.4929532417481011</v>
      </c>
      <c r="AA37" s="125">
        <f t="shared" si="5"/>
        <v>6.6989925193549258</v>
      </c>
      <c r="AB37" s="19">
        <f t="shared" si="5"/>
        <v>0.71178856583277816</v>
      </c>
      <c r="AC37" s="19">
        <f t="shared" si="5"/>
        <v>2.8429350256422521</v>
      </c>
      <c r="AD37" s="19">
        <f t="shared" si="5"/>
        <v>1.4055500381130519</v>
      </c>
      <c r="AE37" s="22">
        <f t="shared" si="3"/>
        <v>0.28788994379660132</v>
      </c>
      <c r="AF37" s="165" t="s">
        <v>6</v>
      </c>
    </row>
    <row r="38" spans="1:32">
      <c r="A38" s="641">
        <v>36</v>
      </c>
      <c r="B38" s="163"/>
      <c r="C38" s="614">
        <v>45621</v>
      </c>
      <c r="D38" s="131"/>
      <c r="E38" s="16">
        <v>1440</v>
      </c>
      <c r="F38" s="33">
        <v>1</v>
      </c>
      <c r="G38" s="17">
        <v>30</v>
      </c>
      <c r="H38" s="19">
        <v>0.52495470065452932</v>
      </c>
      <c r="I38" s="19">
        <v>0</v>
      </c>
      <c r="J38" s="19">
        <v>0</v>
      </c>
      <c r="K38" s="125">
        <v>4.7206519401517708</v>
      </c>
      <c r="L38" s="20">
        <v>14.529895293704103</v>
      </c>
      <c r="M38" s="161">
        <f t="shared" si="2"/>
        <v>0</v>
      </c>
      <c r="N38" s="19">
        <v>0</v>
      </c>
      <c r="O38" s="19">
        <v>0.71673791515948693</v>
      </c>
      <c r="P38" s="125">
        <v>4.2051169768127501</v>
      </c>
      <c r="Q38" s="19">
        <v>0.26396891879707879</v>
      </c>
      <c r="R38" s="19">
        <v>2.1329872561671852</v>
      </c>
      <c r="S38" s="20">
        <v>0.98558334861301033</v>
      </c>
      <c r="T38" s="19">
        <f t="shared" si="7"/>
        <v>0.62744718334601424</v>
      </c>
      <c r="U38" s="19">
        <f t="shared" si="7"/>
        <v>0</v>
      </c>
      <c r="V38" s="19">
        <f t="shared" si="7"/>
        <v>0</v>
      </c>
      <c r="W38" s="125">
        <f t="shared" si="7"/>
        <v>5.6423149649142399</v>
      </c>
      <c r="X38" s="20">
        <f t="shared" si="7"/>
        <v>17.366721099897035</v>
      </c>
      <c r="Y38" s="19">
        <f t="shared" ref="Y38:AD53" si="8">(N38/1000*$G38)*(1000/$E38)*($B$1/($B$2*$F38))</f>
        <v>0</v>
      </c>
      <c r="Z38" s="19">
        <f t="shared" si="8"/>
        <v>0.85667427209127978</v>
      </c>
      <c r="AA38" s="125">
        <f t="shared" si="8"/>
        <v>5.0261266342637168</v>
      </c>
      <c r="AB38" s="19">
        <f t="shared" si="8"/>
        <v>0.31550637489979927</v>
      </c>
      <c r="AC38" s="19">
        <f t="shared" si="8"/>
        <v>2.5494330164609726</v>
      </c>
      <c r="AD38" s="19">
        <f t="shared" si="8"/>
        <v>1.1780092554060846</v>
      </c>
      <c r="AE38" s="22">
        <f t="shared" si="3"/>
        <v>0.94064015722583616</v>
      </c>
      <c r="AF38" s="165" t="s">
        <v>6</v>
      </c>
    </row>
    <row r="39" spans="1:32" ht="14.5" thickBot="1">
      <c r="A39" s="641">
        <v>37</v>
      </c>
      <c r="B39" s="83"/>
      <c r="C39" s="614">
        <v>45628</v>
      </c>
      <c r="D39" s="139"/>
      <c r="E39" s="127">
        <v>1440</v>
      </c>
      <c r="F39" s="72">
        <v>1</v>
      </c>
      <c r="G39" s="17">
        <v>30</v>
      </c>
      <c r="H39" s="74">
        <v>0.16411305730521281</v>
      </c>
      <c r="I39" s="73">
        <v>0</v>
      </c>
      <c r="J39" s="73">
        <v>0</v>
      </c>
      <c r="K39" s="129">
        <v>1.1940459000276507</v>
      </c>
      <c r="L39" s="73">
        <v>2.4964411311397448</v>
      </c>
      <c r="M39" s="162">
        <f t="shared" si="2"/>
        <v>0</v>
      </c>
      <c r="N39" s="74">
        <v>0</v>
      </c>
      <c r="O39" s="73">
        <v>0.59341455037178925</v>
      </c>
      <c r="P39" s="129">
        <v>7.0647172899157145</v>
      </c>
      <c r="Q39" s="73">
        <v>0.36268096429815944</v>
      </c>
      <c r="R39" s="73">
        <v>2.0138491303575305</v>
      </c>
      <c r="S39" s="130">
        <v>1.2448306470547046</v>
      </c>
      <c r="T39" s="74">
        <f t="shared" si="7"/>
        <v>0.19615459282118985</v>
      </c>
      <c r="U39" s="73">
        <f t="shared" si="7"/>
        <v>0</v>
      </c>
      <c r="V39" s="73">
        <f t="shared" si="7"/>
        <v>0</v>
      </c>
      <c r="W39" s="129">
        <f t="shared" si="7"/>
        <v>1.4271721651869769</v>
      </c>
      <c r="X39" s="73">
        <f t="shared" si="7"/>
        <v>2.9838478523380294</v>
      </c>
      <c r="Y39" s="74">
        <f t="shared" si="8"/>
        <v>0</v>
      </c>
      <c r="Z39" s="73">
        <f t="shared" si="8"/>
        <v>0.70927317675807189</v>
      </c>
      <c r="AA39" s="129">
        <f t="shared" si="8"/>
        <v>8.4440370934227893</v>
      </c>
      <c r="AB39" s="73">
        <f t="shared" si="8"/>
        <v>0.43349102164122716</v>
      </c>
      <c r="AC39" s="73">
        <f t="shared" si="8"/>
        <v>2.407034288770399</v>
      </c>
      <c r="AD39" s="73">
        <f t="shared" si="8"/>
        <v>1.487872157851744</v>
      </c>
      <c r="AE39" s="22">
        <f t="shared" si="3"/>
        <v>0.13070794471697722</v>
      </c>
      <c r="AF39" s="167" t="s">
        <v>6</v>
      </c>
    </row>
    <row r="40" spans="1:32">
      <c r="A40" s="641">
        <v>38</v>
      </c>
      <c r="B40" s="131"/>
      <c r="C40" s="614">
        <v>45636</v>
      </c>
      <c r="E40" s="16">
        <v>1440</v>
      </c>
      <c r="F40" s="616">
        <v>1</v>
      </c>
      <c r="G40" s="17">
        <v>30</v>
      </c>
      <c r="H40" s="13">
        <v>0.42218989978675409</v>
      </c>
      <c r="I40" s="19">
        <v>6.030739058216094E-2</v>
      </c>
      <c r="J40" s="19">
        <v>0</v>
      </c>
      <c r="K40" s="125">
        <v>7.9225936280684515</v>
      </c>
      <c r="L40" s="19">
        <v>14.034715473405109</v>
      </c>
      <c r="M40" s="160">
        <f t="shared" si="2"/>
        <v>7.6120767280681585E-3</v>
      </c>
      <c r="N40" s="13">
        <v>0</v>
      </c>
      <c r="O40" s="14">
        <v>0.63838544740001357</v>
      </c>
      <c r="P40" s="159">
        <v>2.8738080746601748</v>
      </c>
      <c r="Q40" s="14">
        <v>0.46169456134834436</v>
      </c>
      <c r="R40" s="14">
        <v>2.2392297497466278</v>
      </c>
      <c r="S40" s="15">
        <v>0.98975531931146299</v>
      </c>
      <c r="T40" s="18">
        <f t="shared" ref="T40:X76" si="9">(H40/1000*$G40)*(1000/$E40)*($B$1/($B$2*$F40))</f>
        <v>0.50461851875608943</v>
      </c>
      <c r="U40" s="19">
        <f t="shared" si="9"/>
        <v>7.2081843078164926E-2</v>
      </c>
      <c r="V40" s="19">
        <f t="shared" si="9"/>
        <v>0</v>
      </c>
      <c r="W40" s="125">
        <f t="shared" si="9"/>
        <v>9.469405742111892</v>
      </c>
      <c r="X40" s="19">
        <f t="shared" si="9"/>
        <v>16.774862063090623</v>
      </c>
      <c r="Y40" s="18">
        <f t="shared" si="8"/>
        <v>0</v>
      </c>
      <c r="Z40" s="19">
        <f t="shared" si="8"/>
        <v>0.76302421972943946</v>
      </c>
      <c r="AA40" s="125">
        <f t="shared" si="8"/>
        <v>3.4348921529311411</v>
      </c>
      <c r="AB40" s="19">
        <f t="shared" si="8"/>
        <v>0.55183609504400921</v>
      </c>
      <c r="AC40" s="19">
        <f t="shared" si="8"/>
        <v>2.6764183606534577</v>
      </c>
      <c r="AD40" s="19">
        <f t="shared" si="8"/>
        <v>1.1829957642619582</v>
      </c>
      <c r="AE40" s="22">
        <f t="shared" si="3"/>
        <v>1.1936010959131775</v>
      </c>
      <c r="AF40" s="165" t="s">
        <v>6</v>
      </c>
    </row>
    <row r="41" spans="1:32">
      <c r="A41" s="641">
        <v>39</v>
      </c>
      <c r="B41" s="1"/>
      <c r="C41" s="614">
        <v>45643</v>
      </c>
      <c r="E41" s="16">
        <v>1440</v>
      </c>
      <c r="F41" s="616">
        <v>1</v>
      </c>
      <c r="G41" s="17">
        <v>30</v>
      </c>
      <c r="H41" s="18">
        <v>1.1215184283652502</v>
      </c>
      <c r="I41" s="19">
        <v>0</v>
      </c>
      <c r="J41" s="19">
        <v>0</v>
      </c>
      <c r="K41" s="125">
        <v>2.0620489680849428</v>
      </c>
      <c r="L41" s="19">
        <v>8.2031411944040595</v>
      </c>
      <c r="M41" s="161">
        <f t="shared" si="2"/>
        <v>0</v>
      </c>
      <c r="N41" s="18">
        <v>0</v>
      </c>
      <c r="O41" s="19">
        <v>0.24050857360451838</v>
      </c>
      <c r="P41" s="125">
        <v>2.9449009264894843</v>
      </c>
      <c r="Q41" s="19">
        <v>0.12877395069036401</v>
      </c>
      <c r="R41" s="19">
        <v>0.82730958135183574</v>
      </c>
      <c r="S41" s="20">
        <v>0.48284659823784504</v>
      </c>
      <c r="T41" s="18">
        <f t="shared" si="9"/>
        <v>1.3404843847879415</v>
      </c>
      <c r="U41" s="19">
        <f t="shared" si="9"/>
        <v>0</v>
      </c>
      <c r="V41" s="19">
        <f t="shared" si="9"/>
        <v>0</v>
      </c>
      <c r="W41" s="125">
        <f t="shared" si="9"/>
        <v>2.4646446928340113</v>
      </c>
      <c r="X41" s="19">
        <f t="shared" si="9"/>
        <v>9.804727590020633</v>
      </c>
      <c r="Y41" s="18">
        <f t="shared" si="8"/>
        <v>0</v>
      </c>
      <c r="Z41" s="19">
        <f t="shared" si="8"/>
        <v>0.28746561730101267</v>
      </c>
      <c r="AA41" s="125">
        <f t="shared" si="8"/>
        <v>3.5198652174274083</v>
      </c>
      <c r="AB41" s="19">
        <f t="shared" si="8"/>
        <v>0.15391585702207253</v>
      </c>
      <c r="AC41" s="19">
        <f t="shared" si="8"/>
        <v>0.9888340192537729</v>
      </c>
      <c r="AD41" s="19">
        <f t="shared" si="8"/>
        <v>0.57711786878905913</v>
      </c>
      <c r="AE41" s="22">
        <f t="shared" si="3"/>
        <v>0.99019529637697346</v>
      </c>
      <c r="AF41" s="165" t="s">
        <v>6</v>
      </c>
    </row>
    <row r="42" spans="1:32">
      <c r="A42" s="641">
        <v>40</v>
      </c>
      <c r="B42" s="1"/>
      <c r="C42" s="614">
        <v>45650</v>
      </c>
      <c r="E42" s="16">
        <v>1440</v>
      </c>
      <c r="F42" s="616">
        <v>1</v>
      </c>
      <c r="G42" s="17">
        <v>30</v>
      </c>
      <c r="H42" s="18">
        <v>0.10619197380608751</v>
      </c>
      <c r="I42" s="19">
        <v>7.3539099501418084E-2</v>
      </c>
      <c r="J42" s="19">
        <v>0</v>
      </c>
      <c r="K42" s="125">
        <v>0.36257794904009671</v>
      </c>
      <c r="L42" s="19">
        <v>0.8359643915240208</v>
      </c>
      <c r="M42" s="161">
        <f t="shared" si="2"/>
        <v>0.202822868009785</v>
      </c>
      <c r="N42" s="18">
        <v>0</v>
      </c>
      <c r="O42" s="19">
        <v>3.1742248292982125E-2</v>
      </c>
      <c r="P42" s="125">
        <v>1.5907553932508287</v>
      </c>
      <c r="Q42" s="19">
        <v>0</v>
      </c>
      <c r="R42" s="19">
        <v>0</v>
      </c>
      <c r="S42" s="20">
        <v>0.17553891516382975</v>
      </c>
      <c r="T42" s="18">
        <f t="shared" si="9"/>
        <v>0.1269249609071168</v>
      </c>
      <c r="U42" s="19">
        <f t="shared" si="9"/>
        <v>8.7896919087372585E-2</v>
      </c>
      <c r="V42" s="19">
        <f t="shared" si="9"/>
        <v>0</v>
      </c>
      <c r="W42" s="125">
        <f t="shared" si="9"/>
        <v>0.43336789362002354</v>
      </c>
      <c r="X42" s="19">
        <f t="shared" si="9"/>
        <v>0.99917859995409086</v>
      </c>
      <c r="Y42" s="18">
        <f t="shared" si="8"/>
        <v>0</v>
      </c>
      <c r="Z42" s="19">
        <f t="shared" si="8"/>
        <v>3.7939624618407768E-2</v>
      </c>
      <c r="AA42" s="125">
        <f t="shared" si="8"/>
        <v>1.9013354669331164</v>
      </c>
      <c r="AB42" s="19">
        <f t="shared" si="8"/>
        <v>0</v>
      </c>
      <c r="AC42" s="19">
        <f t="shared" si="8"/>
        <v>0</v>
      </c>
      <c r="AD42" s="19">
        <f t="shared" si="8"/>
        <v>0.20981124228401482</v>
      </c>
      <c r="AE42" s="22">
        <f t="shared" si="3"/>
        <v>0.29596600496390674</v>
      </c>
      <c r="AF42" s="165" t="s">
        <v>6</v>
      </c>
    </row>
    <row r="43" spans="1:32">
      <c r="A43" s="641">
        <v>41</v>
      </c>
      <c r="B43" s="131"/>
      <c r="C43" s="614">
        <v>45656</v>
      </c>
      <c r="E43" s="16">
        <v>1440</v>
      </c>
      <c r="F43" s="616">
        <v>1</v>
      </c>
      <c r="G43" s="17">
        <v>30</v>
      </c>
      <c r="H43" s="18">
        <v>0.83788746957327198</v>
      </c>
      <c r="I43" s="19">
        <v>5.2605939989875797E-2</v>
      </c>
      <c r="J43" s="19">
        <v>0</v>
      </c>
      <c r="K43" s="125">
        <v>1.3167833667856648</v>
      </c>
      <c r="L43" s="19">
        <v>9.2104146190476861</v>
      </c>
      <c r="M43" s="161">
        <f t="shared" si="2"/>
        <v>3.9950337554984137E-2</v>
      </c>
      <c r="N43" s="18">
        <v>0</v>
      </c>
      <c r="O43" s="19">
        <v>0.49853642655535574</v>
      </c>
      <c r="P43" s="125">
        <v>3.0657841347129238</v>
      </c>
      <c r="Q43" s="19">
        <v>0.17395057846449263</v>
      </c>
      <c r="R43" s="19">
        <v>0.86035705932797979</v>
      </c>
      <c r="S43" s="20">
        <v>0.50759621029749724</v>
      </c>
      <c r="T43" s="18">
        <f t="shared" si="9"/>
        <v>1.0014771409593488</v>
      </c>
      <c r="U43" s="19">
        <f t="shared" si="9"/>
        <v>6.287675647586799E-2</v>
      </c>
      <c r="V43" s="19">
        <f t="shared" si="9"/>
        <v>0</v>
      </c>
      <c r="W43" s="125">
        <f t="shared" si="9"/>
        <v>1.5738729713942952</v>
      </c>
      <c r="X43" s="19">
        <f t="shared" si="9"/>
        <v>11.00866170540988</v>
      </c>
      <c r="Y43" s="18">
        <f t="shared" si="8"/>
        <v>0</v>
      </c>
      <c r="Z43" s="19">
        <f t="shared" si="8"/>
        <v>0.59587098895872348</v>
      </c>
      <c r="AA43" s="125">
        <f t="shared" si="8"/>
        <v>3.6643497385090509</v>
      </c>
      <c r="AB43" s="19">
        <f t="shared" si="8"/>
        <v>0.20791279773830149</v>
      </c>
      <c r="AC43" s="19">
        <f t="shared" si="8"/>
        <v>1.0283337074115653</v>
      </c>
      <c r="AD43" s="19">
        <f t="shared" si="8"/>
        <v>0.60669961052100885</v>
      </c>
      <c r="AE43" s="22">
        <f t="shared" si="3"/>
        <v>0.90735948474994965</v>
      </c>
      <c r="AF43" s="165" t="s">
        <v>6</v>
      </c>
    </row>
    <row r="44" spans="1:32">
      <c r="A44" s="641">
        <v>42</v>
      </c>
      <c r="B44" s="1"/>
      <c r="C44" s="614">
        <v>45663</v>
      </c>
      <c r="E44" s="16">
        <v>1440</v>
      </c>
      <c r="F44" s="616">
        <v>1</v>
      </c>
      <c r="G44" s="17">
        <v>30</v>
      </c>
      <c r="H44" s="18">
        <v>1.9292107360575581</v>
      </c>
      <c r="I44" s="19">
        <v>0</v>
      </c>
      <c r="J44" s="19">
        <v>0</v>
      </c>
      <c r="K44" s="125">
        <v>2.314827937548837</v>
      </c>
      <c r="L44" s="19">
        <v>7.580979952253168</v>
      </c>
      <c r="M44" s="161">
        <f t="shared" si="2"/>
        <v>0</v>
      </c>
      <c r="N44" s="18">
        <v>0</v>
      </c>
      <c r="O44" s="19">
        <v>0.50519009013984617</v>
      </c>
      <c r="P44" s="125">
        <v>1.4848346520592415</v>
      </c>
      <c r="Q44" s="19">
        <v>0.20179677035647828</v>
      </c>
      <c r="R44" s="19">
        <v>1.3583495751149914</v>
      </c>
      <c r="S44" s="20">
        <v>0.75577982011789879</v>
      </c>
      <c r="T44" s="18">
        <f t="shared" si="9"/>
        <v>2.3058710416554904</v>
      </c>
      <c r="U44" s="19">
        <f t="shared" si="9"/>
        <v>0</v>
      </c>
      <c r="V44" s="19">
        <f t="shared" si="9"/>
        <v>0</v>
      </c>
      <c r="W44" s="125">
        <f t="shared" si="9"/>
        <v>2.7667763857238441</v>
      </c>
      <c r="X44" s="19">
        <f t="shared" si="9"/>
        <v>9.0610951994773998</v>
      </c>
      <c r="Y44" s="18">
        <f t="shared" si="8"/>
        <v>0</v>
      </c>
      <c r="Z44" s="19">
        <f t="shared" si="8"/>
        <v>0.60382371796527434</v>
      </c>
      <c r="AA44" s="125">
        <f t="shared" si="8"/>
        <v>1.774734694265075</v>
      </c>
      <c r="AB44" s="19">
        <f t="shared" si="8"/>
        <v>0.24119569747756348</v>
      </c>
      <c r="AC44" s="19">
        <f t="shared" si="8"/>
        <v>1.6235545921247918</v>
      </c>
      <c r="AD44" s="19">
        <f t="shared" si="8"/>
        <v>0.90333874288861715</v>
      </c>
      <c r="AE44" s="22">
        <f t="shared" si="3"/>
        <v>1.2005330992569598</v>
      </c>
      <c r="AF44" s="165" t="s">
        <v>6</v>
      </c>
    </row>
    <row r="45" spans="1:32">
      <c r="A45" s="641">
        <v>43</v>
      </c>
      <c r="B45" s="131"/>
      <c r="C45" s="614">
        <v>45670</v>
      </c>
      <c r="E45" s="16">
        <v>1440</v>
      </c>
      <c r="F45" s="616">
        <v>1</v>
      </c>
      <c r="G45" s="17">
        <v>30</v>
      </c>
      <c r="H45" s="18">
        <v>0.48527130948021469</v>
      </c>
      <c r="I45" s="19">
        <v>0.17219799041668687</v>
      </c>
      <c r="J45" s="19">
        <v>0</v>
      </c>
      <c r="K45" s="125">
        <v>0.71711201679255954</v>
      </c>
      <c r="L45" s="19">
        <v>3.8135137917273609</v>
      </c>
      <c r="M45" s="161">
        <f t="shared" si="2"/>
        <v>0.24012704624150644</v>
      </c>
      <c r="N45" s="18">
        <v>0</v>
      </c>
      <c r="O45" s="19">
        <v>0.38255513471561342</v>
      </c>
      <c r="P45" s="125">
        <v>0.92099479272333806</v>
      </c>
      <c r="Q45" s="19">
        <v>0.12889144517092091</v>
      </c>
      <c r="R45" s="19">
        <v>0.84979730256490194</v>
      </c>
      <c r="S45" s="20">
        <v>0.50117964420795769</v>
      </c>
      <c r="T45" s="18">
        <f t="shared" si="9"/>
        <v>0.58001598216447092</v>
      </c>
      <c r="U45" s="19">
        <f t="shared" si="9"/>
        <v>0.20581803330855064</v>
      </c>
      <c r="V45" s="19">
        <f t="shared" si="9"/>
        <v>0</v>
      </c>
      <c r="W45" s="125">
        <f t="shared" si="9"/>
        <v>0.85712141356017957</v>
      </c>
      <c r="X45" s="19">
        <f t="shared" si="9"/>
        <v>4.5580665994363381</v>
      </c>
      <c r="Y45" s="18">
        <f t="shared" si="8"/>
        <v>0</v>
      </c>
      <c r="Z45" s="19">
        <f t="shared" si="8"/>
        <v>0.45724543746838753</v>
      </c>
      <c r="AA45" s="125">
        <f t="shared" si="8"/>
        <v>1.1008103896395098</v>
      </c>
      <c r="AB45" s="19">
        <f t="shared" si="8"/>
        <v>0.15405629119818756</v>
      </c>
      <c r="AC45" s="19">
        <f t="shared" si="8"/>
        <v>1.0157122571615702</v>
      </c>
      <c r="AD45" s="19">
        <f t="shared" si="8"/>
        <v>0.59903027007198484</v>
      </c>
      <c r="AE45" s="22">
        <f t="shared" si="3"/>
        <v>0.81134012834321534</v>
      </c>
      <c r="AF45" s="165" t="s">
        <v>6</v>
      </c>
    </row>
    <row r="46" spans="1:32">
      <c r="A46" s="641">
        <v>44</v>
      </c>
      <c r="B46" s="131"/>
      <c r="C46" s="614">
        <v>45679</v>
      </c>
      <c r="E46" s="16">
        <v>1440</v>
      </c>
      <c r="F46" s="616">
        <v>1</v>
      </c>
      <c r="G46" s="17">
        <v>30</v>
      </c>
      <c r="H46" s="18">
        <v>1.685613812118993</v>
      </c>
      <c r="I46" s="19">
        <v>0.22498595788057607</v>
      </c>
      <c r="J46" s="19">
        <v>0</v>
      </c>
      <c r="K46" s="125">
        <v>2.0779356336280199</v>
      </c>
      <c r="L46" s="19">
        <v>5.3048055649172188</v>
      </c>
      <c r="M46" s="161">
        <f t="shared" si="2"/>
        <v>0.10827378588611844</v>
      </c>
      <c r="N46" s="18">
        <v>0</v>
      </c>
      <c r="O46" s="19">
        <v>0.31089090491568838</v>
      </c>
      <c r="P46" s="125">
        <v>0.84153310340163667</v>
      </c>
      <c r="Q46" s="19">
        <v>0.14040590426549726</v>
      </c>
      <c r="R46" s="19">
        <v>1.2389997661183438</v>
      </c>
      <c r="S46" s="20">
        <v>0.69390578996876828</v>
      </c>
      <c r="T46" s="18">
        <f t="shared" si="9"/>
        <v>2.0147141025778232</v>
      </c>
      <c r="U46" s="19">
        <f t="shared" si="9"/>
        <v>0.26891235641582301</v>
      </c>
      <c r="V46" s="19">
        <f t="shared" si="9"/>
        <v>0</v>
      </c>
      <c r="W46" s="125">
        <f t="shared" si="9"/>
        <v>2.4836330808517491</v>
      </c>
      <c r="X46" s="19">
        <f t="shared" si="9"/>
        <v>6.3405191071829918</v>
      </c>
      <c r="Y46" s="18">
        <f t="shared" si="8"/>
        <v>0</v>
      </c>
      <c r="Z46" s="19">
        <f t="shared" si="8"/>
        <v>0.37158943881067452</v>
      </c>
      <c r="AA46" s="125">
        <f t="shared" si="8"/>
        <v>1.0058345506068216</v>
      </c>
      <c r="AB46" s="19">
        <f t="shared" si="8"/>
        <v>0.16781884045746048</v>
      </c>
      <c r="AC46" s="19">
        <f t="shared" si="8"/>
        <v>1.4809028520899632</v>
      </c>
      <c r="AD46" s="19">
        <f t="shared" si="8"/>
        <v>0.82938438855874275</v>
      </c>
      <c r="AE46" s="22">
        <f t="shared" si="3"/>
        <v>1.2990637795127138</v>
      </c>
      <c r="AF46" s="165" t="s">
        <v>6</v>
      </c>
    </row>
    <row r="47" spans="1:32">
      <c r="A47" s="641">
        <v>45</v>
      </c>
      <c r="B47" s="131"/>
      <c r="C47" s="614">
        <v>45684</v>
      </c>
      <c r="E47" s="16">
        <v>1440</v>
      </c>
      <c r="F47" s="616">
        <v>1</v>
      </c>
      <c r="G47" s="17">
        <v>30</v>
      </c>
      <c r="H47" s="19">
        <v>0.76177756715421241</v>
      </c>
      <c r="I47" s="19">
        <v>0</v>
      </c>
      <c r="J47" s="19">
        <v>0</v>
      </c>
      <c r="K47" s="125">
        <v>1.8096721926854302</v>
      </c>
      <c r="L47" s="20">
        <v>4.1916670074468696</v>
      </c>
      <c r="M47" s="161">
        <f t="shared" si="2"/>
        <v>0</v>
      </c>
      <c r="N47" s="19">
        <v>0</v>
      </c>
      <c r="O47" s="19">
        <v>0.23922667511576334</v>
      </c>
      <c r="P47" s="125">
        <v>1.2585379049164809</v>
      </c>
      <c r="Q47" s="19">
        <v>0.11584955782910486</v>
      </c>
      <c r="R47" s="19">
        <v>1.1952872846339748</v>
      </c>
      <c r="S47" s="20">
        <v>0.4467534139841855</v>
      </c>
      <c r="T47" s="19">
        <f t="shared" si="9"/>
        <v>0.91050749379162799</v>
      </c>
      <c r="U47" s="19">
        <f t="shared" si="9"/>
        <v>0</v>
      </c>
      <c r="V47" s="19">
        <f t="shared" si="9"/>
        <v>0</v>
      </c>
      <c r="W47" s="125">
        <f t="shared" si="9"/>
        <v>2.1629937186281709</v>
      </c>
      <c r="X47" s="20">
        <f t="shared" si="9"/>
        <v>5.0100506845023576</v>
      </c>
      <c r="Y47" s="19">
        <f t="shared" si="8"/>
        <v>0</v>
      </c>
      <c r="Z47" s="19">
        <f t="shared" si="8"/>
        <v>0.28593344015296157</v>
      </c>
      <c r="AA47" s="125">
        <f t="shared" si="8"/>
        <v>1.5042556292751743</v>
      </c>
      <c r="AB47" s="19">
        <f t="shared" si="8"/>
        <v>0.13846809764941928</v>
      </c>
      <c r="AC47" s="19">
        <f t="shared" si="8"/>
        <v>1.4286559184969594</v>
      </c>
      <c r="AD47" s="19">
        <f t="shared" si="8"/>
        <v>0.53397782876329869</v>
      </c>
      <c r="AE47" s="22">
        <f t="shared" si="3"/>
        <v>0.85784853996940369</v>
      </c>
      <c r="AF47" s="165" t="s">
        <v>6</v>
      </c>
    </row>
    <row r="48" spans="1:32">
      <c r="A48" s="641">
        <v>46</v>
      </c>
      <c r="B48" s="131"/>
      <c r="C48" s="614">
        <v>45691</v>
      </c>
      <c r="E48" s="16">
        <v>1440</v>
      </c>
      <c r="F48" s="616">
        <v>1</v>
      </c>
      <c r="G48" s="17">
        <v>30</v>
      </c>
      <c r="H48" s="19">
        <v>1.2935290696422035</v>
      </c>
      <c r="I48" s="19">
        <v>0.1609122870278554</v>
      </c>
      <c r="J48" s="19">
        <v>0</v>
      </c>
      <c r="K48" s="125">
        <v>1.564333813412597</v>
      </c>
      <c r="L48" s="20">
        <v>3.8919872468296868</v>
      </c>
      <c r="M48" s="161">
        <f t="shared" si="2"/>
        <v>0.10286313934289061</v>
      </c>
      <c r="N48" s="19">
        <v>0</v>
      </c>
      <c r="O48" s="19">
        <v>0.32828809869164971</v>
      </c>
      <c r="P48" s="125">
        <v>0.71363359707851493</v>
      </c>
      <c r="Q48" s="19">
        <v>0.10392386805257935</v>
      </c>
      <c r="R48" s="19">
        <v>0.81959148670772564</v>
      </c>
      <c r="S48" s="20">
        <v>0.51653357020792723</v>
      </c>
      <c r="T48" s="19">
        <f t="shared" si="9"/>
        <v>1.5460784907940384</v>
      </c>
      <c r="U48" s="19">
        <f t="shared" si="9"/>
        <v>0.19232890216147858</v>
      </c>
      <c r="V48" s="19">
        <f t="shared" si="9"/>
        <v>0</v>
      </c>
      <c r="W48" s="125">
        <f t="shared" si="9"/>
        <v>1.8697553213922149</v>
      </c>
      <c r="X48" s="20">
        <f t="shared" si="9"/>
        <v>4.651861260785199</v>
      </c>
      <c r="Y48" s="19">
        <f t="shared" si="8"/>
        <v>0</v>
      </c>
      <c r="Z48" s="19">
        <f t="shared" si="8"/>
        <v>0.39238327153422492</v>
      </c>
      <c r="AA48" s="125">
        <f t="shared" si="8"/>
        <v>0.85296386501484556</v>
      </c>
      <c r="AB48" s="19">
        <f t="shared" si="8"/>
        <v>0.12421402877374377</v>
      </c>
      <c r="AC48" s="19">
        <f t="shared" si="8"/>
        <v>0.97960903900460705</v>
      </c>
      <c r="AD48" s="19">
        <f t="shared" si="8"/>
        <v>0.61738190614643529</v>
      </c>
      <c r="AE48" s="22">
        <f t="shared" si="3"/>
        <v>1.2565516358563411</v>
      </c>
      <c r="AF48" s="165" t="s">
        <v>6</v>
      </c>
    </row>
    <row r="49" spans="1:32">
      <c r="A49" s="641">
        <v>47</v>
      </c>
      <c r="B49" s="131"/>
      <c r="C49" s="614">
        <v>45698</v>
      </c>
      <c r="E49" s="16">
        <v>1440</v>
      </c>
      <c r="F49" s="616">
        <v>1</v>
      </c>
      <c r="G49" s="17">
        <v>30</v>
      </c>
      <c r="H49" s="19">
        <v>0.48006914675914963</v>
      </c>
      <c r="I49" s="19">
        <v>0.19131087518809503</v>
      </c>
      <c r="J49" s="19">
        <v>0</v>
      </c>
      <c r="K49" s="125">
        <v>1.106435871114039</v>
      </c>
      <c r="L49" s="20">
        <v>3.60740992474163</v>
      </c>
      <c r="M49" s="161">
        <f t="shared" si="2"/>
        <v>0.17290733261880739</v>
      </c>
      <c r="N49" s="19">
        <v>0</v>
      </c>
      <c r="O49" s="19">
        <v>0.21316140584441071</v>
      </c>
      <c r="P49" s="125">
        <v>1.4821295732738218</v>
      </c>
      <c r="Q49" s="19">
        <v>8.1247433305097372E-2</v>
      </c>
      <c r="R49" s="19">
        <v>0.54156466827785121</v>
      </c>
      <c r="S49" s="20">
        <v>0.33858844276052019</v>
      </c>
      <c r="T49" s="19">
        <f t="shared" si="9"/>
        <v>0.57379814595389866</v>
      </c>
      <c r="U49" s="19">
        <f t="shared" si="9"/>
        <v>0.22866252960601127</v>
      </c>
      <c r="V49" s="19">
        <f t="shared" si="9"/>
        <v>0</v>
      </c>
      <c r="W49" s="125">
        <f t="shared" si="9"/>
        <v>1.3224570996657625</v>
      </c>
      <c r="X49" s="20">
        <f t="shared" si="9"/>
        <v>4.3117228851012168</v>
      </c>
      <c r="Y49" s="19">
        <f t="shared" si="8"/>
        <v>0</v>
      </c>
      <c r="Z49" s="19">
        <f t="shared" si="8"/>
        <v>0.25477917147592294</v>
      </c>
      <c r="AA49" s="125">
        <f t="shared" si="8"/>
        <v>1.7715014742128985</v>
      </c>
      <c r="AB49" s="19">
        <f t="shared" si="8"/>
        <v>9.7110232783543041E-2</v>
      </c>
      <c r="AC49" s="19">
        <f t="shared" si="8"/>
        <v>0.64730009139260858</v>
      </c>
      <c r="AD49" s="19">
        <f t="shared" si="8"/>
        <v>0.40469466119403646</v>
      </c>
      <c r="AE49" s="22">
        <f t="shared" si="3"/>
        <v>0.82657008397467002</v>
      </c>
      <c r="AF49" s="165" t="s">
        <v>6</v>
      </c>
    </row>
    <row r="50" spans="1:32">
      <c r="A50" s="641">
        <v>48</v>
      </c>
      <c r="B50" s="131"/>
      <c r="C50" s="614">
        <v>45705</v>
      </c>
      <c r="E50" s="16">
        <v>1440</v>
      </c>
      <c r="F50" s="616">
        <v>2</v>
      </c>
      <c r="G50" s="17">
        <v>30</v>
      </c>
      <c r="H50" s="19">
        <v>1.1273991340499323</v>
      </c>
      <c r="I50" s="19">
        <v>0.14179940225644724</v>
      </c>
      <c r="J50" s="19">
        <v>0</v>
      </c>
      <c r="K50" s="125">
        <v>1.4810796420855865</v>
      </c>
      <c r="L50" s="20">
        <v>5.0997381397913291</v>
      </c>
      <c r="M50" s="161">
        <f t="shared" si="2"/>
        <v>9.574056534648738E-2</v>
      </c>
      <c r="N50" s="19">
        <v>0</v>
      </c>
      <c r="O50" s="19">
        <v>0.43126727728830522</v>
      </c>
      <c r="P50" s="125">
        <v>1.1719753837830529</v>
      </c>
      <c r="Q50" s="19">
        <v>0.14064089322661108</v>
      </c>
      <c r="R50" s="19">
        <v>0.8701099243782644</v>
      </c>
      <c r="S50" s="20">
        <v>0.40172286982009597</v>
      </c>
      <c r="T50" s="19">
        <f t="shared" si="9"/>
        <v>0.6737566215564682</v>
      </c>
      <c r="U50" s="19">
        <f t="shared" si="9"/>
        <v>8.4742202932008973E-2</v>
      </c>
      <c r="V50" s="19">
        <f t="shared" si="9"/>
        <v>0</v>
      </c>
      <c r="W50" s="125">
        <f t="shared" si="9"/>
        <v>0.88512327690279358</v>
      </c>
      <c r="X50" s="20">
        <f t="shared" si="9"/>
        <v>3.0477070951309555</v>
      </c>
      <c r="Y50" s="19">
        <f t="shared" si="8"/>
        <v>0</v>
      </c>
      <c r="Z50" s="19">
        <f t="shared" si="8"/>
        <v>0.25773408454716429</v>
      </c>
      <c r="AA50" s="125">
        <f t="shared" si="8"/>
        <v>0.70039629380276125</v>
      </c>
      <c r="AB50" s="19">
        <f t="shared" si="8"/>
        <v>8.4049854404845289E-2</v>
      </c>
      <c r="AC50" s="19">
        <f t="shared" si="8"/>
        <v>0.51999536395411927</v>
      </c>
      <c r="AD50" s="19">
        <f t="shared" si="8"/>
        <v>0.24007774655605607</v>
      </c>
      <c r="AE50" s="22">
        <f t="shared" si="3"/>
        <v>1.1073742094886494</v>
      </c>
      <c r="AF50" s="165" t="s">
        <v>6</v>
      </c>
    </row>
    <row r="51" spans="1:32">
      <c r="A51" s="641">
        <v>49</v>
      </c>
      <c r="B51" s="131"/>
      <c r="C51" s="614">
        <v>45712</v>
      </c>
      <c r="E51" s="16">
        <v>1440</v>
      </c>
      <c r="F51" s="616">
        <v>1</v>
      </c>
      <c r="G51" s="17">
        <v>30</v>
      </c>
      <c r="H51" s="19">
        <v>0.19666436895504388</v>
      </c>
      <c r="I51" s="19">
        <v>0</v>
      </c>
      <c r="J51" s="19">
        <v>0</v>
      </c>
      <c r="K51" s="125">
        <v>1.1715913095438732</v>
      </c>
      <c r="L51" s="20">
        <v>4.5846265354498366</v>
      </c>
      <c r="M51" s="161">
        <f t="shared" si="2"/>
        <v>0</v>
      </c>
      <c r="N51" s="19">
        <v>0</v>
      </c>
      <c r="O51" s="19">
        <v>0.17159126913763989</v>
      </c>
      <c r="P51" s="125">
        <v>1.8751268005680666</v>
      </c>
      <c r="Q51" s="19">
        <v>6.3153283299334534E-2</v>
      </c>
      <c r="R51" s="19">
        <v>0.38565915646682769</v>
      </c>
      <c r="S51" s="20">
        <v>0.3633380548201724</v>
      </c>
      <c r="T51" s="19">
        <f t="shared" si="9"/>
        <v>0.23506124283011304</v>
      </c>
      <c r="U51" s="19">
        <f t="shared" si="9"/>
        <v>0</v>
      </c>
      <c r="V51" s="19">
        <f t="shared" si="9"/>
        <v>0</v>
      </c>
      <c r="W51" s="125">
        <f t="shared" si="9"/>
        <v>1.4003335264726884</v>
      </c>
      <c r="X51" s="20">
        <f t="shared" si="9"/>
        <v>5.4797318754832576</v>
      </c>
      <c r="Y51" s="19">
        <f t="shared" si="8"/>
        <v>0</v>
      </c>
      <c r="Z51" s="19">
        <f t="shared" si="8"/>
        <v>0.20509285538912353</v>
      </c>
      <c r="AA51" s="125">
        <f t="shared" si="8"/>
        <v>2.2412277249181831</v>
      </c>
      <c r="AB51" s="19">
        <f t="shared" si="8"/>
        <v>7.5483369661828448E-2</v>
      </c>
      <c r="AC51" s="19">
        <f t="shared" si="8"/>
        <v>0.46095549035945754</v>
      </c>
      <c r="AD51" s="19">
        <f t="shared" si="8"/>
        <v>0.43427640292598624</v>
      </c>
      <c r="AE51" s="22">
        <f t="shared" si="3"/>
        <v>0.82496032311664114</v>
      </c>
      <c r="AF51" s="165" t="s">
        <v>6</v>
      </c>
    </row>
    <row r="52" spans="1:32">
      <c r="A52" s="641">
        <v>50</v>
      </c>
      <c r="B52" s="131"/>
      <c r="C52" s="614">
        <v>45719</v>
      </c>
      <c r="E52" s="16">
        <v>1440</v>
      </c>
      <c r="F52" s="616">
        <v>2</v>
      </c>
      <c r="G52" s="17">
        <v>30</v>
      </c>
      <c r="H52" s="19">
        <v>0.67831678262930029</v>
      </c>
      <c r="I52" s="19">
        <v>7.626951161161924E-2</v>
      </c>
      <c r="J52" s="19">
        <v>0</v>
      </c>
      <c r="K52" s="125">
        <v>1.3654488485758496</v>
      </c>
      <c r="L52" s="20">
        <v>3.1608515462725459</v>
      </c>
      <c r="M52" s="161">
        <f t="shared" si="2"/>
        <v>5.5856732891288917E-2</v>
      </c>
      <c r="N52" s="19">
        <v>0</v>
      </c>
      <c r="O52" s="19">
        <v>0.15260696294702944</v>
      </c>
      <c r="P52" s="125">
        <v>1.0227733820247515</v>
      </c>
      <c r="Q52" s="19">
        <v>7.4785236874467781E-2</v>
      </c>
      <c r="R52" s="19">
        <v>0.60867700943322667</v>
      </c>
      <c r="S52" s="20">
        <v>0.37112959935747031</v>
      </c>
      <c r="T52" s="19">
        <f t="shared" si="9"/>
        <v>0.40537588685883208</v>
      </c>
      <c r="U52" s="19">
        <f t="shared" si="9"/>
        <v>4.5580209279219186E-2</v>
      </c>
      <c r="V52" s="19">
        <f t="shared" si="9"/>
        <v>0</v>
      </c>
      <c r="W52" s="125">
        <f t="shared" si="9"/>
        <v>0.81601996607874649</v>
      </c>
      <c r="X52" s="20">
        <f t="shared" si="9"/>
        <v>1.888989085354227</v>
      </c>
      <c r="Y52" s="19">
        <f t="shared" si="8"/>
        <v>0</v>
      </c>
      <c r="Z52" s="19">
        <f t="shared" si="8"/>
        <v>9.1201020717326373E-2</v>
      </c>
      <c r="AA52" s="125">
        <f t="shared" si="8"/>
        <v>0.61123014705132772</v>
      </c>
      <c r="AB52" s="19">
        <f t="shared" si="8"/>
        <v>4.4693176548608195E-2</v>
      </c>
      <c r="AC52" s="19">
        <f t="shared" si="8"/>
        <v>0.36375774391597326</v>
      </c>
      <c r="AD52" s="19">
        <f t="shared" si="8"/>
        <v>0.22179458673561486</v>
      </c>
      <c r="AE52" s="22">
        <f t="shared" si="3"/>
        <v>0.9933875879881745</v>
      </c>
      <c r="AF52" s="165" t="s">
        <v>6</v>
      </c>
    </row>
    <row r="53" spans="1:32">
      <c r="A53" s="641">
        <v>51</v>
      </c>
      <c r="B53" s="131"/>
      <c r="C53" s="614">
        <v>45728</v>
      </c>
      <c r="E53" s="16">
        <v>1440</v>
      </c>
      <c r="F53" s="616">
        <v>3</v>
      </c>
      <c r="G53" s="17">
        <v>30</v>
      </c>
      <c r="H53" s="19">
        <v>1.016683540486397</v>
      </c>
      <c r="I53" s="19">
        <v>9.8294835967241992E-2</v>
      </c>
      <c r="J53" s="19">
        <v>0</v>
      </c>
      <c r="K53" s="125">
        <v>2.9706053595231885</v>
      </c>
      <c r="L53" s="20">
        <v>10.740498930420204</v>
      </c>
      <c r="M53" s="161">
        <f t="shared" si="2"/>
        <v>3.3089159976140113E-2</v>
      </c>
      <c r="N53" s="19">
        <v>0</v>
      </c>
      <c r="O53" s="19">
        <v>0.22927670113161699</v>
      </c>
      <c r="P53" s="125">
        <v>2.3572225603570707</v>
      </c>
      <c r="Q53" s="19">
        <v>8.888457454129596E-2</v>
      </c>
      <c r="R53" s="19">
        <v>0.95283386606377152</v>
      </c>
      <c r="S53" s="20">
        <v>0.8891527295504692</v>
      </c>
      <c r="T53" s="19">
        <f t="shared" si="9"/>
        <v>0.40506048936988998</v>
      </c>
      <c r="U53" s="19">
        <f t="shared" si="9"/>
        <v>3.9161993652789766E-2</v>
      </c>
      <c r="V53" s="19">
        <f t="shared" si="9"/>
        <v>0</v>
      </c>
      <c r="W53" s="125">
        <f t="shared" si="9"/>
        <v>1.1835293999916783</v>
      </c>
      <c r="X53" s="20">
        <f t="shared" si="9"/>
        <v>4.2791602102178397</v>
      </c>
      <c r="Y53" s="19">
        <f t="shared" si="8"/>
        <v>0</v>
      </c>
      <c r="Z53" s="19">
        <f t="shared" si="8"/>
        <v>9.1346942350474081E-2</v>
      </c>
      <c r="AA53" s="125">
        <f t="shared" si="8"/>
        <v>0.93914938703067863</v>
      </c>
      <c r="AB53" s="19">
        <f t="shared" si="8"/>
        <v>3.541281807700665E-2</v>
      </c>
      <c r="AC53" s="19">
        <f t="shared" si="8"/>
        <v>0.37962191449597826</v>
      </c>
      <c r="AD53" s="19">
        <f t="shared" si="8"/>
        <v>0.35425048740730086</v>
      </c>
      <c r="AE53" s="22">
        <f t="shared" si="3"/>
        <v>1.3843503604280754</v>
      </c>
      <c r="AF53" s="165" t="s">
        <v>6</v>
      </c>
    </row>
    <row r="54" spans="1:32">
      <c r="A54" s="641">
        <v>52</v>
      </c>
      <c r="B54" s="131"/>
      <c r="C54" s="614">
        <v>45733</v>
      </c>
      <c r="E54" s="16">
        <v>1440</v>
      </c>
      <c r="F54" s="616">
        <v>3</v>
      </c>
      <c r="G54" s="17">
        <v>30</v>
      </c>
      <c r="H54" s="19">
        <v>0.20209271266398124</v>
      </c>
      <c r="I54" s="19">
        <v>0.1367026329840717</v>
      </c>
      <c r="J54" s="19">
        <v>0</v>
      </c>
      <c r="K54" s="125">
        <v>1.28480893866732</v>
      </c>
      <c r="L54" s="20">
        <v>7.4690442313902281</v>
      </c>
      <c r="M54" s="161">
        <f t="shared" si="2"/>
        <v>0.1063991920276238</v>
      </c>
      <c r="N54" s="19">
        <v>0</v>
      </c>
      <c r="O54" s="19">
        <v>0.12721316431264373</v>
      </c>
      <c r="P54" s="125">
        <v>2.5852099817407184</v>
      </c>
      <c r="Q54" s="19">
        <v>9.4171826166356526E-2</v>
      </c>
      <c r="R54" s="19">
        <v>0.80482186013876955</v>
      </c>
      <c r="S54" s="20">
        <v>0.34340086732767477</v>
      </c>
      <c r="T54" s="19">
        <f t="shared" si="9"/>
        <v>8.0516473248497589E-2</v>
      </c>
      <c r="U54" s="19">
        <f t="shared" si="9"/>
        <v>5.4464180061565011E-2</v>
      </c>
      <c r="V54" s="19">
        <f t="shared" si="9"/>
        <v>0</v>
      </c>
      <c r="W54" s="125">
        <f t="shared" si="9"/>
        <v>0.51188527867227407</v>
      </c>
      <c r="X54" s="20">
        <f t="shared" si="9"/>
        <v>2.9757683595869708</v>
      </c>
      <c r="Y54" s="19">
        <f t="shared" ref="Y54:AD89" si="10">(N54/1000*$G54)*(1000/$E54)*($B$1/($B$2*$F54))</f>
        <v>0</v>
      </c>
      <c r="Z54" s="19">
        <f t="shared" si="10"/>
        <v>5.0683447246642171E-2</v>
      </c>
      <c r="AA54" s="125">
        <f t="shared" si="10"/>
        <v>1.0299826628715156</v>
      </c>
      <c r="AB54" s="19">
        <f t="shared" si="10"/>
        <v>3.7519330718732091E-2</v>
      </c>
      <c r="AC54" s="19">
        <f t="shared" si="10"/>
        <v>0.32065192711532536</v>
      </c>
      <c r="AD54" s="19">
        <f t="shared" si="10"/>
        <v>0.13681555551026817</v>
      </c>
      <c r="AE54" s="22">
        <f t="shared" si="3"/>
        <v>0.89820806164381151</v>
      </c>
      <c r="AF54" s="165" t="s">
        <v>6</v>
      </c>
    </row>
    <row r="55" spans="1:32">
      <c r="A55" s="641">
        <v>53</v>
      </c>
      <c r="B55" s="131"/>
      <c r="C55" s="614">
        <v>45740</v>
      </c>
      <c r="E55" s="16">
        <v>1440</v>
      </c>
      <c r="F55" s="616">
        <v>1</v>
      </c>
      <c r="G55" s="17">
        <v>30</v>
      </c>
      <c r="H55" s="19">
        <v>0.16024922990758894</v>
      </c>
      <c r="I55" s="19">
        <v>0</v>
      </c>
      <c r="J55" s="19">
        <v>0</v>
      </c>
      <c r="K55" s="125">
        <v>0.67628931925781766</v>
      </c>
      <c r="L55" s="20">
        <v>8.1593145100450251</v>
      </c>
      <c r="M55" s="161">
        <f t="shared" si="2"/>
        <v>0</v>
      </c>
      <c r="N55" s="19">
        <v>0</v>
      </c>
      <c r="O55" s="19">
        <v>0.12037637237261681</v>
      </c>
      <c r="P55" s="125">
        <v>2.4412490701291678</v>
      </c>
      <c r="Q55" s="19">
        <v>9.6932946459443711E-2</v>
      </c>
      <c r="R55" s="19">
        <v>0.66101972401964582</v>
      </c>
      <c r="S55" s="20">
        <v>0.42280587268572567</v>
      </c>
      <c r="T55" s="19">
        <f t="shared" si="9"/>
        <v>0.19153638935610701</v>
      </c>
      <c r="U55" s="19">
        <f t="shared" si="9"/>
        <v>0</v>
      </c>
      <c r="V55" s="19">
        <f t="shared" si="9"/>
        <v>0</v>
      </c>
      <c r="W55" s="125">
        <f t="shared" si="9"/>
        <v>0.8083284671348524</v>
      </c>
      <c r="X55" s="20">
        <f t="shared" si="9"/>
        <v>9.7523441565125903</v>
      </c>
      <c r="Y55" s="19">
        <f t="shared" si="10"/>
        <v>0</v>
      </c>
      <c r="Z55" s="19">
        <f t="shared" si="10"/>
        <v>0.14387873028365405</v>
      </c>
      <c r="AA55" s="125">
        <f t="shared" si="10"/>
        <v>2.9178800589627727</v>
      </c>
      <c r="AB55" s="19">
        <f t="shared" si="10"/>
        <v>0.11585819529489948</v>
      </c>
      <c r="AC55" s="19">
        <f t="shared" si="10"/>
        <v>0.79007762661265335</v>
      </c>
      <c r="AD55" s="19">
        <f t="shared" si="10"/>
        <v>0.50535475458747681</v>
      </c>
      <c r="AE55" s="22">
        <f t="shared" si="3"/>
        <v>0.96184979537101623</v>
      </c>
      <c r="AF55" s="165" t="s">
        <v>6</v>
      </c>
    </row>
    <row r="56" spans="1:32" ht="14.5" thickBot="1">
      <c r="A56" s="641">
        <v>54</v>
      </c>
      <c r="B56" s="138"/>
      <c r="C56" s="614">
        <v>45755</v>
      </c>
      <c r="E56" s="24">
        <v>1440</v>
      </c>
      <c r="F56" s="616">
        <v>2</v>
      </c>
      <c r="G56" s="17">
        <v>30</v>
      </c>
      <c r="H56" s="74">
        <v>0.27356590483165677</v>
      </c>
      <c r="I56" s="73">
        <v>0</v>
      </c>
      <c r="J56" s="73">
        <v>0</v>
      </c>
      <c r="K56" s="129">
        <v>1.8396356504818663</v>
      </c>
      <c r="L56" s="73">
        <v>14.462805838481465</v>
      </c>
      <c r="M56" s="162">
        <f t="shared" si="2"/>
        <v>0</v>
      </c>
      <c r="N56" s="74">
        <v>0</v>
      </c>
      <c r="O56" s="73">
        <v>0.24465948299667759</v>
      </c>
      <c r="P56" s="129">
        <v>4.1429126935822005</v>
      </c>
      <c r="Q56" s="73">
        <v>0.19985811142728943</v>
      </c>
      <c r="R56" s="73">
        <v>1.6594955952288137</v>
      </c>
      <c r="S56" s="130">
        <v>0.77537326299845688</v>
      </c>
      <c r="T56" s="74">
        <f t="shared" si="9"/>
        <v>0.16348854123232992</v>
      </c>
      <c r="U56" s="73">
        <f t="shared" si="9"/>
        <v>0</v>
      </c>
      <c r="V56" s="73">
        <f t="shared" si="9"/>
        <v>0</v>
      </c>
      <c r="W56" s="129">
        <f t="shared" si="9"/>
        <v>1.0994036302928385</v>
      </c>
      <c r="X56" s="73">
        <f t="shared" si="9"/>
        <v>8.6432665288270982</v>
      </c>
      <c r="Y56" s="74">
        <f t="shared" si="10"/>
        <v>0</v>
      </c>
      <c r="Z56" s="73">
        <f t="shared" si="10"/>
        <v>0.14621347641401761</v>
      </c>
      <c r="AA56" s="129">
        <f t="shared" si="10"/>
        <v>2.4758887740175646</v>
      </c>
      <c r="AB56" s="73">
        <f t="shared" si="10"/>
        <v>0.11943926678583275</v>
      </c>
      <c r="AC56" s="73">
        <f t="shared" si="10"/>
        <v>0.99174827437794144</v>
      </c>
      <c r="AD56" s="73">
        <f t="shared" si="10"/>
        <v>0.46337881087987209</v>
      </c>
      <c r="AE56" s="22">
        <f t="shared" si="3"/>
        <v>0.94029031538664121</v>
      </c>
      <c r="AF56" s="167" t="s">
        <v>6</v>
      </c>
    </row>
    <row r="57" spans="1:32">
      <c r="A57" s="641">
        <v>55</v>
      </c>
      <c r="B57" s="131"/>
      <c r="C57" s="614">
        <v>45761</v>
      </c>
      <c r="E57" s="16">
        <v>1440</v>
      </c>
      <c r="F57" s="617">
        <v>2</v>
      </c>
      <c r="G57" s="17">
        <v>30</v>
      </c>
      <c r="H57" s="13">
        <v>0.43849766415619951</v>
      </c>
      <c r="I57" s="19">
        <v>0</v>
      </c>
      <c r="J57" s="19">
        <v>0</v>
      </c>
      <c r="K57" s="125">
        <v>2.7929429475559928</v>
      </c>
      <c r="L57" s="19">
        <v>2.0739099522674169</v>
      </c>
      <c r="M57" s="160">
        <f t="shared" si="2"/>
        <v>0</v>
      </c>
      <c r="N57" s="13">
        <v>0</v>
      </c>
      <c r="O57" s="14">
        <v>1.0047516520864901</v>
      </c>
      <c r="P57" s="159">
        <v>4.18691351547906</v>
      </c>
      <c r="Q57" s="14">
        <v>0.56177006486967096</v>
      </c>
      <c r="R57" s="14">
        <v>2.7672060129151599</v>
      </c>
      <c r="S57" s="15">
        <v>1.84531437686106</v>
      </c>
      <c r="T57" s="18">
        <f t="shared" si="9"/>
        <v>0.26205511059865583</v>
      </c>
      <c r="U57" s="19">
        <f t="shared" si="9"/>
        <v>0</v>
      </c>
      <c r="V57" s="19">
        <f t="shared" si="9"/>
        <v>0</v>
      </c>
      <c r="W57" s="125">
        <f t="shared" si="9"/>
        <v>1.669119434024638</v>
      </c>
      <c r="X57" s="19">
        <f t="shared" si="9"/>
        <v>1.2394107114775772</v>
      </c>
      <c r="Y57" s="18">
        <f t="shared" si="10"/>
        <v>0</v>
      </c>
      <c r="Z57" s="19">
        <f t="shared" si="10"/>
        <v>0.60045999519376181</v>
      </c>
      <c r="AA57" s="125">
        <f t="shared" si="10"/>
        <v>2.5021845589011664</v>
      </c>
      <c r="AB57" s="19">
        <f t="shared" si="10"/>
        <v>0.33572520109935083</v>
      </c>
      <c r="AC57" s="19">
        <f t="shared" si="10"/>
        <v>1.6537385191302512</v>
      </c>
      <c r="AD57" s="19">
        <f t="shared" si="10"/>
        <v>1.1027973525198946</v>
      </c>
      <c r="AE57" s="22">
        <f t="shared" si="3"/>
        <v>0.19808591967965683</v>
      </c>
      <c r="AF57" s="165" t="s">
        <v>6</v>
      </c>
    </row>
    <row r="58" spans="1:32">
      <c r="A58" s="641">
        <v>56</v>
      </c>
      <c r="B58" s="77"/>
      <c r="C58" s="614">
        <v>45768</v>
      </c>
      <c r="E58" s="16">
        <v>1440</v>
      </c>
      <c r="F58" s="617">
        <v>3</v>
      </c>
      <c r="G58" s="17">
        <v>30</v>
      </c>
      <c r="H58" s="18">
        <v>1.0544393358561268</v>
      </c>
      <c r="I58" s="19">
        <v>0.12208569312974044</v>
      </c>
      <c r="J58" s="19">
        <v>0</v>
      </c>
      <c r="K58" s="125">
        <v>7.8974776490829219</v>
      </c>
      <c r="L58" s="19">
        <v>5.5972855572751232</v>
      </c>
      <c r="M58" s="161">
        <f t="shared" si="2"/>
        <v>1.5458820974810531E-2</v>
      </c>
      <c r="N58" s="18">
        <v>0</v>
      </c>
      <c r="O58" s="19">
        <v>1.01694697207436</v>
      </c>
      <c r="P58" s="125">
        <v>4.1313434492233503</v>
      </c>
      <c r="Q58" s="19">
        <v>0.57101322120561904</v>
      </c>
      <c r="R58" s="19">
        <v>2.7951394489197599</v>
      </c>
      <c r="S58" s="20">
        <v>1.86590378376289</v>
      </c>
      <c r="T58" s="18">
        <f t="shared" si="9"/>
        <v>0.42010290949375229</v>
      </c>
      <c r="U58" s="19">
        <f t="shared" si="9"/>
        <v>4.8640593296647883E-2</v>
      </c>
      <c r="V58" s="19">
        <f t="shared" si="9"/>
        <v>0</v>
      </c>
      <c r="W58" s="125">
        <f t="shared" si="9"/>
        <v>3.1464620345824295</v>
      </c>
      <c r="X58" s="19">
        <f t="shared" si="9"/>
        <v>2.2300343584673326</v>
      </c>
      <c r="Y58" s="18">
        <f t="shared" si="10"/>
        <v>0</v>
      </c>
      <c r="Z58" s="19">
        <f t="shared" si="10"/>
        <v>0.4051654440816429</v>
      </c>
      <c r="AA58" s="125">
        <f t="shared" si="10"/>
        <v>1.6459831724008223</v>
      </c>
      <c r="AB58" s="19">
        <f t="shared" si="10"/>
        <v>0.22749939937807023</v>
      </c>
      <c r="AC58" s="19">
        <f t="shared" si="10"/>
        <v>1.1136214052357534</v>
      </c>
      <c r="AD58" s="19">
        <f t="shared" si="10"/>
        <v>0.7434013335226588</v>
      </c>
      <c r="AE58" s="22">
        <f t="shared" si="3"/>
        <v>0.54383805832682064</v>
      </c>
      <c r="AF58" s="165" t="s">
        <v>6</v>
      </c>
    </row>
    <row r="59" spans="1:32">
      <c r="A59" s="641">
        <v>58</v>
      </c>
      <c r="B59" s="131"/>
      <c r="C59" s="614">
        <v>45775</v>
      </c>
      <c r="E59" s="16">
        <v>1440</v>
      </c>
      <c r="F59" s="617">
        <v>3</v>
      </c>
      <c r="G59" s="17">
        <v>30</v>
      </c>
      <c r="H59" s="18">
        <v>1.0644468048316578</v>
      </c>
      <c r="I59" s="19">
        <v>0</v>
      </c>
      <c r="J59" s="19">
        <v>0</v>
      </c>
      <c r="K59" s="125">
        <v>0.60575859222704198</v>
      </c>
      <c r="L59" s="19">
        <v>7.1183574339969251</v>
      </c>
      <c r="M59" s="161">
        <f t="shared" si="2"/>
        <v>0</v>
      </c>
      <c r="N59" s="18">
        <v>0</v>
      </c>
      <c r="O59" s="19">
        <v>1.02914229206223</v>
      </c>
      <c r="P59" s="125">
        <v>4.0757733829676397</v>
      </c>
      <c r="Q59" s="19">
        <v>0.580256377541567</v>
      </c>
      <c r="R59" s="19">
        <v>2.82307288492435</v>
      </c>
      <c r="S59" s="20">
        <v>1.88649319066472</v>
      </c>
      <c r="T59" s="18">
        <f t="shared" si="9"/>
        <v>0.42409002064403539</v>
      </c>
      <c r="U59" s="19">
        <f t="shared" si="9"/>
        <v>0</v>
      </c>
      <c r="V59" s="19">
        <f t="shared" si="9"/>
        <v>0</v>
      </c>
      <c r="W59" s="125">
        <f t="shared" si="9"/>
        <v>0.24134242567762337</v>
      </c>
      <c r="X59" s="19">
        <f t="shared" si="9"/>
        <v>2.8360499908802912</v>
      </c>
      <c r="Y59" s="18">
        <f t="shared" si="10"/>
        <v>0</v>
      </c>
      <c r="Z59" s="19">
        <f t="shared" si="10"/>
        <v>0.41002422470077809</v>
      </c>
      <c r="AA59" s="125">
        <f t="shared" si="10"/>
        <v>1.6238433055341994</v>
      </c>
      <c r="AB59" s="19">
        <f t="shared" si="10"/>
        <v>0.23118199802323991</v>
      </c>
      <c r="AC59" s="19">
        <f t="shared" si="10"/>
        <v>1.1247504643846689</v>
      </c>
      <c r="AD59" s="19">
        <f t="shared" si="10"/>
        <v>0.75160443203205451</v>
      </c>
      <c r="AE59" s="22">
        <f t="shared" si="3"/>
        <v>0.37025741559062342</v>
      </c>
      <c r="AF59" s="165" t="s">
        <v>6</v>
      </c>
    </row>
    <row r="60" spans="1:32">
      <c r="A60" s="641">
        <v>59</v>
      </c>
      <c r="B60" s="131"/>
      <c r="C60" s="614">
        <v>45782</v>
      </c>
      <c r="E60" s="16">
        <v>1440</v>
      </c>
      <c r="F60" s="617">
        <v>3</v>
      </c>
      <c r="G60" s="17">
        <v>30</v>
      </c>
      <c r="H60" s="18">
        <v>1.083769730504162</v>
      </c>
      <c r="I60" s="19">
        <v>0</v>
      </c>
      <c r="J60" s="19">
        <v>0</v>
      </c>
      <c r="K60" s="125">
        <v>0.94551816792820631</v>
      </c>
      <c r="L60" s="19">
        <v>14.209254782392376</v>
      </c>
      <c r="M60" s="161">
        <f t="shared" si="2"/>
        <v>0</v>
      </c>
      <c r="N60" s="18">
        <v>0</v>
      </c>
      <c r="O60" s="19">
        <v>1.0413376120500899</v>
      </c>
      <c r="P60" s="125">
        <v>4.02020331671193</v>
      </c>
      <c r="Q60" s="19">
        <v>0.58949953387751497</v>
      </c>
      <c r="R60" s="19">
        <v>2.85100632092895</v>
      </c>
      <c r="S60" s="20">
        <v>1.90708259756655</v>
      </c>
      <c r="T60" s="18">
        <f t="shared" si="9"/>
        <v>0.43178853588233457</v>
      </c>
      <c r="U60" s="19">
        <f t="shared" si="9"/>
        <v>0</v>
      </c>
      <c r="V60" s="19">
        <f t="shared" si="9"/>
        <v>0</v>
      </c>
      <c r="W60" s="125">
        <f t="shared" si="9"/>
        <v>0.37670724129741667</v>
      </c>
      <c r="X60" s="19">
        <f t="shared" si="9"/>
        <v>5.6611595118218734</v>
      </c>
      <c r="Y60" s="18">
        <f t="shared" si="10"/>
        <v>0</v>
      </c>
      <c r="Z60" s="19">
        <f t="shared" si="10"/>
        <v>0.41488300531990924</v>
      </c>
      <c r="AA60" s="125">
        <f t="shared" si="10"/>
        <v>1.6017034386675773</v>
      </c>
      <c r="AB60" s="19">
        <f t="shared" si="10"/>
        <v>0.2348645966684095</v>
      </c>
      <c r="AC60" s="19">
        <f t="shared" si="10"/>
        <v>1.1358795235335881</v>
      </c>
      <c r="AD60" s="19">
        <f t="shared" si="10"/>
        <v>0.75980753054145</v>
      </c>
      <c r="AE60" s="22">
        <f t="shared" si="3"/>
        <v>0.67212222894591289</v>
      </c>
      <c r="AF60" s="165" t="s">
        <v>6</v>
      </c>
    </row>
    <row r="61" spans="1:32">
      <c r="A61" s="641">
        <v>60</v>
      </c>
      <c r="B61" s="131"/>
      <c r="C61" s="614">
        <v>45789</v>
      </c>
      <c r="E61" s="16">
        <v>1440</v>
      </c>
      <c r="F61" s="617">
        <v>3</v>
      </c>
      <c r="G61" s="17">
        <v>30</v>
      </c>
      <c r="H61" s="18">
        <v>0.70107205493664004</v>
      </c>
      <c r="I61" s="19">
        <v>9.8066586860985461E-2</v>
      </c>
      <c r="J61" s="19">
        <v>0</v>
      </c>
      <c r="K61" s="125">
        <v>0.55251268857238178</v>
      </c>
      <c r="L61" s="19">
        <v>32.333915916643811</v>
      </c>
      <c r="M61" s="161">
        <f t="shared" si="2"/>
        <v>0.17749200858061068</v>
      </c>
      <c r="N61" s="18">
        <v>0</v>
      </c>
      <c r="O61" s="19">
        <v>1.0535329320379601</v>
      </c>
      <c r="P61" s="125">
        <v>3.9646332504562101</v>
      </c>
      <c r="Q61" s="19">
        <v>0.59874269021346305</v>
      </c>
      <c r="R61" s="19">
        <v>2.8789397569335402</v>
      </c>
      <c r="S61" s="20">
        <v>1.9276720044683799</v>
      </c>
      <c r="T61" s="18">
        <f t="shared" si="9"/>
        <v>0.27931659985400276</v>
      </c>
      <c r="U61" s="19">
        <f t="shared" si="9"/>
        <v>3.9071056118152106E-2</v>
      </c>
      <c r="V61" s="19">
        <f t="shared" si="9"/>
        <v>0</v>
      </c>
      <c r="W61" s="125">
        <f t="shared" si="9"/>
        <v>0.22012853666258106</v>
      </c>
      <c r="X61" s="19">
        <f t="shared" si="9"/>
        <v>12.882269932465633</v>
      </c>
      <c r="Y61" s="18">
        <f t="shared" si="10"/>
        <v>0</v>
      </c>
      <c r="Z61" s="19">
        <f t="shared" si="10"/>
        <v>0.41974178593904449</v>
      </c>
      <c r="AA61" s="125">
        <f t="shared" si="10"/>
        <v>1.5795635718009511</v>
      </c>
      <c r="AB61" s="19">
        <f t="shared" si="10"/>
        <v>0.23854719531357921</v>
      </c>
      <c r="AC61" s="19">
        <f t="shared" si="10"/>
        <v>1.1470085826825034</v>
      </c>
      <c r="AD61" s="19">
        <f t="shared" si="10"/>
        <v>0.76801062905084572</v>
      </c>
      <c r="AE61" s="22">
        <f t="shared" si="3"/>
        <v>1.3835691370224987</v>
      </c>
      <c r="AF61" s="165" t="s">
        <v>6</v>
      </c>
    </row>
    <row r="62" spans="1:32">
      <c r="A62" s="641">
        <v>61</v>
      </c>
      <c r="B62" s="131"/>
      <c r="C62" s="643">
        <v>45798</v>
      </c>
      <c r="E62" s="16">
        <v>1440</v>
      </c>
      <c r="F62" s="617">
        <v>4</v>
      </c>
      <c r="G62" s="17">
        <v>30</v>
      </c>
      <c r="H62" s="18">
        <v>0.51004742731516928</v>
      </c>
      <c r="I62" s="19">
        <v>5.9683535659481458E-2</v>
      </c>
      <c r="J62" s="19">
        <v>0</v>
      </c>
      <c r="K62" s="125">
        <v>0.2408743260567956</v>
      </c>
      <c r="L62" s="19">
        <v>1.8898901596575943</v>
      </c>
      <c r="M62" s="161">
        <f t="shared" si="2"/>
        <v>0.24777873439865367</v>
      </c>
      <c r="N62" s="18">
        <v>0</v>
      </c>
      <c r="O62" s="19">
        <v>1.06572825202583</v>
      </c>
      <c r="P62" s="125">
        <v>3.9090631842004999</v>
      </c>
      <c r="Q62" s="19">
        <v>0.60798584654941201</v>
      </c>
      <c r="R62" s="19">
        <v>2.9068731929381402</v>
      </c>
      <c r="S62" s="20">
        <v>1.9482614113702099</v>
      </c>
      <c r="T62" s="18">
        <f t="shared" si="9"/>
        <v>0.15240735116895018</v>
      </c>
      <c r="U62" s="19">
        <f t="shared" si="9"/>
        <v>1.7834046582962976E-2</v>
      </c>
      <c r="V62" s="19">
        <f t="shared" si="9"/>
        <v>0</v>
      </c>
      <c r="W62" s="125">
        <f t="shared" si="9"/>
        <v>7.1975694872464718E-2</v>
      </c>
      <c r="X62" s="19">
        <f t="shared" si="9"/>
        <v>0.56471837285769988</v>
      </c>
      <c r="Y62" s="18">
        <f t="shared" si="10"/>
        <v>0</v>
      </c>
      <c r="Z62" s="19">
        <f t="shared" si="10"/>
        <v>0.31845042491863473</v>
      </c>
      <c r="AA62" s="125">
        <f t="shared" si="10"/>
        <v>1.1680677787007465</v>
      </c>
      <c r="AB62" s="19">
        <f t="shared" si="10"/>
        <v>0.18167234546906194</v>
      </c>
      <c r="AC62" s="19">
        <f t="shared" si="10"/>
        <v>0.86860323137356699</v>
      </c>
      <c r="AD62" s="19">
        <f t="shared" si="10"/>
        <v>0.58216029567018102</v>
      </c>
      <c r="AE62" s="22">
        <f t="shared" si="3"/>
        <v>0.11605775718807969</v>
      </c>
      <c r="AF62" s="165" t="s">
        <v>6</v>
      </c>
    </row>
    <row r="63" spans="1:32">
      <c r="A63" s="641">
        <v>62</v>
      </c>
      <c r="B63" s="131"/>
      <c r="C63" s="614">
        <v>45803</v>
      </c>
      <c r="E63" s="16">
        <v>1440</v>
      </c>
      <c r="F63" s="617">
        <v>5</v>
      </c>
      <c r="G63" s="17">
        <v>30</v>
      </c>
      <c r="H63" s="18">
        <v>9.1946002025541582E-2</v>
      </c>
      <c r="I63" s="19">
        <v>0</v>
      </c>
      <c r="J63" s="19">
        <v>0</v>
      </c>
      <c r="K63" s="125">
        <v>0.1189389016701498</v>
      </c>
      <c r="L63" s="19">
        <v>0.82765367761030273</v>
      </c>
      <c r="M63" s="161">
        <f t="shared" si="2"/>
        <v>0</v>
      </c>
      <c r="N63" s="18">
        <v>0</v>
      </c>
      <c r="O63" s="19">
        <v>1.0779235720136899</v>
      </c>
      <c r="P63" s="125">
        <v>3.8534931179447902</v>
      </c>
      <c r="Q63" s="19">
        <v>0.61722900288535998</v>
      </c>
      <c r="R63" s="19">
        <v>2.9348066289427299</v>
      </c>
      <c r="S63" s="20">
        <v>1.9688508182720399</v>
      </c>
      <c r="T63" s="18">
        <f t="shared" si="9"/>
        <v>2.1979519344782237E-2</v>
      </c>
      <c r="U63" s="19">
        <f t="shared" si="9"/>
        <v>0</v>
      </c>
      <c r="V63" s="19">
        <f t="shared" si="9"/>
        <v>0</v>
      </c>
      <c r="W63" s="125">
        <f t="shared" si="9"/>
        <v>2.8432121381199459E-2</v>
      </c>
      <c r="X63" s="19">
        <f t="shared" si="9"/>
        <v>0.19784905941600847</v>
      </c>
      <c r="Y63" s="18">
        <f t="shared" si="10"/>
        <v>0</v>
      </c>
      <c r="Z63" s="19">
        <f t="shared" si="10"/>
        <v>0.25767560830638636</v>
      </c>
      <c r="AA63" s="125">
        <f t="shared" si="10"/>
        <v>0.92117030284062351</v>
      </c>
      <c r="AB63" s="19">
        <f t="shared" si="10"/>
        <v>0.14754743556235131</v>
      </c>
      <c r="AC63" s="19">
        <f t="shared" si="10"/>
        <v>0.70156002058820266</v>
      </c>
      <c r="AD63" s="19">
        <f t="shared" si="10"/>
        <v>0.47065009564178212</v>
      </c>
      <c r="AE63" s="22">
        <f t="shared" si="3"/>
        <v>4.2754737086974415E-2</v>
      </c>
      <c r="AF63" s="165" t="s">
        <v>6</v>
      </c>
    </row>
    <row r="64" spans="1:32">
      <c r="A64" s="641">
        <v>63</v>
      </c>
      <c r="B64" s="1"/>
      <c r="C64" s="614">
        <v>45811</v>
      </c>
      <c r="E64" s="16">
        <v>1440</v>
      </c>
      <c r="F64" s="617">
        <v>5</v>
      </c>
      <c r="G64" s="17">
        <v>30</v>
      </c>
      <c r="H64" s="19">
        <v>0.11217671615245906</v>
      </c>
      <c r="I64" s="19">
        <v>0.25117699989555631</v>
      </c>
      <c r="J64" s="19">
        <v>0</v>
      </c>
      <c r="K64" s="125">
        <v>0.18094387172687518</v>
      </c>
      <c r="L64" s="20">
        <v>13.100470106459658</v>
      </c>
      <c r="M64" s="161">
        <f t="shared" si="2"/>
        <v>1.388148697706072</v>
      </c>
      <c r="N64" s="19">
        <v>0</v>
      </c>
      <c r="O64" s="19">
        <v>1.0901188920015601</v>
      </c>
      <c r="P64" s="125">
        <v>3.7979230516890801</v>
      </c>
      <c r="Q64" s="19">
        <v>0.62647215922130794</v>
      </c>
      <c r="R64" s="19">
        <v>2.9627400649473299</v>
      </c>
      <c r="S64" s="20">
        <v>1.9894402251738701</v>
      </c>
      <c r="T64" s="19">
        <f t="shared" si="9"/>
        <v>2.6815633615284395E-2</v>
      </c>
      <c r="U64" s="19">
        <f t="shared" si="9"/>
        <v>6.0043390757056982E-2</v>
      </c>
      <c r="V64" s="19">
        <f t="shared" si="9"/>
        <v>0</v>
      </c>
      <c r="W64" s="125">
        <f t="shared" si="9"/>
        <v>4.3254293186514685E-2</v>
      </c>
      <c r="X64" s="20">
        <f t="shared" si="9"/>
        <v>3.1316428097731142</v>
      </c>
      <c r="Y64" s="19">
        <f t="shared" si="10"/>
        <v>0</v>
      </c>
      <c r="Z64" s="19">
        <f t="shared" si="10"/>
        <v>0.26059087667786757</v>
      </c>
      <c r="AA64" s="125">
        <f t="shared" si="10"/>
        <v>0.90788638272065025</v>
      </c>
      <c r="AB64" s="19">
        <f t="shared" si="10"/>
        <v>0.14975699474945312</v>
      </c>
      <c r="AC64" s="19">
        <f t="shared" si="10"/>
        <v>0.70823745607755417</v>
      </c>
      <c r="AD64" s="19">
        <f t="shared" si="10"/>
        <v>0.47557195474741959</v>
      </c>
      <c r="AE64" s="22">
        <f t="shared" si="3"/>
        <v>0.55814081512424463</v>
      </c>
      <c r="AF64" s="165" t="s">
        <v>6</v>
      </c>
    </row>
    <row r="65" spans="1:32">
      <c r="A65" s="641">
        <v>64</v>
      </c>
      <c r="B65" s="77"/>
      <c r="C65" s="614">
        <v>45818</v>
      </c>
      <c r="E65" s="16">
        <v>1440</v>
      </c>
      <c r="F65" s="617">
        <v>4</v>
      </c>
      <c r="G65" s="17">
        <v>30</v>
      </c>
      <c r="H65" s="19">
        <v>1.4261356618827656</v>
      </c>
      <c r="I65" s="19">
        <v>8.7310896689135428E-2</v>
      </c>
      <c r="J65" s="19">
        <v>0</v>
      </c>
      <c r="K65" s="125">
        <v>0.20376354472172947</v>
      </c>
      <c r="L65" s="20">
        <v>9.3586985641660245</v>
      </c>
      <c r="M65" s="161">
        <f t="shared" si="2"/>
        <v>0.42849125346917144</v>
      </c>
      <c r="N65" s="19">
        <v>0</v>
      </c>
      <c r="O65" s="19">
        <v>1.10231421198943</v>
      </c>
      <c r="P65" s="125">
        <v>3.7423529854333699</v>
      </c>
      <c r="Q65" s="19">
        <v>0.63571531555725602</v>
      </c>
      <c r="R65" s="19">
        <v>2.9906735009519201</v>
      </c>
      <c r="S65" s="20">
        <v>2.0100296320757001</v>
      </c>
      <c r="T65" s="19">
        <f t="shared" si="9"/>
        <v>0.42614381917237359</v>
      </c>
      <c r="U65" s="19">
        <f t="shared" si="9"/>
        <v>2.6089382633733824E-2</v>
      </c>
      <c r="V65" s="19">
        <f t="shared" si="9"/>
        <v>0</v>
      </c>
      <c r="W65" s="125">
        <f t="shared" si="9"/>
        <v>6.0886616523692642E-2</v>
      </c>
      <c r="X65" s="20">
        <f t="shared" si="9"/>
        <v>2.796474175080661</v>
      </c>
      <c r="Y65" s="19">
        <f t="shared" si="10"/>
        <v>0</v>
      </c>
      <c r="Z65" s="19">
        <f t="shared" si="10"/>
        <v>0.32938268131168585</v>
      </c>
      <c r="AA65" s="125">
        <f t="shared" si="10"/>
        <v>1.118253078250846</v>
      </c>
      <c r="AB65" s="19">
        <f t="shared" si="10"/>
        <v>0.18995819242069367</v>
      </c>
      <c r="AC65" s="19">
        <f t="shared" si="10"/>
        <v>0.8936436144586295</v>
      </c>
      <c r="AD65" s="19">
        <f t="shared" si="10"/>
        <v>0.60061726731632126</v>
      </c>
      <c r="AE65" s="22">
        <f t="shared" si="3"/>
        <v>0.47246827456862184</v>
      </c>
      <c r="AF65" s="165" t="s">
        <v>6</v>
      </c>
    </row>
    <row r="66" spans="1:32">
      <c r="A66" s="641">
        <v>65</v>
      </c>
      <c r="B66" s="163"/>
      <c r="C66" s="614">
        <v>45824</v>
      </c>
      <c r="E66" s="16">
        <v>1440</v>
      </c>
      <c r="F66" s="617">
        <v>5</v>
      </c>
      <c r="G66" s="17">
        <v>30</v>
      </c>
      <c r="H66" s="19">
        <v>9.8689573401180744E-2</v>
      </c>
      <c r="I66" s="19">
        <v>0.11978886309040802</v>
      </c>
      <c r="J66" s="19">
        <v>0</v>
      </c>
      <c r="K66" s="125">
        <v>0.12101341739695473</v>
      </c>
      <c r="L66" s="20">
        <v>4.797310442486908</v>
      </c>
      <c r="M66" s="161">
        <f t="shared" si="2"/>
        <v>0.98988083856412501</v>
      </c>
      <c r="N66" s="19">
        <v>0</v>
      </c>
      <c r="O66" s="19">
        <v>1.11450953197729</v>
      </c>
      <c r="P66" s="125">
        <v>3.6867829191776602</v>
      </c>
      <c r="Q66" s="19">
        <v>0.64495847189320399</v>
      </c>
      <c r="R66" s="19">
        <v>3.01860693695652</v>
      </c>
      <c r="S66" s="20">
        <v>2.0306190389775201</v>
      </c>
      <c r="T66" s="19">
        <f t="shared" si="9"/>
        <v>2.3591557434949624E-2</v>
      </c>
      <c r="U66" s="19">
        <f t="shared" si="9"/>
        <v>2.8635303064658568E-2</v>
      </c>
      <c r="V66" s="19">
        <f t="shared" si="9"/>
        <v>0</v>
      </c>
      <c r="W66" s="125">
        <f t="shared" si="9"/>
        <v>2.8928030475057591E-2</v>
      </c>
      <c r="X66" s="20">
        <f t="shared" si="9"/>
        <v>1.1467880641974628</v>
      </c>
      <c r="Y66" s="19">
        <f t="shared" si="10"/>
        <v>0</v>
      </c>
      <c r="Z66" s="19">
        <f t="shared" si="10"/>
        <v>0.26642141342082737</v>
      </c>
      <c r="AA66" s="125">
        <f t="shared" si="10"/>
        <v>0.88131854248070352</v>
      </c>
      <c r="AB66" s="19">
        <f t="shared" si="10"/>
        <v>0.1541761131236567</v>
      </c>
      <c r="AC66" s="19">
        <f t="shared" si="10"/>
        <v>0.7215923270562552</v>
      </c>
      <c r="AD66" s="19">
        <f t="shared" si="10"/>
        <v>0.48541567295869192</v>
      </c>
      <c r="AE66" s="22">
        <f t="shared" si="3"/>
        <v>0.21042141706666742</v>
      </c>
      <c r="AF66" s="165" t="s">
        <v>6</v>
      </c>
    </row>
    <row r="67" spans="1:32">
      <c r="A67" s="641">
        <v>66</v>
      </c>
      <c r="B67" s="163"/>
      <c r="C67" s="614">
        <v>45831</v>
      </c>
      <c r="E67" s="16">
        <v>1440</v>
      </c>
      <c r="F67" s="617">
        <v>5</v>
      </c>
      <c r="G67" s="17">
        <v>30</v>
      </c>
      <c r="H67" s="19">
        <v>0.1337042709285379</v>
      </c>
      <c r="I67" s="19">
        <v>0</v>
      </c>
      <c r="J67" s="19">
        <v>0</v>
      </c>
      <c r="K67" s="125">
        <v>6.2004970056725381E-2</v>
      </c>
      <c r="L67" s="20">
        <v>3.1853699297710705</v>
      </c>
      <c r="M67" s="161">
        <f t="shared" si="2"/>
        <v>0</v>
      </c>
      <c r="N67" s="19">
        <v>0</v>
      </c>
      <c r="O67" s="19">
        <v>1.1267048519651599</v>
      </c>
      <c r="P67" s="125">
        <v>3.6312128529219501</v>
      </c>
      <c r="Q67" s="19">
        <v>0.65420162822915195</v>
      </c>
      <c r="R67" s="19">
        <v>3.0465403729611098</v>
      </c>
      <c r="S67" s="20">
        <v>2.0512084458793498</v>
      </c>
      <c r="T67" s="19">
        <f t="shared" si="9"/>
        <v>3.1961755210818746E-2</v>
      </c>
      <c r="U67" s="19">
        <f t="shared" si="9"/>
        <v>0</v>
      </c>
      <c r="V67" s="19">
        <f t="shared" si="9"/>
        <v>0</v>
      </c>
      <c r="W67" s="125">
        <f t="shared" si="9"/>
        <v>1.4822171805315225E-2</v>
      </c>
      <c r="X67" s="20">
        <f t="shared" si="9"/>
        <v>0.76145670773419882</v>
      </c>
      <c r="Y67" s="19">
        <f t="shared" si="10"/>
        <v>0</v>
      </c>
      <c r="Z67" s="19">
        <f t="shared" si="10"/>
        <v>0.26933668179230841</v>
      </c>
      <c r="AA67" s="125">
        <f t="shared" si="10"/>
        <v>0.86803462236072992</v>
      </c>
      <c r="AB67" s="19">
        <f t="shared" si="10"/>
        <v>0.15638567231075848</v>
      </c>
      <c r="AC67" s="19">
        <f t="shared" si="10"/>
        <v>0.72826976254560416</v>
      </c>
      <c r="AD67" s="19">
        <f t="shared" si="10"/>
        <v>0.49033753206432917</v>
      </c>
      <c r="AE67" s="22">
        <f t="shared" si="3"/>
        <v>0.13952888974768579</v>
      </c>
      <c r="AF67" s="165" t="s">
        <v>6</v>
      </c>
    </row>
    <row r="68" spans="1:32">
      <c r="A68" s="641">
        <v>68</v>
      </c>
      <c r="B68" s="163"/>
      <c r="C68" s="614">
        <v>45838</v>
      </c>
      <c r="E68" s="16">
        <v>1440</v>
      </c>
      <c r="F68" s="617">
        <v>5</v>
      </c>
      <c r="G68" s="17">
        <v>30</v>
      </c>
      <c r="H68" s="19">
        <v>0.23044858335597657</v>
      </c>
      <c r="I68" s="19">
        <v>9.0685230860696214E-2</v>
      </c>
      <c r="J68" s="19">
        <v>0</v>
      </c>
      <c r="K68" s="125">
        <v>0.15628018475263869</v>
      </c>
      <c r="L68" s="20">
        <v>4.2020628552110377</v>
      </c>
      <c r="M68" s="161">
        <f t="shared" si="2"/>
        <v>0.58027337889466535</v>
      </c>
      <c r="N68" s="19">
        <v>0</v>
      </c>
      <c r="O68" s="19">
        <v>1.1389001719530201</v>
      </c>
      <c r="P68" s="125">
        <v>3.5756427866662301</v>
      </c>
      <c r="Q68" s="19">
        <v>0.66344478456510003</v>
      </c>
      <c r="R68" s="19">
        <v>3.0744738089657102</v>
      </c>
      <c r="S68" s="20">
        <v>2.07179785278118</v>
      </c>
      <c r="T68" s="19">
        <f t="shared" si="9"/>
        <v>5.5088301658220075E-2</v>
      </c>
      <c r="U68" s="19">
        <f t="shared" si="9"/>
        <v>2.1678134362329553E-2</v>
      </c>
      <c r="V68" s="19">
        <f t="shared" si="9"/>
        <v>0</v>
      </c>
      <c r="W68" s="125">
        <f t="shared" si="9"/>
        <v>3.7358485070645805E-2</v>
      </c>
      <c r="X68" s="20">
        <f t="shared" si="9"/>
        <v>1.0044952448116831</v>
      </c>
      <c r="Y68" s="19">
        <f t="shared" si="10"/>
        <v>0</v>
      </c>
      <c r="Z68" s="19">
        <f t="shared" si="10"/>
        <v>0.27225195016378717</v>
      </c>
      <c r="AA68" s="125">
        <f t="shared" si="10"/>
        <v>0.85475070224075411</v>
      </c>
      <c r="AB68" s="19">
        <f t="shared" si="10"/>
        <v>0.15859523149786034</v>
      </c>
      <c r="AC68" s="19">
        <f t="shared" si="10"/>
        <v>0.7349471980349559</v>
      </c>
      <c r="AD68" s="19">
        <f t="shared" si="10"/>
        <v>0.49525939116996676</v>
      </c>
      <c r="AE68" s="22">
        <f t="shared" si="3"/>
        <v>0.19325822947998073</v>
      </c>
      <c r="AF68" s="165" t="s">
        <v>6</v>
      </c>
    </row>
    <row r="69" spans="1:32" ht="18">
      <c r="A69" s="642" t="s">
        <v>390</v>
      </c>
      <c r="B69" s="77"/>
      <c r="C69" s="614">
        <v>45843</v>
      </c>
      <c r="E69" s="16">
        <v>1440</v>
      </c>
      <c r="F69" s="617">
        <v>5</v>
      </c>
      <c r="G69" s="17">
        <v>30</v>
      </c>
      <c r="H69" s="19">
        <v>0.11386260899636884</v>
      </c>
      <c r="I69" s="19">
        <v>0</v>
      </c>
      <c r="J69" s="19">
        <v>0</v>
      </c>
      <c r="K69" s="125">
        <v>7.8370594123742116E-2</v>
      </c>
      <c r="L69" s="20">
        <v>5.7723109208856114</v>
      </c>
      <c r="M69" s="161">
        <f t="shared" si="2"/>
        <v>0</v>
      </c>
      <c r="N69" s="19">
        <v>0</v>
      </c>
      <c r="O69" s="19">
        <v>1.15109549194089</v>
      </c>
      <c r="P69" s="125">
        <v>3.52007272041052</v>
      </c>
      <c r="Q69" s="19">
        <v>0.672687940901048</v>
      </c>
      <c r="R69" s="19">
        <v>3.1024072449703</v>
      </c>
      <c r="S69" s="20">
        <v>2.0923872596830102</v>
      </c>
      <c r="T69" s="19">
        <f t="shared" si="9"/>
        <v>2.7218643137826241E-2</v>
      </c>
      <c r="U69" s="19">
        <f t="shared" si="9"/>
        <v>0</v>
      </c>
      <c r="V69" s="19">
        <f t="shared" si="9"/>
        <v>0</v>
      </c>
      <c r="W69" s="125">
        <f t="shared" si="9"/>
        <v>1.8734343545751583E-2</v>
      </c>
      <c r="X69" s="20">
        <f t="shared" si="9"/>
        <v>1.3798601000015127</v>
      </c>
      <c r="Y69" s="19">
        <f t="shared" si="10"/>
        <v>0</v>
      </c>
      <c r="Z69" s="19">
        <f t="shared" si="10"/>
        <v>0.27516721853526827</v>
      </c>
      <c r="AA69" s="125">
        <f t="shared" si="10"/>
        <v>0.84146678212078052</v>
      </c>
      <c r="AB69" s="19">
        <f t="shared" si="10"/>
        <v>0.16080479068496209</v>
      </c>
      <c r="AC69" s="19">
        <f t="shared" si="10"/>
        <v>0.74162463352430485</v>
      </c>
      <c r="AD69" s="19">
        <f t="shared" si="10"/>
        <v>0.50018125027560412</v>
      </c>
      <c r="AE69" s="22">
        <f t="shared" si="3"/>
        <v>0.2444454703867707</v>
      </c>
      <c r="AF69" s="165" t="s">
        <v>6</v>
      </c>
    </row>
    <row r="70" spans="1:32">
      <c r="A70" s="641">
        <v>69</v>
      </c>
      <c r="B70" s="163"/>
      <c r="C70" s="614">
        <v>45845</v>
      </c>
      <c r="E70" s="16">
        <v>1440</v>
      </c>
      <c r="F70" s="617">
        <v>4</v>
      </c>
      <c r="G70" s="17">
        <v>30</v>
      </c>
      <c r="H70" s="19">
        <v>0.47684830669663808</v>
      </c>
      <c r="I70" s="19">
        <v>0</v>
      </c>
      <c r="J70" s="19">
        <v>0</v>
      </c>
      <c r="K70" s="125">
        <v>0.14337208689696351</v>
      </c>
      <c r="L70" s="20">
        <v>4.3540979632972521</v>
      </c>
      <c r="M70" s="161">
        <f t="shared" ref="M70:M89" si="11">I70/K70</f>
        <v>0</v>
      </c>
      <c r="N70" s="19">
        <v>0</v>
      </c>
      <c r="O70" s="19">
        <v>1.1632908119287599</v>
      </c>
      <c r="P70" s="125">
        <v>3.4645026541548098</v>
      </c>
      <c r="Q70" s="19">
        <v>0.68193109723699596</v>
      </c>
      <c r="R70" s="19">
        <v>3.1303406809748999</v>
      </c>
      <c r="S70" s="20">
        <v>2.11297666658484</v>
      </c>
      <c r="T70" s="19">
        <f t="shared" si="9"/>
        <v>0.14248711676792014</v>
      </c>
      <c r="U70" s="19">
        <f t="shared" si="9"/>
        <v>0</v>
      </c>
      <c r="V70" s="19">
        <f t="shared" si="9"/>
        <v>0</v>
      </c>
      <c r="W70" s="125">
        <f t="shared" si="9"/>
        <v>4.284103560829957E-2</v>
      </c>
      <c r="X70" s="20">
        <f t="shared" si="9"/>
        <v>1.3010486903332708</v>
      </c>
      <c r="Y70" s="19">
        <f t="shared" si="10"/>
        <v>0</v>
      </c>
      <c r="Z70" s="19">
        <f t="shared" si="10"/>
        <v>0.34760310863343663</v>
      </c>
      <c r="AA70" s="125">
        <f t="shared" si="10"/>
        <v>1.0352285775010091</v>
      </c>
      <c r="AB70" s="19">
        <f t="shared" si="10"/>
        <v>0.20376793734007986</v>
      </c>
      <c r="AC70" s="19">
        <f t="shared" si="10"/>
        <v>0.93537758626707068</v>
      </c>
      <c r="AD70" s="19">
        <f t="shared" si="10"/>
        <v>0.63137888672655185</v>
      </c>
      <c r="AE70" s="22">
        <f t="shared" si="3"/>
        <v>0.20887690669065986</v>
      </c>
      <c r="AF70" s="165" t="s">
        <v>6</v>
      </c>
    </row>
    <row r="71" spans="1:32" ht="18">
      <c r="A71" s="641" t="s">
        <v>391</v>
      </c>
      <c r="B71" s="163"/>
      <c r="C71" s="614">
        <v>45850</v>
      </c>
      <c r="E71" s="16">
        <v>1440</v>
      </c>
      <c r="F71" s="617">
        <v>4</v>
      </c>
      <c r="G71" s="17">
        <v>30</v>
      </c>
      <c r="H71" s="19">
        <v>0.34508929674184224</v>
      </c>
      <c r="I71" s="19">
        <v>0.11135302766150607</v>
      </c>
      <c r="J71" s="19">
        <v>0</v>
      </c>
      <c r="K71" s="125">
        <v>0.37502634305684829</v>
      </c>
      <c r="L71" s="20">
        <v>12.06117284226238</v>
      </c>
      <c r="M71" s="161">
        <f t="shared" si="11"/>
        <v>0.29692054897761311</v>
      </c>
      <c r="N71" s="19">
        <v>0</v>
      </c>
      <c r="O71" s="19">
        <v>1.1754861319166201</v>
      </c>
      <c r="P71" s="125">
        <v>3.4089325878991001</v>
      </c>
      <c r="Q71" s="19">
        <v>0.69117425357294404</v>
      </c>
      <c r="R71" s="19">
        <v>3.1582741169794999</v>
      </c>
      <c r="S71" s="20">
        <v>2.1335660734866702</v>
      </c>
      <c r="T71" s="19">
        <f t="shared" si="9"/>
        <v>0.10311618648883204</v>
      </c>
      <c r="U71" s="19">
        <f t="shared" si="9"/>
        <v>3.3273415532877923E-2</v>
      </c>
      <c r="V71" s="19">
        <f t="shared" si="9"/>
        <v>0</v>
      </c>
      <c r="W71" s="125">
        <f t="shared" si="9"/>
        <v>0.11206167995933024</v>
      </c>
      <c r="X71" s="20">
        <f t="shared" si="9"/>
        <v>3.6040009348860358</v>
      </c>
      <c r="Y71" s="19">
        <f t="shared" si="10"/>
        <v>0</v>
      </c>
      <c r="Z71" s="19">
        <f t="shared" si="10"/>
        <v>0.35124719409778515</v>
      </c>
      <c r="AA71" s="125">
        <f t="shared" si="10"/>
        <v>1.0186236773510424</v>
      </c>
      <c r="AB71" s="19">
        <f t="shared" si="10"/>
        <v>0.20652988632395716</v>
      </c>
      <c r="AC71" s="19">
        <f t="shared" si="10"/>
        <v>0.94372438062876007</v>
      </c>
      <c r="AD71" s="19">
        <f t="shared" si="10"/>
        <v>0.63753121060859863</v>
      </c>
      <c r="AE71" s="22">
        <f t="shared" ref="AE71:AE89" si="12">(W71/62+X71/96*2+T71/35+U71/46)/(AA71/18+AD71/39+Z71/23+AB71/24*2+AC71/40*2)</f>
        <v>0.52789803141651181</v>
      </c>
      <c r="AF71" s="165" t="s">
        <v>6</v>
      </c>
    </row>
    <row r="72" spans="1:32">
      <c r="A72" s="641">
        <v>70</v>
      </c>
      <c r="B72" s="77"/>
      <c r="C72" s="614">
        <v>45852</v>
      </c>
      <c r="E72" s="16">
        <v>1440</v>
      </c>
      <c r="F72" s="617">
        <v>3</v>
      </c>
      <c r="G72" s="17">
        <v>30</v>
      </c>
      <c r="H72" s="19">
        <v>0.28452683842600596</v>
      </c>
      <c r="I72" s="19">
        <v>9.0896126746418768E-2</v>
      </c>
      <c r="J72" s="19">
        <v>0</v>
      </c>
      <c r="K72" s="125">
        <v>0.30841133805166748</v>
      </c>
      <c r="L72" s="20">
        <v>7.2744110911955504</v>
      </c>
      <c r="M72" s="161">
        <f t="shared" si="11"/>
        <v>0.29472368726986015</v>
      </c>
      <c r="N72" s="19">
        <v>0</v>
      </c>
      <c r="O72" s="19">
        <v>1.18768145190449</v>
      </c>
      <c r="P72" s="125">
        <v>3.35336252164339</v>
      </c>
      <c r="Q72" s="19">
        <v>0.70041740990889201</v>
      </c>
      <c r="R72" s="19">
        <v>3.1862075529840901</v>
      </c>
      <c r="S72" s="20">
        <v>2.1541554803884999</v>
      </c>
      <c r="T72" s="19">
        <f t="shared" si="9"/>
        <v>0.11335934518677065</v>
      </c>
      <c r="U72" s="19">
        <f t="shared" si="9"/>
        <v>3.6214247713814103E-2</v>
      </c>
      <c r="V72" s="19">
        <f t="shared" si="9"/>
        <v>0</v>
      </c>
      <c r="W72" s="125">
        <f t="shared" si="9"/>
        <v>0.12287525325595892</v>
      </c>
      <c r="X72" s="20">
        <f t="shared" si="9"/>
        <v>2.8982238810197889</v>
      </c>
      <c r="Y72" s="19">
        <f t="shared" si="10"/>
        <v>0</v>
      </c>
      <c r="Z72" s="19">
        <f t="shared" si="10"/>
        <v>0.47318837274951536</v>
      </c>
      <c r="AA72" s="125">
        <f t="shared" si="10"/>
        <v>1.336025036268101</v>
      </c>
      <c r="AB72" s="19">
        <f t="shared" si="10"/>
        <v>0.27905578041044582</v>
      </c>
      <c r="AC72" s="19">
        <f t="shared" si="10"/>
        <v>1.2694282333205955</v>
      </c>
      <c r="AD72" s="19">
        <f t="shared" si="10"/>
        <v>0.85824471265419378</v>
      </c>
      <c r="AE72" s="22">
        <f t="shared" si="12"/>
        <v>0.32618207670597654</v>
      </c>
      <c r="AF72" s="165" t="s">
        <v>6</v>
      </c>
    </row>
    <row r="73" spans="1:32" ht="14.5" thickBot="1">
      <c r="A73" s="641" t="s">
        <v>392</v>
      </c>
      <c r="B73" s="77"/>
      <c r="C73" s="614">
        <v>45857</v>
      </c>
      <c r="E73" s="16">
        <v>1440</v>
      </c>
      <c r="F73" s="617">
        <v>4</v>
      </c>
      <c r="G73" s="17">
        <v>30</v>
      </c>
      <c r="H73" s="74">
        <v>4.7334683694390235E-2</v>
      </c>
      <c r="I73" s="73">
        <v>0</v>
      </c>
      <c r="J73" s="73">
        <v>0</v>
      </c>
      <c r="K73" s="129">
        <v>7.6296078396937181E-2</v>
      </c>
      <c r="L73" s="73">
        <v>0.86214622415849673</v>
      </c>
      <c r="M73" s="162">
        <f t="shared" si="11"/>
        <v>0</v>
      </c>
      <c r="N73" s="74">
        <v>0</v>
      </c>
      <c r="O73" s="73">
        <v>1.19987677189236</v>
      </c>
      <c r="P73" s="129">
        <v>3.2977924553876798</v>
      </c>
      <c r="Q73" s="73">
        <v>0.70966056624483997</v>
      </c>
      <c r="R73" s="73">
        <v>3.2141409889886901</v>
      </c>
      <c r="S73" s="130">
        <v>2.1747448872903301</v>
      </c>
      <c r="T73" s="74">
        <f t="shared" si="9"/>
        <v>1.4144084204593647E-2</v>
      </c>
      <c r="U73" s="73">
        <f t="shared" si="9"/>
        <v>0</v>
      </c>
      <c r="V73" s="73">
        <f t="shared" si="9"/>
        <v>0</v>
      </c>
      <c r="W73" s="129">
        <f t="shared" si="9"/>
        <v>2.2798043064866821E-2</v>
      </c>
      <c r="X73" s="73">
        <f t="shared" si="9"/>
        <v>0.25761804747446582</v>
      </c>
      <c r="Y73" s="74">
        <f t="shared" si="10"/>
        <v>0</v>
      </c>
      <c r="Z73" s="73">
        <f t="shared" si="10"/>
        <v>0.35853536502648781</v>
      </c>
      <c r="AA73" s="129">
        <f t="shared" si="10"/>
        <v>0.98541387705110883</v>
      </c>
      <c r="AB73" s="73">
        <f t="shared" si="10"/>
        <v>0.21205378429171159</v>
      </c>
      <c r="AC73" s="73">
        <f t="shared" si="10"/>
        <v>0.96041796935213619</v>
      </c>
      <c r="AD73" s="73">
        <f t="shared" si="10"/>
        <v>0.64983585837269198</v>
      </c>
      <c r="AE73" s="22">
        <f t="shared" si="12"/>
        <v>4.0205262310654681E-2</v>
      </c>
      <c r="AF73" s="167" t="s">
        <v>6</v>
      </c>
    </row>
    <row r="74" spans="1:32">
      <c r="A74" s="641"/>
      <c r="B74" s="645"/>
      <c r="C74" s="614"/>
      <c r="E74" s="16"/>
      <c r="F74" s="617"/>
      <c r="G74" s="17"/>
      <c r="H74" s="18"/>
      <c r="I74" s="646"/>
      <c r="J74" s="646"/>
      <c r="K74" s="647"/>
      <c r="L74" s="646"/>
      <c r="M74" s="161"/>
      <c r="N74" s="18"/>
      <c r="O74" s="646"/>
      <c r="P74" s="647"/>
      <c r="Q74" s="646"/>
      <c r="R74" s="646"/>
      <c r="S74" s="20"/>
      <c r="T74" s="18"/>
      <c r="U74" s="646"/>
      <c r="V74" s="646"/>
      <c r="W74" s="647"/>
      <c r="X74" s="646"/>
      <c r="Y74" s="18"/>
      <c r="Z74" s="646"/>
      <c r="AA74" s="647"/>
      <c r="AB74" s="646"/>
      <c r="AC74" s="646"/>
      <c r="AD74" s="646"/>
      <c r="AE74" s="22"/>
      <c r="AF74" s="165"/>
    </row>
    <row r="75" spans="1:32" ht="14.5" thickBot="1">
      <c r="A75" s="641">
        <v>71</v>
      </c>
      <c r="B75" s="83"/>
      <c r="C75" s="614">
        <v>45992</v>
      </c>
      <c r="E75" s="127">
        <v>1440</v>
      </c>
      <c r="F75" s="617">
        <v>1</v>
      </c>
      <c r="G75" s="17">
        <v>30</v>
      </c>
      <c r="H75" s="13">
        <v>0.26520391275350147</v>
      </c>
      <c r="I75" s="19">
        <v>0</v>
      </c>
      <c r="J75" s="19">
        <v>0</v>
      </c>
      <c r="K75" s="125">
        <v>6.2797896067859709</v>
      </c>
      <c r="L75" s="19">
        <v>5.3942324252262832</v>
      </c>
      <c r="M75" s="160">
        <f t="shared" si="11"/>
        <v>0</v>
      </c>
      <c r="N75" s="13">
        <v>0</v>
      </c>
      <c r="O75" s="14">
        <v>1.2120720918802199</v>
      </c>
      <c r="P75" s="159">
        <v>3.2422223891319701</v>
      </c>
      <c r="Q75" s="14">
        <v>0.71890372258078805</v>
      </c>
      <c r="R75" s="14">
        <v>3.2420744249932798</v>
      </c>
      <c r="S75" s="15">
        <v>2.1953342941921501</v>
      </c>
      <c r="T75" s="18">
        <f t="shared" si="9"/>
        <v>0.31698248984541377</v>
      </c>
      <c r="U75" s="19">
        <f t="shared" si="9"/>
        <v>0</v>
      </c>
      <c r="V75" s="19">
        <f t="shared" si="9"/>
        <v>0</v>
      </c>
      <c r="W75" s="125">
        <f t="shared" si="9"/>
        <v>7.5058596405949434</v>
      </c>
      <c r="X75" s="19">
        <f t="shared" si="9"/>
        <v>6.4474057233928086</v>
      </c>
      <c r="Y75" s="18">
        <f t="shared" si="10"/>
        <v>0</v>
      </c>
      <c r="Z75" s="19">
        <f t="shared" si="10"/>
        <v>1.4487178019633447</v>
      </c>
      <c r="AA75" s="125">
        <f t="shared" si="10"/>
        <v>3.8752359076045684</v>
      </c>
      <c r="AB75" s="19">
        <f t="shared" si="10"/>
        <v>0.85926293310235546</v>
      </c>
      <c r="AC75" s="19">
        <f t="shared" si="10"/>
        <v>3.8750590548552899</v>
      </c>
      <c r="AD75" s="19">
        <f t="shared" si="10"/>
        <v>2.6239527290189431</v>
      </c>
      <c r="AE75" s="22">
        <f t="shared" si="12"/>
        <v>0.43285678049112258</v>
      </c>
      <c r="AF75" s="165" t="s">
        <v>6</v>
      </c>
    </row>
    <row r="76" spans="1:32">
      <c r="A76" s="641">
        <v>72</v>
      </c>
      <c r="B76" s="1"/>
      <c r="C76" s="614">
        <v>45999</v>
      </c>
      <c r="E76" s="16">
        <v>1440</v>
      </c>
      <c r="F76" s="617">
        <v>1</v>
      </c>
      <c r="G76" s="17">
        <v>30</v>
      </c>
      <c r="H76" s="18">
        <v>1.9293098337573797</v>
      </c>
      <c r="I76" s="19">
        <v>0</v>
      </c>
      <c r="J76" s="19">
        <v>0</v>
      </c>
      <c r="K76" s="125">
        <v>8.567519449956972</v>
      </c>
      <c r="L76" s="19">
        <v>7.4071906514514616</v>
      </c>
      <c r="M76" s="161">
        <f t="shared" si="11"/>
        <v>0</v>
      </c>
      <c r="N76" s="18">
        <v>0</v>
      </c>
      <c r="O76" s="19">
        <v>1.2242674118680901</v>
      </c>
      <c r="P76" s="125">
        <v>3.1866523228762502</v>
      </c>
      <c r="Q76" s="19">
        <v>0.72814687891673602</v>
      </c>
      <c r="R76" s="19">
        <v>3.2700078609978802</v>
      </c>
      <c r="S76" s="20">
        <v>2.2159237010939798</v>
      </c>
      <c r="T76" s="18">
        <f t="shared" si="9"/>
        <v>2.3059894872519422</v>
      </c>
      <c r="U76" s="19">
        <f t="shared" si="9"/>
        <v>0</v>
      </c>
      <c r="V76" s="19">
        <f t="shared" si="9"/>
        <v>0</v>
      </c>
      <c r="W76" s="125">
        <f t="shared" si="9"/>
        <v>10.240247283118244</v>
      </c>
      <c r="X76" s="19">
        <f t="shared" si="9"/>
        <v>8.8533751673532102</v>
      </c>
      <c r="Y76" s="18">
        <f t="shared" si="10"/>
        <v>0</v>
      </c>
      <c r="Z76" s="19">
        <f t="shared" si="10"/>
        <v>1.4632941438207505</v>
      </c>
      <c r="AA76" s="125">
        <f t="shared" si="10"/>
        <v>3.8088163070046899</v>
      </c>
      <c r="AB76" s="19">
        <f t="shared" si="10"/>
        <v>0.87031072903786444</v>
      </c>
      <c r="AC76" s="19">
        <f t="shared" si="10"/>
        <v>3.9084462323020484</v>
      </c>
      <c r="AD76" s="19">
        <f t="shared" si="10"/>
        <v>2.6485620245471302</v>
      </c>
      <c r="AE76" s="22">
        <f t="shared" si="12"/>
        <v>0.6799344564157217</v>
      </c>
      <c r="AF76" s="165" t="s">
        <v>6</v>
      </c>
    </row>
    <row r="77" spans="1:32">
      <c r="A77" s="641">
        <v>73</v>
      </c>
      <c r="B77" s="1"/>
      <c r="C77" s="614">
        <v>46006</v>
      </c>
      <c r="E77" s="16">
        <v>1440</v>
      </c>
      <c r="F77" s="617">
        <v>1</v>
      </c>
      <c r="G77" s="17">
        <v>30</v>
      </c>
      <c r="H77" s="18">
        <v>1.454017735839735</v>
      </c>
      <c r="I77" s="19">
        <v>0</v>
      </c>
      <c r="J77" s="19">
        <v>0</v>
      </c>
      <c r="K77" s="125">
        <v>4.093711034228412</v>
      </c>
      <c r="L77" s="19">
        <v>2.9293548634012239</v>
      </c>
      <c r="M77" s="161">
        <f t="shared" si="11"/>
        <v>0</v>
      </c>
      <c r="N77" s="18">
        <v>0</v>
      </c>
      <c r="O77" s="19">
        <v>1.2486580518438199</v>
      </c>
      <c r="P77" s="125">
        <v>3.0755121903648299</v>
      </c>
      <c r="Q77" s="19">
        <v>0.74663319158863195</v>
      </c>
      <c r="R77" s="19">
        <v>3.3258747330070602</v>
      </c>
      <c r="S77" s="20">
        <v>2.2571025148976398</v>
      </c>
      <c r="T77" s="18">
        <f t="shared" ref="T77:T84" si="13">(H77/1000*$G77)*(1000/$E77)*($B$1/($B$2*$F77))</f>
        <v>1.7379010641304544</v>
      </c>
      <c r="U77" s="19">
        <f t="shared" ref="U77:X89" si="14">(I77/1000*$G77)*(1000/$E77)*($B$1/($B$2*$F77))</f>
        <v>0</v>
      </c>
      <c r="V77" s="19">
        <f t="shared" si="14"/>
        <v>0</v>
      </c>
      <c r="W77" s="125">
        <f t="shared" si="14"/>
        <v>4.8929697260668847</v>
      </c>
      <c r="X77" s="19">
        <f t="shared" si="14"/>
        <v>3.5012839312998878</v>
      </c>
      <c r="Y77" s="18">
        <f t="shared" si="10"/>
        <v>0</v>
      </c>
      <c r="Z77" s="19">
        <f t="shared" si="10"/>
        <v>1.4924468275355494</v>
      </c>
      <c r="AA77" s="125">
        <f>(P77/1000*$G77)*(1000/$E77)*($B$1/($B$2*$F77))</f>
        <v>3.6759771058049551</v>
      </c>
      <c r="AB77" s="19">
        <f t="shared" si="10"/>
        <v>0.89240632090888217</v>
      </c>
      <c r="AC77" s="19">
        <f t="shared" si="10"/>
        <v>3.9752205871955399</v>
      </c>
      <c r="AD77" s="19">
        <f t="shared" si="10"/>
        <v>2.6977806156035036</v>
      </c>
      <c r="AE77" s="22">
        <f t="shared" si="12"/>
        <v>0.32959213889937616</v>
      </c>
      <c r="AF77" s="165" t="s">
        <v>6</v>
      </c>
    </row>
    <row r="78" spans="1:32">
      <c r="A78" s="641">
        <v>74</v>
      </c>
      <c r="B78" s="1"/>
      <c r="C78" s="614">
        <v>46013</v>
      </c>
      <c r="E78" s="16">
        <v>1440</v>
      </c>
      <c r="F78" s="617">
        <v>1</v>
      </c>
      <c r="G78" s="17">
        <v>30</v>
      </c>
      <c r="H78" s="18">
        <v>2.9460329026998986</v>
      </c>
      <c r="I78" s="19">
        <v>0</v>
      </c>
      <c r="J78" s="19">
        <v>0</v>
      </c>
      <c r="K78" s="125">
        <v>15.694863982016471</v>
      </c>
      <c r="L78" s="19">
        <v>10.03699616643172</v>
      </c>
      <c r="M78" s="161">
        <f t="shared" si="11"/>
        <v>0</v>
      </c>
      <c r="N78" s="18">
        <v>0</v>
      </c>
      <c r="O78" s="19">
        <v>1.2608533718316901</v>
      </c>
      <c r="P78" s="125">
        <v>3.0199421241091202</v>
      </c>
      <c r="Q78" s="19">
        <v>0.75587634792458003</v>
      </c>
      <c r="R78" s="19">
        <v>3.3538081690116601</v>
      </c>
      <c r="S78" s="20">
        <v>2.27769192179947</v>
      </c>
      <c r="T78" s="18">
        <f t="shared" si="13"/>
        <v>3.5212182013781246</v>
      </c>
      <c r="U78" s="19">
        <f t="shared" si="14"/>
        <v>0</v>
      </c>
      <c r="V78" s="19">
        <f t="shared" si="14"/>
        <v>0</v>
      </c>
      <c r="W78" s="125">
        <f t="shared" si="14"/>
        <v>18.759139000444488</v>
      </c>
      <c r="X78" s="19">
        <f t="shared" si="14"/>
        <v>11.996625548890567</v>
      </c>
      <c r="Y78" s="18">
        <f t="shared" si="10"/>
        <v>0</v>
      </c>
      <c r="Z78" s="19">
        <f t="shared" si="10"/>
        <v>1.5070231693929552</v>
      </c>
      <c r="AA78" s="125">
        <f t="shared" si="10"/>
        <v>3.6095575052050881</v>
      </c>
      <c r="AB78" s="19">
        <f t="shared" si="10"/>
        <v>0.90345411684439125</v>
      </c>
      <c r="AC78" s="19">
        <f t="shared" si="10"/>
        <v>4.0086077646422975</v>
      </c>
      <c r="AD78" s="19">
        <f t="shared" si="10"/>
        <v>2.7223899111316912</v>
      </c>
      <c r="AE78" s="22">
        <f t="shared" si="12"/>
        <v>1.0678996818722317</v>
      </c>
      <c r="AF78" s="165" t="s">
        <v>6</v>
      </c>
    </row>
    <row r="79" spans="1:32">
      <c r="A79" s="641">
        <v>75</v>
      </c>
      <c r="B79" s="1"/>
      <c r="C79" s="614">
        <v>46020</v>
      </c>
      <c r="E79" s="16">
        <v>1440</v>
      </c>
      <c r="F79" s="617">
        <v>2</v>
      </c>
      <c r="G79" s="17">
        <v>30</v>
      </c>
      <c r="H79" s="18">
        <v>0.73932885408690063</v>
      </c>
      <c r="I79" s="19">
        <v>0</v>
      </c>
      <c r="J79" s="19">
        <v>0</v>
      </c>
      <c r="K79" s="125">
        <v>6.9558512319769576</v>
      </c>
      <c r="L79" s="19">
        <v>5.6906004222665887</v>
      </c>
      <c r="M79" s="161">
        <f t="shared" si="11"/>
        <v>0</v>
      </c>
      <c r="N79" s="18">
        <v>0</v>
      </c>
      <c r="O79" s="19">
        <v>1.27304869181956</v>
      </c>
      <c r="P79" s="125">
        <v>2.9643720578534101</v>
      </c>
      <c r="Q79" s="19">
        <v>0.76511950426052899</v>
      </c>
      <c r="R79" s="19">
        <v>3.3817416050162499</v>
      </c>
      <c r="S79" s="20">
        <v>2.2982813287013002</v>
      </c>
      <c r="T79" s="18">
        <f t="shared" si="13"/>
        <v>0.44183794000212812</v>
      </c>
      <c r="U79" s="19">
        <f t="shared" si="14"/>
        <v>0</v>
      </c>
      <c r="V79" s="19">
        <f t="shared" si="14"/>
        <v>0</v>
      </c>
      <c r="W79" s="125">
        <f t="shared" si="14"/>
        <v>4.1569579792657763</v>
      </c>
      <c r="X79" s="19">
        <f t="shared" si="14"/>
        <v>3.4008183963749059</v>
      </c>
      <c r="Y79" s="18">
        <f t="shared" si="10"/>
        <v>0</v>
      </c>
      <c r="Z79" s="19">
        <f t="shared" si="10"/>
        <v>0.76079975562518032</v>
      </c>
      <c r="AA79" s="125">
        <f t="shared" si="10"/>
        <v>1.7715689523026106</v>
      </c>
      <c r="AB79" s="19">
        <f t="shared" si="10"/>
        <v>0.45725095638995072</v>
      </c>
      <c r="AC79" s="19">
        <f t="shared" si="10"/>
        <v>2.0209974710445215</v>
      </c>
      <c r="AD79" s="19">
        <f t="shared" si="10"/>
        <v>1.3734996033299391</v>
      </c>
      <c r="AE79" s="22">
        <f t="shared" si="12"/>
        <v>0.49210984102336464</v>
      </c>
      <c r="AF79" s="165" t="s">
        <v>6</v>
      </c>
    </row>
    <row r="80" spans="1:32">
      <c r="A80" s="641">
        <v>76</v>
      </c>
      <c r="B80" s="1"/>
      <c r="C80" s="614">
        <v>46027</v>
      </c>
      <c r="E80" s="16">
        <v>1440</v>
      </c>
      <c r="F80" s="617">
        <v>1</v>
      </c>
      <c r="G80" s="17">
        <v>30</v>
      </c>
      <c r="H80" s="18">
        <v>1.1434244003655856</v>
      </c>
      <c r="I80" s="19">
        <v>0</v>
      </c>
      <c r="J80" s="19">
        <v>0</v>
      </c>
      <c r="K80" s="125">
        <v>10.954826048014612</v>
      </c>
      <c r="L80" s="19">
        <v>10.263709312190237</v>
      </c>
      <c r="M80" s="161">
        <f t="shared" si="11"/>
        <v>0</v>
      </c>
      <c r="N80" s="18">
        <v>0</v>
      </c>
      <c r="O80" s="19">
        <v>1.28524401180742</v>
      </c>
      <c r="P80" s="125">
        <v>2.9088019915976902</v>
      </c>
      <c r="Q80" s="19">
        <v>0.77436266059647696</v>
      </c>
      <c r="R80" s="19">
        <v>3.4096750410208498</v>
      </c>
      <c r="S80" s="20">
        <v>2.31887073560313</v>
      </c>
      <c r="T80" s="18">
        <f t="shared" si="13"/>
        <v>1.3666672924044079</v>
      </c>
      <c r="U80" s="19">
        <f t="shared" si="14"/>
        <v>0</v>
      </c>
      <c r="V80" s="19">
        <f t="shared" si="14"/>
        <v>0</v>
      </c>
      <c r="W80" s="125">
        <f t="shared" si="14"/>
        <v>13.093653108167498</v>
      </c>
      <c r="X80" s="19">
        <f t="shared" si="14"/>
        <v>12.267602310421291</v>
      </c>
      <c r="Y80" s="18">
        <f t="shared" si="10"/>
        <v>0</v>
      </c>
      <c r="Z80" s="19">
        <f t="shared" si="10"/>
        <v>1.5361758531077536</v>
      </c>
      <c r="AA80" s="125">
        <f t="shared" si="10"/>
        <v>3.4767183040053422</v>
      </c>
      <c r="AB80" s="19">
        <f t="shared" si="10"/>
        <v>0.92554970871541031</v>
      </c>
      <c r="AC80" s="19">
        <f t="shared" si="10"/>
        <v>4.075382119535802</v>
      </c>
      <c r="AD80" s="19">
        <f t="shared" si="10"/>
        <v>2.771608502188065</v>
      </c>
      <c r="AE80" s="22">
        <f t="shared" si="12"/>
        <v>0.82661438868593218</v>
      </c>
      <c r="AF80" s="165" t="s">
        <v>6</v>
      </c>
    </row>
    <row r="81" spans="1:32">
      <c r="A81" s="641">
        <v>77</v>
      </c>
      <c r="B81" s="1"/>
      <c r="C81" s="614">
        <v>46034</v>
      </c>
      <c r="E81" s="16">
        <v>1440</v>
      </c>
      <c r="F81" s="617">
        <v>1</v>
      </c>
      <c r="G81" s="17">
        <v>30</v>
      </c>
      <c r="H81" s="18">
        <v>1.9977830200331002</v>
      </c>
      <c r="I81" s="19">
        <v>0</v>
      </c>
      <c r="J81" s="19">
        <v>0</v>
      </c>
      <c r="K81" s="125">
        <v>9.2903729298747812</v>
      </c>
      <c r="L81" s="19">
        <v>7.0125356407034376</v>
      </c>
      <c r="M81" s="161">
        <f t="shared" si="11"/>
        <v>0</v>
      </c>
      <c r="N81" s="18">
        <v>0</v>
      </c>
      <c r="O81" s="19">
        <v>1.2974393317952899</v>
      </c>
      <c r="P81" s="125">
        <v>2.85323192534198</v>
      </c>
      <c r="Q81" s="19">
        <v>0.78360581693242504</v>
      </c>
      <c r="R81" s="19">
        <v>3.43760847702544</v>
      </c>
      <c r="S81" s="20">
        <v>2.3394601425049601</v>
      </c>
      <c r="T81" s="18">
        <f t="shared" si="13"/>
        <v>2.3878314210604397</v>
      </c>
      <c r="U81" s="19">
        <f t="shared" si="14"/>
        <v>0</v>
      </c>
      <c r="V81" s="19">
        <f t="shared" si="14"/>
        <v>0</v>
      </c>
      <c r="W81" s="125">
        <f t="shared" si="14"/>
        <v>11.104231126639965</v>
      </c>
      <c r="X81" s="19">
        <f t="shared" si="14"/>
        <v>8.3816674665201827</v>
      </c>
      <c r="Y81" s="18">
        <f t="shared" si="10"/>
        <v>0</v>
      </c>
      <c r="Z81" s="19">
        <f t="shared" si="10"/>
        <v>1.5507521949651593</v>
      </c>
      <c r="AA81" s="125">
        <f t="shared" si="10"/>
        <v>3.4102987034054748</v>
      </c>
      <c r="AB81" s="19">
        <f t="shared" si="10"/>
        <v>0.93659750465091951</v>
      </c>
      <c r="AC81" s="19">
        <f t="shared" si="10"/>
        <v>4.1087692969825476</v>
      </c>
      <c r="AD81" s="19">
        <f t="shared" si="10"/>
        <v>2.7962177977162526</v>
      </c>
      <c r="AE81" s="22">
        <f t="shared" si="12"/>
        <v>0.68936805296352932</v>
      </c>
      <c r="AF81" s="165" t="s">
        <v>6</v>
      </c>
    </row>
    <row r="82" spans="1:32">
      <c r="A82" s="641">
        <v>78</v>
      </c>
      <c r="B82" s="1"/>
      <c r="C82" s="614">
        <v>46041</v>
      </c>
      <c r="E82" s="16">
        <v>1440</v>
      </c>
      <c r="F82" s="617">
        <v>1</v>
      </c>
      <c r="G82" s="17">
        <v>30</v>
      </c>
      <c r="H82" s="18">
        <v>3.5197552058888912</v>
      </c>
      <c r="I82" s="19">
        <v>0</v>
      </c>
      <c r="J82" s="19">
        <v>0</v>
      </c>
      <c r="K82" s="125">
        <v>11.284443546829173</v>
      </c>
      <c r="L82" s="19">
        <v>8.7158981457266247</v>
      </c>
      <c r="M82" s="161">
        <f t="shared" si="11"/>
        <v>0</v>
      </c>
      <c r="N82" s="18">
        <v>0</v>
      </c>
      <c r="O82" s="19">
        <v>1.3096346517831601</v>
      </c>
      <c r="P82" s="125">
        <v>2.7976618590862699</v>
      </c>
      <c r="Q82" s="19">
        <v>0.792848973268373</v>
      </c>
      <c r="R82" s="19">
        <v>3.46554191303004</v>
      </c>
      <c r="S82" s="20">
        <v>2.3600495494067899</v>
      </c>
      <c r="T82" s="18">
        <f t="shared" si="13"/>
        <v>4.2069544043493279</v>
      </c>
      <c r="U82" s="19">
        <f t="shared" si="14"/>
        <v>0</v>
      </c>
      <c r="V82" s="19">
        <f t="shared" si="14"/>
        <v>0</v>
      </c>
      <c r="W82" s="125">
        <f t="shared" si="14"/>
        <v>13.487625332732568</v>
      </c>
      <c r="X82" s="19">
        <f t="shared" si="14"/>
        <v>10.417595527858495</v>
      </c>
      <c r="Y82" s="18">
        <f t="shared" si="10"/>
        <v>0</v>
      </c>
      <c r="Z82" s="19">
        <f t="shared" si="10"/>
        <v>1.5653285368225649</v>
      </c>
      <c r="AA82" s="125">
        <f t="shared" si="10"/>
        <v>3.3438791028056079</v>
      </c>
      <c r="AB82" s="19">
        <f t="shared" si="10"/>
        <v>0.94764530058642826</v>
      </c>
      <c r="AC82" s="19">
        <f t="shared" si="10"/>
        <v>4.1421564744293047</v>
      </c>
      <c r="AD82" s="19">
        <f t="shared" si="10"/>
        <v>2.8208270932444388</v>
      </c>
      <c r="AE82" s="22">
        <f t="shared" si="12"/>
        <v>0.9061445120404229</v>
      </c>
      <c r="AF82" s="165" t="s">
        <v>6</v>
      </c>
    </row>
    <row r="83" spans="1:32">
      <c r="A83" s="641">
        <v>79</v>
      </c>
      <c r="B83" s="131"/>
      <c r="C83" s="614">
        <v>46048</v>
      </c>
      <c r="E83" s="16">
        <v>1440</v>
      </c>
      <c r="F83" s="617">
        <v>1</v>
      </c>
      <c r="G83" s="17">
        <v>30</v>
      </c>
      <c r="H83" s="19">
        <v>0.645437591087617</v>
      </c>
      <c r="I83" s="19">
        <v>0</v>
      </c>
      <c r="J83" s="19">
        <v>0</v>
      </c>
      <c r="K83" s="125">
        <v>10.604693893679421</v>
      </c>
      <c r="L83" s="20">
        <v>15.267807594419958</v>
      </c>
      <c r="M83" s="161">
        <f t="shared" si="11"/>
        <v>0</v>
      </c>
      <c r="N83" s="19">
        <v>0</v>
      </c>
      <c r="O83" s="19">
        <v>1.32182997177102</v>
      </c>
      <c r="P83" s="125">
        <v>2.7420917928305601</v>
      </c>
      <c r="Q83" s="19">
        <v>0.80209212960432097</v>
      </c>
      <c r="R83" s="19">
        <v>3.4934753490346302</v>
      </c>
      <c r="S83" s="20">
        <v>2.3806389563086099</v>
      </c>
      <c r="T83" s="19">
        <f t="shared" si="13"/>
        <v>0.77145322834260366</v>
      </c>
      <c r="U83" s="19">
        <f t="shared" si="14"/>
        <v>0</v>
      </c>
      <c r="V83" s="19">
        <f t="shared" si="14"/>
        <v>0</v>
      </c>
      <c r="W83" s="125">
        <f t="shared" si="14"/>
        <v>12.675160933961664</v>
      </c>
      <c r="X83" s="20">
        <f t="shared" si="14"/>
        <v>18.248703857767872</v>
      </c>
      <c r="Y83" s="19">
        <f t="shared" si="10"/>
        <v>0</v>
      </c>
      <c r="Z83" s="19">
        <f t="shared" si="10"/>
        <v>1.5799048786799581</v>
      </c>
      <c r="AA83" s="125">
        <f t="shared" si="10"/>
        <v>3.2774595022057409</v>
      </c>
      <c r="AB83" s="19">
        <f t="shared" si="10"/>
        <v>0.95869309652193724</v>
      </c>
      <c r="AC83" s="19">
        <f t="shared" si="10"/>
        <v>4.1755436518760511</v>
      </c>
      <c r="AD83" s="19">
        <f t="shared" si="10"/>
        <v>2.8454363887726135</v>
      </c>
      <c r="AE83" s="22">
        <f t="shared" si="12"/>
        <v>0.99062729717104958</v>
      </c>
      <c r="AF83" s="165" t="s">
        <v>6</v>
      </c>
    </row>
    <row r="84" spans="1:32">
      <c r="A84" s="641">
        <v>80</v>
      </c>
      <c r="B84" s="1"/>
      <c r="C84" s="614">
        <v>46055</v>
      </c>
      <c r="E84" s="16">
        <v>1440</v>
      </c>
      <c r="F84" s="617">
        <v>1</v>
      </c>
      <c r="G84" s="17">
        <v>30</v>
      </c>
      <c r="H84" s="19">
        <v>1.1955573944618727</v>
      </c>
      <c r="I84" s="19">
        <v>0</v>
      </c>
      <c r="J84" s="19">
        <v>0</v>
      </c>
      <c r="K84" s="125">
        <v>10.317949719885494</v>
      </c>
      <c r="L84" s="20">
        <v>11.329127145618187</v>
      </c>
      <c r="M84" s="161">
        <f t="shared" si="11"/>
        <v>0</v>
      </c>
      <c r="N84" s="19">
        <v>0</v>
      </c>
      <c r="O84" s="19">
        <v>1.33402529175889</v>
      </c>
      <c r="P84" s="125">
        <v>2.68652172657485</v>
      </c>
      <c r="Q84" s="19">
        <v>0.81133528594026905</v>
      </c>
      <c r="R84" s="19">
        <v>3.5214087850392302</v>
      </c>
      <c r="S84" s="20">
        <v>2.4012283632104401</v>
      </c>
      <c r="T84" s="19">
        <f t="shared" si="13"/>
        <v>1.4289787647358776</v>
      </c>
      <c r="U84" s="19">
        <f t="shared" si="14"/>
        <v>0</v>
      </c>
      <c r="V84" s="19">
        <f t="shared" si="14"/>
        <v>0</v>
      </c>
      <c r="W84" s="125">
        <f t="shared" si="14"/>
        <v>12.332432649095265</v>
      </c>
      <c r="X84" s="20">
        <f t="shared" si="14"/>
        <v>13.541032985177576</v>
      </c>
      <c r="Y84" s="19">
        <f t="shared" si="10"/>
        <v>0</v>
      </c>
      <c r="Z84" s="19">
        <f t="shared" si="10"/>
        <v>1.594481220537364</v>
      </c>
      <c r="AA84" s="125">
        <f t="shared" si="10"/>
        <v>3.2110399016058735</v>
      </c>
      <c r="AB84" s="19">
        <f t="shared" si="10"/>
        <v>0.96974089245744621</v>
      </c>
      <c r="AC84" s="19">
        <f t="shared" si="10"/>
        <v>4.2089308293228092</v>
      </c>
      <c r="AD84" s="19">
        <f t="shared" si="10"/>
        <v>2.8700456843008006</v>
      </c>
      <c r="AE84" s="22">
        <f t="shared" si="12"/>
        <v>0.85189740508040412</v>
      </c>
      <c r="AF84" s="165" t="s">
        <v>6</v>
      </c>
    </row>
    <row r="85" spans="1:32">
      <c r="A85" s="641">
        <v>81</v>
      </c>
      <c r="B85" s="1"/>
      <c r="C85" s="614">
        <v>46069</v>
      </c>
      <c r="E85" s="16">
        <v>1440</v>
      </c>
      <c r="F85" s="617">
        <v>1</v>
      </c>
      <c r="G85" s="17">
        <v>30</v>
      </c>
      <c r="H85" s="13">
        <v>9.7263048687103226E-2</v>
      </c>
      <c r="I85" s="19">
        <v>0</v>
      </c>
      <c r="J85" s="19">
        <v>0</v>
      </c>
      <c r="K85" s="125">
        <v>3.9936732758469291</v>
      </c>
      <c r="L85" s="19">
        <v>6.0410513927780931</v>
      </c>
      <c r="M85" s="160">
        <f t="shared" si="11"/>
        <v>0</v>
      </c>
      <c r="N85" s="13">
        <v>0</v>
      </c>
      <c r="O85" s="14">
        <v>1.3462206117467601</v>
      </c>
      <c r="P85" s="159">
        <v>2.6309516603191399</v>
      </c>
      <c r="Q85" s="14">
        <v>0.82057844227621601</v>
      </c>
      <c r="R85" s="14">
        <v>3.5493422210438199</v>
      </c>
      <c r="S85" s="15">
        <v>2.4218177701122698</v>
      </c>
      <c r="T85" s="18">
        <f>(H85/1000*$G85)*(1000/$E85)*($B$1/($B$2*$F85))</f>
        <v>0.11625274688707107</v>
      </c>
      <c r="U85" s="19">
        <f t="shared" si="14"/>
        <v>0</v>
      </c>
      <c r="V85" s="19">
        <f t="shared" si="14"/>
        <v>0</v>
      </c>
      <c r="W85" s="125">
        <f t="shared" si="14"/>
        <v>4.7734005334366465</v>
      </c>
      <c r="X85" s="19">
        <f t="shared" si="14"/>
        <v>7.2205100290007787</v>
      </c>
      <c r="Y85" s="18">
        <f t="shared" si="10"/>
        <v>0</v>
      </c>
      <c r="Z85" s="19">
        <f t="shared" si="10"/>
        <v>1.6090575623947696</v>
      </c>
      <c r="AA85" s="125">
        <f t="shared" si="10"/>
        <v>3.1446203010060061</v>
      </c>
      <c r="AB85" s="19">
        <f t="shared" si="10"/>
        <v>0.98078868839295408</v>
      </c>
      <c r="AC85" s="19">
        <f t="shared" si="10"/>
        <v>4.2423180067695547</v>
      </c>
      <c r="AD85" s="19">
        <f t="shared" si="10"/>
        <v>2.8946549798289869</v>
      </c>
      <c r="AE85" s="22">
        <f t="shared" si="12"/>
        <v>0.37657531494563418</v>
      </c>
      <c r="AF85" s="165" t="s">
        <v>6</v>
      </c>
    </row>
    <row r="86" spans="1:32">
      <c r="A86" s="641">
        <v>82</v>
      </c>
      <c r="B86" s="131"/>
      <c r="C86" s="614">
        <v>46076</v>
      </c>
      <c r="E86" s="16">
        <v>1440</v>
      </c>
      <c r="F86" s="617">
        <v>1</v>
      </c>
      <c r="G86" s="17">
        <v>30</v>
      </c>
      <c r="H86" s="18">
        <v>0.63156139614159035</v>
      </c>
      <c r="I86" s="19">
        <v>0</v>
      </c>
      <c r="J86" s="19">
        <v>0</v>
      </c>
      <c r="K86" s="125">
        <v>5.8860926221878787</v>
      </c>
      <c r="L86" s="19">
        <v>10.846064054397122</v>
      </c>
      <c r="M86" s="161">
        <f t="shared" si="11"/>
        <v>0</v>
      </c>
      <c r="N86" s="18">
        <v>0</v>
      </c>
      <c r="O86" s="19">
        <v>1.3584159317346201</v>
      </c>
      <c r="P86" s="125">
        <v>2.5753815940634199</v>
      </c>
      <c r="Q86" s="19">
        <v>0.82982159861216398</v>
      </c>
      <c r="R86" s="19">
        <v>3.5772756570484199</v>
      </c>
      <c r="S86" s="20">
        <v>2.4424071770141</v>
      </c>
      <c r="T86" s="18">
        <f t="shared" ref="T86:T89" si="15">(H86/1000*$G86)*(1000/$E86)*($B$1/($B$2*$F86))</f>
        <v>0.75486783645338162</v>
      </c>
      <c r="U86" s="19">
        <f t="shared" si="14"/>
        <v>0</v>
      </c>
      <c r="V86" s="19">
        <f t="shared" si="14"/>
        <v>0</v>
      </c>
      <c r="W86" s="125">
        <f t="shared" si="14"/>
        <v>7.0352970115340066</v>
      </c>
      <c r="X86" s="19">
        <f t="shared" si="14"/>
        <v>12.963656355180422</v>
      </c>
      <c r="Y86" s="18">
        <f t="shared" si="10"/>
        <v>0</v>
      </c>
      <c r="Z86" s="19">
        <f t="shared" si="10"/>
        <v>1.6236339042521626</v>
      </c>
      <c r="AA86" s="125">
        <f>(P86/1000*$G86)*(1000/$E86)*($B$1/($B$2*$F86))</f>
        <v>3.0782007004061271</v>
      </c>
      <c r="AB86" s="19">
        <f t="shared" si="10"/>
        <v>0.99183648432846283</v>
      </c>
      <c r="AC86" s="19">
        <f t="shared" si="10"/>
        <v>4.2757051842163127</v>
      </c>
      <c r="AD86" s="19">
        <f t="shared" si="10"/>
        <v>2.9192642753571749</v>
      </c>
      <c r="AE86" s="22">
        <f t="shared" si="12"/>
        <v>0.66098802311525151</v>
      </c>
      <c r="AF86" s="165" t="s">
        <v>6</v>
      </c>
    </row>
    <row r="87" spans="1:32">
      <c r="A87" s="641">
        <v>83</v>
      </c>
      <c r="B87" s="131"/>
      <c r="C87" s="614">
        <v>46085</v>
      </c>
      <c r="E87" s="16">
        <v>1440</v>
      </c>
      <c r="F87" s="617">
        <v>1</v>
      </c>
      <c r="G87" s="17">
        <v>30</v>
      </c>
      <c r="H87" s="18">
        <v>6.6268557172146331E-2</v>
      </c>
      <c r="I87" s="19">
        <v>0</v>
      </c>
      <c r="J87" s="19">
        <v>0</v>
      </c>
      <c r="K87" s="125">
        <v>1.5146269823150276</v>
      </c>
      <c r="L87" s="19">
        <v>8.0809673859656961</v>
      </c>
      <c r="M87" s="161">
        <f t="shared" si="11"/>
        <v>0</v>
      </c>
      <c r="N87" s="18">
        <v>0</v>
      </c>
      <c r="O87" s="19">
        <v>1.37061125172249</v>
      </c>
      <c r="P87" s="125">
        <v>2.5198115278077098</v>
      </c>
      <c r="Q87" s="19">
        <v>0.83906475494811195</v>
      </c>
      <c r="R87" s="19">
        <v>3.6052090930530101</v>
      </c>
      <c r="S87" s="20">
        <v>2.4629965839159298</v>
      </c>
      <c r="T87" s="18">
        <f t="shared" si="15"/>
        <v>7.9206871545724436E-2</v>
      </c>
      <c r="U87" s="19">
        <f t="shared" si="14"/>
        <v>0</v>
      </c>
      <c r="V87" s="19">
        <f t="shared" si="14"/>
        <v>0</v>
      </c>
      <c r="W87" s="125">
        <f t="shared" si="14"/>
        <v>1.8103436976343186</v>
      </c>
      <c r="X87" s="19">
        <f t="shared" si="14"/>
        <v>9.6587004911343346</v>
      </c>
      <c r="Y87" s="18">
        <f t="shared" si="10"/>
        <v>0</v>
      </c>
      <c r="Z87" s="19">
        <f t="shared" si="10"/>
        <v>1.6382102461095682</v>
      </c>
      <c r="AA87" s="125">
        <f t="shared" si="10"/>
        <v>3.0117810998062597</v>
      </c>
      <c r="AB87" s="19">
        <f t="shared" si="10"/>
        <v>1.0028842802639721</v>
      </c>
      <c r="AC87" s="19">
        <f t="shared" si="10"/>
        <v>4.3090923616630583</v>
      </c>
      <c r="AD87" s="19">
        <f t="shared" si="10"/>
        <v>2.9438735708853612</v>
      </c>
      <c r="AE87" s="22">
        <f t="shared" si="12"/>
        <v>0.37954701182138117</v>
      </c>
      <c r="AF87" s="165" t="s">
        <v>6</v>
      </c>
    </row>
    <row r="88" spans="1:32">
      <c r="A88" s="641">
        <v>84</v>
      </c>
      <c r="B88" s="1"/>
      <c r="C88" s="614">
        <v>46090</v>
      </c>
      <c r="E88" s="16">
        <v>1440</v>
      </c>
      <c r="F88" s="617">
        <v>1</v>
      </c>
      <c r="G88" s="17">
        <v>30</v>
      </c>
      <c r="H88" s="18">
        <v>0.45545043598547535</v>
      </c>
      <c r="I88" s="19">
        <v>0</v>
      </c>
      <c r="J88" s="19">
        <v>0</v>
      </c>
      <c r="K88" s="125">
        <v>1.7787819848615229</v>
      </c>
      <c r="L88" s="19">
        <v>8.7314700235372165</v>
      </c>
      <c r="M88" s="161">
        <f t="shared" si="11"/>
        <v>0</v>
      </c>
      <c r="N88" s="18">
        <v>0</v>
      </c>
      <c r="O88" s="19">
        <v>1.3828065717103599</v>
      </c>
      <c r="P88" s="125">
        <v>2.4642414615520001</v>
      </c>
      <c r="Q88" s="19">
        <v>0.84830791128406002</v>
      </c>
      <c r="R88" s="19">
        <v>3.63314252905761</v>
      </c>
      <c r="S88" s="20">
        <v>2.48358599081776</v>
      </c>
      <c r="T88" s="18">
        <f t="shared" si="15"/>
        <v>0.54437286275652486</v>
      </c>
      <c r="U88" s="19">
        <f t="shared" si="14"/>
        <v>0</v>
      </c>
      <c r="V88" s="19">
        <f t="shared" si="14"/>
        <v>0</v>
      </c>
      <c r="W88" s="125">
        <f t="shared" si="14"/>
        <v>2.1260724873906613</v>
      </c>
      <c r="X88" s="19">
        <f t="shared" si="14"/>
        <v>10.436207668790811</v>
      </c>
      <c r="Y88" s="18">
        <f t="shared" si="10"/>
        <v>0</v>
      </c>
      <c r="Z88" s="19">
        <f t="shared" si="10"/>
        <v>1.6527865879669736</v>
      </c>
      <c r="AA88" s="125">
        <f t="shared" si="10"/>
        <v>2.9453614992063932</v>
      </c>
      <c r="AB88" s="19">
        <f t="shared" si="10"/>
        <v>1.013932076199481</v>
      </c>
      <c r="AC88" s="19">
        <f t="shared" si="10"/>
        <v>4.3424795391098163</v>
      </c>
      <c r="AD88" s="19">
        <f t="shared" si="10"/>
        <v>2.9684828664135483</v>
      </c>
      <c r="AE88" s="22">
        <f t="shared" si="12"/>
        <v>0.43583693963690856</v>
      </c>
      <c r="AF88" s="165" t="s">
        <v>6</v>
      </c>
    </row>
    <row r="89" spans="1:32">
      <c r="A89" s="641">
        <v>85</v>
      </c>
      <c r="B89" s="1"/>
      <c r="C89" s="614">
        <v>46097</v>
      </c>
      <c r="E89" s="16">
        <v>1440</v>
      </c>
      <c r="F89" s="617">
        <v>3</v>
      </c>
      <c r="G89" s="17">
        <v>30</v>
      </c>
      <c r="H89" s="18">
        <v>0.33795667317145467</v>
      </c>
      <c r="I89" s="19">
        <v>0</v>
      </c>
      <c r="J89" s="19">
        <v>0</v>
      </c>
      <c r="K89" s="125">
        <v>0.5578142287631056</v>
      </c>
      <c r="L89" s="19">
        <v>4.398134563987421</v>
      </c>
      <c r="M89" s="161">
        <f t="shared" si="11"/>
        <v>0</v>
      </c>
      <c r="N89" s="18">
        <v>0</v>
      </c>
      <c r="O89" s="19">
        <v>1.3950018916982201</v>
      </c>
      <c r="P89" s="125">
        <v>2.4086713952962899</v>
      </c>
      <c r="Q89" s="19">
        <v>0.85755106762000799</v>
      </c>
      <c r="R89" s="19">
        <v>3.6610759650621998</v>
      </c>
      <c r="S89" s="20">
        <v>2.5041753977195902</v>
      </c>
      <c r="T89" s="18">
        <f t="shared" si="15"/>
        <v>0.13464651483898099</v>
      </c>
      <c r="U89" s="19">
        <f t="shared" si="14"/>
        <v>0</v>
      </c>
      <c r="V89" s="19">
        <f t="shared" si="14"/>
        <v>0</v>
      </c>
      <c r="W89" s="125">
        <f t="shared" si="14"/>
        <v>0.2222407420623472</v>
      </c>
      <c r="X89" s="19">
        <f t="shared" si="14"/>
        <v>1.7522763651224944</v>
      </c>
      <c r="Y89" s="18">
        <f t="shared" si="10"/>
        <v>0</v>
      </c>
      <c r="Z89" s="19">
        <f t="shared" si="10"/>
        <v>0.55578764327478913</v>
      </c>
      <c r="AA89" s="125">
        <f t="shared" si="10"/>
        <v>0.95964729953550865</v>
      </c>
      <c r="AB89" s="19">
        <f t="shared" si="10"/>
        <v>0.34165995737832999</v>
      </c>
      <c r="AC89" s="19">
        <f t="shared" si="10"/>
        <v>1.4586222388521872</v>
      </c>
      <c r="AD89" s="19">
        <f t="shared" si="10"/>
        <v>0.99769738731391189</v>
      </c>
      <c r="AE89" s="22">
        <f t="shared" si="12"/>
        <v>0.21489115712437845</v>
      </c>
      <c r="AF89" s="165" t="s">
        <v>6</v>
      </c>
    </row>
    <row r="90" spans="1:32">
      <c r="AE90" s="19">
        <f>AVERAGE(AE6:AE89)</f>
        <v>0.7637321538386469</v>
      </c>
    </row>
    <row r="92" spans="1:32" ht="16.5">
      <c r="A92" s="3">
        <f>COUNTA(A6:A89)</f>
        <v>83</v>
      </c>
      <c r="T92" s="4" t="s">
        <v>32</v>
      </c>
      <c r="U92" s="5" t="s">
        <v>33</v>
      </c>
      <c r="V92" s="5" t="s">
        <v>34</v>
      </c>
      <c r="W92" s="6" t="s">
        <v>35</v>
      </c>
      <c r="X92" s="7" t="s">
        <v>36</v>
      </c>
      <c r="Y92" s="8" t="s">
        <v>38</v>
      </c>
      <c r="Z92" s="9" t="s">
        <v>39</v>
      </c>
      <c r="AA92" s="10" t="s">
        <v>40</v>
      </c>
      <c r="AB92" s="9" t="s">
        <v>41</v>
      </c>
      <c r="AC92" s="9" t="s">
        <v>42</v>
      </c>
      <c r="AD92" s="11" t="s">
        <v>43</v>
      </c>
    </row>
    <row r="93" spans="1:32">
      <c r="S93" s="31" t="s">
        <v>45</v>
      </c>
      <c r="T93" s="13">
        <f>AVERAGE(T6:T89)</f>
        <v>0.5672546686794997</v>
      </c>
      <c r="U93" s="13">
        <f>AVERAGE(U6:U89)</f>
        <v>2.18428959397939E-2</v>
      </c>
      <c r="V93" s="13">
        <f>AVERAGE(V6:V89)</f>
        <v>0</v>
      </c>
      <c r="W93" s="13">
        <f>AVERAGE(W6:W89)</f>
        <v>2.6335815200702721</v>
      </c>
      <c r="X93" s="13">
        <f>AVERAGE(X6:X89)</f>
        <v>6.6505953149681956</v>
      </c>
      <c r="Y93" s="13">
        <f>AVERAGE(Y6:Y89)</f>
        <v>0</v>
      </c>
      <c r="Z93" s="13">
        <f>AVERAGE(Z6:Z89)</f>
        <v>0.56388608042223021</v>
      </c>
      <c r="AA93" s="13">
        <f>AVERAGE(AA6:AA89)</f>
        <v>2.375558628571564</v>
      </c>
      <c r="AB93" s="13">
        <f>AVERAGE(AB6:AB89)</f>
        <v>0.30291985396835175</v>
      </c>
      <c r="AC93" s="13">
        <f>AVERAGE(AC6:AC89)</f>
        <v>1.5719091514152475</v>
      </c>
      <c r="AD93" s="13">
        <f>AVERAGE(AD6:AD89)</f>
        <v>0.99801480053977509</v>
      </c>
      <c r="AE93" s="32">
        <f>AVERAGE(AE6:AE91)</f>
        <v>0.7637321538386469</v>
      </c>
    </row>
    <row r="94" spans="1:32">
      <c r="S94" s="33" t="s">
        <v>46</v>
      </c>
      <c r="T94" s="34">
        <f>STDEV(T6:T89)</f>
        <v>0.79261524443227849</v>
      </c>
      <c r="U94" s="34">
        <f>STDEV(U6:U89)</f>
        <v>5.1159145901489039E-2</v>
      </c>
      <c r="V94" s="34">
        <f>STDEV(V6:V89)</f>
        <v>0</v>
      </c>
      <c r="W94" s="34">
        <f>STDEV(W6:W89)</f>
        <v>3.9440602492985462</v>
      </c>
      <c r="X94" s="34">
        <f>STDEV(X6:X89)</f>
        <v>5.5895204655469923</v>
      </c>
      <c r="Y94" s="34">
        <f>STDEV(Y6:Y89)</f>
        <v>0</v>
      </c>
      <c r="Z94" s="34">
        <f>STDEV(Z6:Z89)</f>
        <v>0.52060204625119411</v>
      </c>
      <c r="AA94" s="34">
        <f>STDEV(AA6:AA89)</f>
        <v>1.7697662946145896</v>
      </c>
      <c r="AB94" s="34">
        <f>STDEV(AB6:AB89)</f>
        <v>0.31170946729795457</v>
      </c>
      <c r="AC94" s="34">
        <f>STDEV(AC6:AC89)</f>
        <v>1.3223902873023021</v>
      </c>
      <c r="AD94" s="34">
        <f>STDEV(AD6:AD89)</f>
        <v>0.88298092894869018</v>
      </c>
      <c r="AE94" s="37">
        <f>STDEV(AE6:AE90)</f>
        <v>0.65317289057263572</v>
      </c>
    </row>
    <row r="95" spans="1:32">
      <c r="S95" s="33" t="s">
        <v>47</v>
      </c>
      <c r="T95" s="18">
        <f>MIN(T6:T89)</f>
        <v>1.2672220537851117E-2</v>
      </c>
      <c r="U95" s="18">
        <f>MIN(U6:U89)</f>
        <v>0</v>
      </c>
      <c r="V95" s="18">
        <f>MIN(V6:V89)</f>
        <v>0</v>
      </c>
      <c r="W95" s="18">
        <f>MIN(W6:W89)</f>
        <v>0</v>
      </c>
      <c r="X95" s="18">
        <f>MIN(X6:X89)</f>
        <v>0.19784905941600847</v>
      </c>
      <c r="Y95" s="18">
        <f>MIN(Y6:Y89)</f>
        <v>0</v>
      </c>
      <c r="Z95" s="18">
        <f>MIN(Z6:Z89)</f>
        <v>2.2380880661712663E-2</v>
      </c>
      <c r="AA95" s="18">
        <f>MIN(AA6:AA89)</f>
        <v>0.32297702465941258</v>
      </c>
      <c r="AB95" s="18">
        <f>MIN(AB6:AB89)</f>
        <v>0</v>
      </c>
      <c r="AC95" s="18">
        <f>MIN(AC6:AC89)</f>
        <v>0</v>
      </c>
      <c r="AD95" s="18">
        <f>MIN(AD6:AD89)</f>
        <v>4.8960641631280964E-2</v>
      </c>
      <c r="AE95" s="37">
        <f>MIN(AE6:AE90)</f>
        <v>4.0205262310654681E-2</v>
      </c>
    </row>
    <row r="96" spans="1:32">
      <c r="S96" s="38" t="s">
        <v>48</v>
      </c>
      <c r="T96" s="26">
        <f>MAX(T6:T89)</f>
        <v>4.2069544043493279</v>
      </c>
      <c r="U96" s="26">
        <f>MAX(U6:U89)</f>
        <v>0.26891235641582301</v>
      </c>
      <c r="V96" s="26">
        <f>MAX(V6:V89)</f>
        <v>0</v>
      </c>
      <c r="W96" s="26">
        <f>MAX(W6:W89)</f>
        <v>18.759139000444488</v>
      </c>
      <c r="X96" s="26">
        <f>MAX(X6:X89)</f>
        <v>26.737554490789439</v>
      </c>
      <c r="Y96" s="26">
        <f>MAX(Y6:Y89)</f>
        <v>0</v>
      </c>
      <c r="Z96" s="26">
        <f>MAX(Z6:Z89)</f>
        <v>1.6600827184629288</v>
      </c>
      <c r="AA96" s="26">
        <f>MAX(AA6:AA89)</f>
        <v>8.4440370934227893</v>
      </c>
      <c r="AB96" s="26">
        <f>MAX(AB6:AB89)</f>
        <v>1.013932076199481</v>
      </c>
      <c r="AC96" s="26">
        <f>MAX(AC6:AC89)</f>
        <v>4.3424795391098163</v>
      </c>
      <c r="AD96" s="26">
        <f>MAX(AD6:AD89)</f>
        <v>2.9684828664135483</v>
      </c>
      <c r="AE96" s="39">
        <f>MAX(AE6:AE90)</f>
        <v>4.2500323922389196</v>
      </c>
    </row>
  </sheetData>
  <mergeCells count="4">
    <mergeCell ref="H4:L4"/>
    <mergeCell ref="N4:S4"/>
    <mergeCell ref="T4:X4"/>
    <mergeCell ref="Y4:AD4"/>
  </mergeCells>
  <phoneticPr fontId="13"/>
  <conditionalFormatting sqref="AE6:AE89">
    <cfRule type="cellIs" dxfId="17" priority="1" operator="notBetween">
      <formula>0.7</formula>
      <formula>1.3</formula>
    </cfRule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C0EF-A8A5-4029-A9D2-0365CE27964B}">
  <dimension ref="A1:AM84"/>
  <sheetViews>
    <sheetView zoomScale="37" zoomScaleNormal="60" workbookViewId="0">
      <selection activeCell="D85" sqref="D85"/>
    </sheetView>
  </sheetViews>
  <sheetFormatPr defaultColWidth="8.6640625" defaultRowHeight="19.5" customHeight="1"/>
  <cols>
    <col min="1" max="1" width="8.6640625" style="171"/>
    <col min="2" max="2" width="11.25" style="171" customWidth="1"/>
    <col min="3" max="4" width="11.75" style="171" bestFit="1" customWidth="1"/>
    <col min="5" max="5" width="9.4140625" style="171" customWidth="1"/>
    <col min="6" max="6" width="7.9140625" style="171" customWidth="1"/>
    <col min="7" max="7" width="8.6640625" style="175"/>
    <col min="8" max="8" width="9.33203125" style="175" bestFit="1" customWidth="1"/>
    <col min="9" max="9" width="8.6640625" style="175"/>
    <col min="10" max="10" width="7.33203125" style="174" customWidth="1"/>
    <col min="11" max="11" width="9.1640625" style="171" bestFit="1" customWidth="1"/>
    <col min="12" max="17" width="8.6640625" style="171"/>
    <col min="18" max="18" width="9" style="171" customWidth="1"/>
    <col min="19" max="19" width="8.6640625" style="171"/>
    <col min="20" max="20" width="11.08203125" style="171" bestFit="1" customWidth="1"/>
    <col min="21" max="23" width="8.6640625" style="171"/>
    <col min="24" max="24" width="12.58203125" style="171" bestFit="1" customWidth="1"/>
    <col min="25" max="33" width="8.6640625" style="171"/>
    <col min="34" max="34" width="8.6640625" style="172"/>
    <col min="35" max="35" width="8.6640625" style="173"/>
    <col min="36" max="36" width="8.6640625" style="172"/>
    <col min="37" max="37" width="11.75" style="171" bestFit="1" customWidth="1"/>
    <col min="38" max="38" width="11.25" style="171" customWidth="1"/>
    <col min="39" max="16384" width="8.6640625" style="171"/>
  </cols>
  <sheetData>
    <row r="1" spans="1:39" ht="19.5" customHeight="1">
      <c r="A1" s="180"/>
      <c r="B1" s="245" t="s">
        <v>0</v>
      </c>
      <c r="C1" s="246" t="s">
        <v>1</v>
      </c>
      <c r="D1" s="245" t="s">
        <v>1</v>
      </c>
      <c r="E1" s="611" t="s">
        <v>384</v>
      </c>
      <c r="F1" s="610" t="s">
        <v>382</v>
      </c>
      <c r="G1" s="244" t="s">
        <v>78</v>
      </c>
      <c r="H1" s="244" t="s">
        <v>79</v>
      </c>
      <c r="I1" s="244" t="s">
        <v>80</v>
      </c>
      <c r="J1" s="244" t="s">
        <v>80</v>
      </c>
      <c r="K1" s="639" t="s">
        <v>26</v>
      </c>
      <c r="L1" s="635"/>
      <c r="M1" s="635"/>
      <c r="N1" s="636"/>
      <c r="O1" s="640" t="s">
        <v>243</v>
      </c>
      <c r="P1" s="637"/>
      <c r="Q1" s="637"/>
      <c r="R1" s="637"/>
      <c r="S1" s="638"/>
      <c r="T1" s="243"/>
      <c r="U1" s="243"/>
      <c r="V1" s="243"/>
      <c r="W1" s="243"/>
      <c r="X1" s="243"/>
      <c r="Y1" s="242"/>
      <c r="Z1" s="241" t="s">
        <v>81</v>
      </c>
      <c r="AA1" s="221" t="s">
        <v>52</v>
      </c>
      <c r="AB1" s="211"/>
      <c r="AC1" s="211"/>
      <c r="AD1" s="211"/>
      <c r="AE1" s="258" t="s">
        <v>40</v>
      </c>
      <c r="AF1" s="240"/>
      <c r="AG1" s="222" t="s">
        <v>82</v>
      </c>
      <c r="AH1" s="238"/>
      <c r="AI1" s="239"/>
      <c r="AJ1" s="238"/>
      <c r="AK1" s="205"/>
      <c r="AL1" s="245" t="s">
        <v>0</v>
      </c>
    </row>
    <row r="2" spans="1:39" ht="19.5" customHeight="1">
      <c r="A2" s="180"/>
      <c r="B2" s="237"/>
      <c r="C2" s="236"/>
      <c r="D2" s="237"/>
      <c r="E2" s="236" t="s">
        <v>383</v>
      </c>
      <c r="F2" s="237" t="s">
        <v>381</v>
      </c>
      <c r="G2" s="235" t="s">
        <v>83</v>
      </c>
      <c r="H2" s="235" t="s">
        <v>84</v>
      </c>
      <c r="I2" s="257" t="s">
        <v>85</v>
      </c>
      <c r="J2" s="235" t="s">
        <v>86</v>
      </c>
      <c r="K2" s="221" t="s">
        <v>32</v>
      </c>
      <c r="L2" s="220" t="s">
        <v>33</v>
      </c>
      <c r="M2" s="219" t="s">
        <v>87</v>
      </c>
      <c r="N2" s="218" t="s">
        <v>88</v>
      </c>
      <c r="O2" s="217" t="s">
        <v>39</v>
      </c>
      <c r="P2" s="217" t="s">
        <v>40</v>
      </c>
      <c r="Q2" s="217" t="s">
        <v>41</v>
      </c>
      <c r="R2" s="217" t="s">
        <v>42</v>
      </c>
      <c r="S2" s="289" t="s">
        <v>43</v>
      </c>
      <c r="T2" s="214" t="s">
        <v>244</v>
      </c>
      <c r="U2" s="214" t="s">
        <v>89</v>
      </c>
      <c r="V2" s="214" t="s">
        <v>90</v>
      </c>
      <c r="W2" s="214" t="s">
        <v>91</v>
      </c>
      <c r="X2" s="214" t="s">
        <v>92</v>
      </c>
      <c r="Y2" s="213" t="s">
        <v>44</v>
      </c>
      <c r="Z2" s="212"/>
      <c r="AA2" s="233" t="s">
        <v>55</v>
      </c>
      <c r="AB2" s="233" t="s">
        <v>46</v>
      </c>
      <c r="AC2" s="234" t="s">
        <v>56</v>
      </c>
      <c r="AD2" s="288" t="s">
        <v>46</v>
      </c>
      <c r="AE2" s="232" t="s">
        <v>56</v>
      </c>
      <c r="AF2" s="231" t="s">
        <v>46</v>
      </c>
      <c r="AG2" s="256" t="s">
        <v>93</v>
      </c>
      <c r="AH2" s="229" t="s">
        <v>94</v>
      </c>
      <c r="AI2" s="230" t="s">
        <v>95</v>
      </c>
      <c r="AJ2" s="229" t="s">
        <v>96</v>
      </c>
      <c r="AK2" s="228" t="s">
        <v>97</v>
      </c>
      <c r="AL2" s="237"/>
    </row>
    <row r="3" spans="1:39" ht="19.5" customHeight="1">
      <c r="A3" s="180"/>
      <c r="B3" s="400">
        <v>1</v>
      </c>
      <c r="C3" s="410" t="s">
        <v>254</v>
      </c>
      <c r="D3" s="479">
        <v>45327</v>
      </c>
      <c r="E3" s="497">
        <v>1440</v>
      </c>
      <c r="F3" s="400">
        <v>30</v>
      </c>
      <c r="G3" s="184"/>
      <c r="H3" s="184"/>
      <c r="I3" s="184"/>
      <c r="J3" s="184"/>
      <c r="K3" s="253"/>
      <c r="L3" s="251"/>
      <c r="M3" s="388"/>
      <c r="N3" s="389"/>
      <c r="O3" s="388"/>
      <c r="P3" s="388"/>
      <c r="Q3" s="388"/>
      <c r="R3" s="388"/>
      <c r="S3" s="389"/>
      <c r="T3" s="450"/>
      <c r="U3" s="388"/>
      <c r="V3" s="388"/>
      <c r="W3" s="388"/>
      <c r="X3" s="387"/>
      <c r="Y3" s="390"/>
      <c r="Z3" s="479"/>
      <c r="AA3" s="251"/>
      <c r="AB3" s="251"/>
      <c r="AC3" s="251"/>
      <c r="AD3" s="393"/>
      <c r="AE3" s="251"/>
      <c r="AF3" s="393"/>
      <c r="AG3" s="409"/>
      <c r="AH3" s="191"/>
      <c r="AI3" s="226"/>
      <c r="AJ3" s="191"/>
      <c r="AK3" s="287"/>
      <c r="AL3" s="400"/>
    </row>
    <row r="4" spans="1:39" ht="19.5" customHeight="1">
      <c r="A4" s="180"/>
      <c r="B4" s="319">
        <v>2</v>
      </c>
      <c r="C4" s="396" t="s">
        <v>256</v>
      </c>
      <c r="D4" s="457">
        <v>45334</v>
      </c>
      <c r="E4" s="329">
        <v>1440</v>
      </c>
      <c r="F4" s="319">
        <v>30</v>
      </c>
      <c r="G4" s="184"/>
      <c r="H4" s="184"/>
      <c r="I4" s="184"/>
      <c r="J4" s="184"/>
      <c r="K4" s="253"/>
      <c r="L4" s="251"/>
      <c r="M4" s="388"/>
      <c r="N4" s="389"/>
      <c r="O4" s="388"/>
      <c r="P4" s="388"/>
      <c r="Q4" s="388"/>
      <c r="R4" s="388"/>
      <c r="S4" s="389"/>
      <c r="T4" s="450"/>
      <c r="U4" s="388"/>
      <c r="V4" s="388"/>
      <c r="W4" s="388"/>
      <c r="X4" s="387"/>
      <c r="Y4" s="390"/>
      <c r="Z4" s="457"/>
      <c r="AA4" s="251"/>
      <c r="AB4" s="251"/>
      <c r="AC4" s="251"/>
      <c r="AD4" s="393"/>
      <c r="AE4" s="251"/>
      <c r="AF4" s="393"/>
      <c r="AG4" s="395"/>
      <c r="AH4" s="184"/>
      <c r="AI4" s="224"/>
      <c r="AJ4" s="184"/>
      <c r="AK4" s="247"/>
      <c r="AL4" s="319"/>
    </row>
    <row r="5" spans="1:39" ht="19.5" customHeight="1">
      <c r="A5" s="180"/>
      <c r="B5" s="319">
        <v>3</v>
      </c>
      <c r="C5" s="396" t="s">
        <v>258</v>
      </c>
      <c r="D5" s="457">
        <v>45341</v>
      </c>
      <c r="E5" s="329">
        <v>1440</v>
      </c>
      <c r="F5" s="400">
        <v>30</v>
      </c>
      <c r="G5" s="184"/>
      <c r="H5" s="184"/>
      <c r="I5" s="184"/>
      <c r="J5" s="184"/>
      <c r="K5" s="253"/>
      <c r="L5" s="251"/>
      <c r="M5" s="388"/>
      <c r="N5" s="389"/>
      <c r="O5" s="388"/>
      <c r="P5" s="388"/>
      <c r="Q5" s="388"/>
      <c r="R5" s="388"/>
      <c r="S5" s="389"/>
      <c r="T5" s="450"/>
      <c r="U5" s="388"/>
      <c r="V5" s="388"/>
      <c r="W5" s="388"/>
      <c r="X5" s="387"/>
      <c r="Y5" s="390"/>
      <c r="Z5" s="457"/>
      <c r="AA5" s="251"/>
      <c r="AB5" s="251"/>
      <c r="AC5" s="251"/>
      <c r="AD5" s="393"/>
      <c r="AE5" s="251"/>
      <c r="AF5" s="393"/>
      <c r="AG5" s="395"/>
      <c r="AH5" s="184"/>
      <c r="AI5" s="224"/>
      <c r="AJ5" s="184"/>
      <c r="AK5" s="247"/>
      <c r="AL5" s="319"/>
    </row>
    <row r="6" spans="1:39" s="180" customFormat="1" ht="19.5" customHeight="1">
      <c r="B6" s="319">
        <v>4</v>
      </c>
      <c r="C6" s="396" t="s">
        <v>259</v>
      </c>
      <c r="D6" s="457">
        <v>45348</v>
      </c>
      <c r="E6" s="329">
        <v>1440</v>
      </c>
      <c r="F6" s="319">
        <v>30</v>
      </c>
      <c r="G6" s="184"/>
      <c r="H6" s="184"/>
      <c r="I6" s="184"/>
      <c r="J6" s="184"/>
      <c r="K6" s="253"/>
      <c r="L6" s="251"/>
      <c r="M6" s="388"/>
      <c r="N6" s="389"/>
      <c r="O6" s="388"/>
      <c r="P6" s="388"/>
      <c r="Q6" s="388"/>
      <c r="R6" s="388"/>
      <c r="S6" s="389"/>
      <c r="T6" s="450"/>
      <c r="U6" s="388"/>
      <c r="V6" s="388"/>
      <c r="W6" s="388"/>
      <c r="X6" s="387"/>
      <c r="Y6" s="390"/>
      <c r="Z6" s="457"/>
      <c r="AA6" s="251"/>
      <c r="AB6" s="251"/>
      <c r="AC6" s="251"/>
      <c r="AD6" s="393"/>
      <c r="AE6" s="251"/>
      <c r="AF6" s="393"/>
      <c r="AG6" s="395"/>
      <c r="AH6" s="184"/>
      <c r="AI6" s="224"/>
      <c r="AJ6" s="184"/>
      <c r="AK6" s="247"/>
      <c r="AL6" s="319"/>
      <c r="AM6" s="174"/>
    </row>
    <row r="7" spans="1:39" ht="19.5" customHeight="1">
      <c r="B7" s="319">
        <v>5</v>
      </c>
      <c r="C7" s="396" t="s">
        <v>261</v>
      </c>
      <c r="D7" s="457">
        <v>45354</v>
      </c>
      <c r="E7" s="329">
        <v>1440</v>
      </c>
      <c r="F7" s="400">
        <v>30</v>
      </c>
      <c r="G7" s="184"/>
      <c r="H7" s="184"/>
      <c r="I7" s="184"/>
      <c r="J7" s="184"/>
      <c r="K7" s="253"/>
      <c r="L7" s="251"/>
      <c r="M7" s="388"/>
      <c r="N7" s="389"/>
      <c r="O7" s="388"/>
      <c r="P7" s="388"/>
      <c r="Q7" s="388"/>
      <c r="R7" s="388"/>
      <c r="S7" s="389"/>
      <c r="T7" s="450"/>
      <c r="U7" s="388"/>
      <c r="V7" s="388"/>
      <c r="W7" s="388"/>
      <c r="X7" s="387"/>
      <c r="Y7" s="390"/>
      <c r="Z7" s="457"/>
      <c r="AA7" s="251"/>
      <c r="AB7" s="251"/>
      <c r="AC7" s="251"/>
      <c r="AD7" s="393"/>
      <c r="AE7" s="251"/>
      <c r="AF7" s="393"/>
      <c r="AG7" s="395"/>
      <c r="AH7" s="184"/>
      <c r="AI7" s="224"/>
      <c r="AJ7" s="184"/>
      <c r="AK7" s="247"/>
      <c r="AL7" s="319"/>
    </row>
    <row r="8" spans="1:39" ht="19.5" customHeight="1">
      <c r="B8" s="319">
        <v>6</v>
      </c>
      <c r="C8" s="396" t="s">
        <v>263</v>
      </c>
      <c r="D8" s="457">
        <v>45362</v>
      </c>
      <c r="E8" s="329">
        <v>1440</v>
      </c>
      <c r="F8" s="319">
        <v>30</v>
      </c>
      <c r="G8" s="184"/>
      <c r="H8" s="184"/>
      <c r="I8" s="184"/>
      <c r="J8" s="184"/>
      <c r="K8" s="253"/>
      <c r="L8" s="251"/>
      <c r="M8" s="388"/>
      <c r="N8" s="389"/>
      <c r="O8" s="388"/>
      <c r="P8" s="388"/>
      <c r="Q8" s="388"/>
      <c r="R8" s="388"/>
      <c r="S8" s="389"/>
      <c r="T8" s="450"/>
      <c r="U8" s="388"/>
      <c r="V8" s="388"/>
      <c r="W8" s="388"/>
      <c r="X8" s="387"/>
      <c r="Y8" s="390"/>
      <c r="Z8" s="457"/>
      <c r="AA8" s="251"/>
      <c r="AB8" s="251"/>
      <c r="AC8" s="251"/>
      <c r="AD8" s="393"/>
      <c r="AE8" s="251"/>
      <c r="AF8" s="393"/>
      <c r="AG8" s="395"/>
      <c r="AH8" s="184"/>
      <c r="AI8" s="224"/>
      <c r="AJ8" s="184"/>
      <c r="AK8" s="247"/>
      <c r="AL8" s="319"/>
    </row>
    <row r="9" spans="1:39" ht="19.5" customHeight="1">
      <c r="B9" s="319">
        <v>7</v>
      </c>
      <c r="C9" s="396" t="s">
        <v>265</v>
      </c>
      <c r="D9" s="457">
        <v>45376</v>
      </c>
      <c r="E9" s="329">
        <v>1440</v>
      </c>
      <c r="F9" s="400">
        <v>30</v>
      </c>
      <c r="G9" s="184"/>
      <c r="H9" s="184"/>
      <c r="I9" s="184"/>
      <c r="J9" s="184"/>
      <c r="K9" s="253"/>
      <c r="L9" s="251"/>
      <c r="M9" s="388"/>
      <c r="N9" s="389"/>
      <c r="O9" s="388"/>
      <c r="P9" s="388"/>
      <c r="Q9" s="388"/>
      <c r="R9" s="388"/>
      <c r="S9" s="389"/>
      <c r="T9" s="450"/>
      <c r="U9" s="388"/>
      <c r="V9" s="388"/>
      <c r="W9" s="388"/>
      <c r="X9" s="387"/>
      <c r="Y9" s="390"/>
      <c r="Z9" s="457"/>
      <c r="AA9" s="251"/>
      <c r="AB9" s="251"/>
      <c r="AC9" s="251"/>
      <c r="AD9" s="393"/>
      <c r="AE9" s="251"/>
      <c r="AF9" s="393"/>
      <c r="AG9" s="395"/>
      <c r="AH9" s="184"/>
      <c r="AI9" s="224"/>
      <c r="AJ9" s="184"/>
      <c r="AK9" s="247"/>
      <c r="AL9" s="319"/>
    </row>
    <row r="10" spans="1:39" ht="19.5" customHeight="1">
      <c r="B10" s="319">
        <v>8</v>
      </c>
      <c r="C10" s="396" t="s">
        <v>267</v>
      </c>
      <c r="D10" s="457">
        <v>45383</v>
      </c>
      <c r="E10" s="329">
        <v>1440</v>
      </c>
      <c r="F10" s="319">
        <v>30</v>
      </c>
      <c r="G10" s="184"/>
      <c r="H10" s="184"/>
      <c r="I10" s="184"/>
      <c r="J10" s="184"/>
      <c r="K10" s="253"/>
      <c r="L10" s="251"/>
      <c r="M10" s="388"/>
      <c r="N10" s="389"/>
      <c r="O10" s="388"/>
      <c r="P10" s="388"/>
      <c r="Q10" s="388"/>
      <c r="R10" s="388"/>
      <c r="S10" s="389"/>
      <c r="T10" s="450"/>
      <c r="U10" s="388"/>
      <c r="V10" s="388"/>
      <c r="W10" s="388"/>
      <c r="X10" s="387"/>
      <c r="Y10" s="390"/>
      <c r="Z10" s="457"/>
      <c r="AA10" s="251"/>
      <c r="AB10" s="251"/>
      <c r="AC10" s="251"/>
      <c r="AD10" s="393"/>
      <c r="AE10" s="251"/>
      <c r="AF10" s="393"/>
      <c r="AG10" s="395"/>
      <c r="AH10" s="184"/>
      <c r="AI10" s="224"/>
      <c r="AJ10" s="184"/>
      <c r="AK10" s="247"/>
      <c r="AL10" s="319"/>
    </row>
    <row r="11" spans="1:39" ht="19.5" customHeight="1">
      <c r="B11" s="319">
        <v>9</v>
      </c>
      <c r="C11" s="396" t="s">
        <v>269</v>
      </c>
      <c r="D11" s="457">
        <v>45396</v>
      </c>
      <c r="E11" s="329">
        <v>1440</v>
      </c>
      <c r="F11" s="400">
        <v>30</v>
      </c>
      <c r="G11" s="184"/>
      <c r="H11" s="184"/>
      <c r="I11" s="184"/>
      <c r="J11" s="184"/>
      <c r="K11" s="253"/>
      <c r="L11" s="251"/>
      <c r="M11" s="388"/>
      <c r="N11" s="389"/>
      <c r="O11" s="388"/>
      <c r="P11" s="388"/>
      <c r="Q11" s="388"/>
      <c r="R11" s="388"/>
      <c r="S11" s="389"/>
      <c r="T11" s="450"/>
      <c r="U11" s="388"/>
      <c r="V11" s="388"/>
      <c r="W11" s="388"/>
      <c r="X11" s="387"/>
      <c r="Y11" s="390"/>
      <c r="Z11" s="457"/>
      <c r="AA11" s="251"/>
      <c r="AB11" s="251"/>
      <c r="AC11" s="251"/>
      <c r="AD11" s="393"/>
      <c r="AE11" s="251"/>
      <c r="AF11" s="393"/>
      <c r="AG11" s="395"/>
      <c r="AH11" s="184"/>
      <c r="AI11" s="224"/>
      <c r="AJ11" s="184"/>
      <c r="AK11" s="247"/>
      <c r="AL11" s="319"/>
    </row>
    <row r="12" spans="1:39" ht="19.5" customHeight="1">
      <c r="B12" s="319">
        <v>10</v>
      </c>
      <c r="C12" s="396" t="s">
        <v>270</v>
      </c>
      <c r="D12" s="457">
        <v>45404</v>
      </c>
      <c r="E12" s="329">
        <v>1440</v>
      </c>
      <c r="F12" s="319">
        <v>30</v>
      </c>
      <c r="G12" s="184"/>
      <c r="H12" s="184"/>
      <c r="I12" s="184"/>
      <c r="J12" s="184"/>
      <c r="K12" s="253"/>
      <c r="L12" s="251"/>
      <c r="M12" s="388"/>
      <c r="N12" s="389"/>
      <c r="O12" s="388"/>
      <c r="P12" s="388"/>
      <c r="Q12" s="388"/>
      <c r="R12" s="388"/>
      <c r="S12" s="389"/>
      <c r="T12" s="450"/>
      <c r="U12" s="388"/>
      <c r="V12" s="388"/>
      <c r="W12" s="388"/>
      <c r="X12" s="387"/>
      <c r="Y12" s="390"/>
      <c r="Z12" s="457"/>
      <c r="AA12" s="251"/>
      <c r="AB12" s="251"/>
      <c r="AC12" s="251"/>
      <c r="AD12" s="393"/>
      <c r="AE12" s="251"/>
      <c r="AF12" s="393"/>
      <c r="AG12" s="395"/>
      <c r="AH12" s="184"/>
      <c r="AI12" s="224"/>
      <c r="AJ12" s="184"/>
      <c r="AK12" s="247"/>
      <c r="AL12" s="319"/>
    </row>
    <row r="13" spans="1:39" ht="19.5" customHeight="1">
      <c r="B13" s="319">
        <v>11</v>
      </c>
      <c r="C13" s="396" t="s">
        <v>272</v>
      </c>
      <c r="D13" s="457">
        <v>45411</v>
      </c>
      <c r="E13" s="329">
        <v>1440</v>
      </c>
      <c r="F13" s="400">
        <v>30</v>
      </c>
      <c r="G13" s="184"/>
      <c r="H13" s="184"/>
      <c r="I13" s="184"/>
      <c r="J13" s="184"/>
      <c r="K13" s="253"/>
      <c r="L13" s="251"/>
      <c r="M13" s="388"/>
      <c r="N13" s="389"/>
      <c r="O13" s="388"/>
      <c r="P13" s="388"/>
      <c r="Q13" s="388"/>
      <c r="R13" s="388"/>
      <c r="S13" s="389"/>
      <c r="T13" s="450"/>
      <c r="U13" s="388"/>
      <c r="V13" s="388"/>
      <c r="W13" s="388"/>
      <c r="X13" s="387"/>
      <c r="Y13" s="390"/>
      <c r="Z13" s="457"/>
      <c r="AA13" s="251"/>
      <c r="AB13" s="251"/>
      <c r="AC13" s="251"/>
      <c r="AD13" s="393"/>
      <c r="AE13" s="251"/>
      <c r="AF13" s="393"/>
      <c r="AG13" s="395"/>
      <c r="AH13" s="184"/>
      <c r="AI13" s="224"/>
      <c r="AJ13" s="184"/>
      <c r="AK13" s="247"/>
      <c r="AL13" s="319"/>
    </row>
    <row r="14" spans="1:39" ht="19.5" customHeight="1">
      <c r="B14" s="319">
        <v>12</v>
      </c>
      <c r="C14" s="396" t="s">
        <v>274</v>
      </c>
      <c r="D14" s="457">
        <v>45424</v>
      </c>
      <c r="E14" s="329">
        <v>1440</v>
      </c>
      <c r="F14" s="319">
        <v>30</v>
      </c>
      <c r="G14" s="184"/>
      <c r="H14" s="184"/>
      <c r="I14" s="184"/>
      <c r="J14" s="184"/>
      <c r="K14" s="253"/>
      <c r="L14" s="251"/>
      <c r="M14" s="388"/>
      <c r="N14" s="389"/>
      <c r="O14" s="388"/>
      <c r="P14" s="388"/>
      <c r="Q14" s="388"/>
      <c r="R14" s="388"/>
      <c r="S14" s="389"/>
      <c r="T14" s="450"/>
      <c r="U14" s="388"/>
      <c r="V14" s="388"/>
      <c r="W14" s="388"/>
      <c r="X14" s="387"/>
      <c r="Y14" s="390"/>
      <c r="Z14" s="457"/>
      <c r="AA14" s="251"/>
      <c r="AB14" s="251"/>
      <c r="AC14" s="251"/>
      <c r="AD14" s="393"/>
      <c r="AE14" s="251"/>
      <c r="AF14" s="393"/>
      <c r="AG14" s="395"/>
      <c r="AH14" s="184"/>
      <c r="AI14" s="224"/>
      <c r="AJ14" s="184"/>
      <c r="AK14" s="247"/>
      <c r="AL14" s="319"/>
    </row>
    <row r="15" spans="1:39" ht="19.5" customHeight="1">
      <c r="B15" s="319">
        <v>13</v>
      </c>
      <c r="C15" s="396" t="s">
        <v>275</v>
      </c>
      <c r="D15" s="457">
        <v>45446</v>
      </c>
      <c r="E15" s="329">
        <v>1440</v>
      </c>
      <c r="F15" s="400">
        <v>30</v>
      </c>
      <c r="G15" s="184"/>
      <c r="H15" s="184"/>
      <c r="I15" s="184"/>
      <c r="J15" s="184"/>
      <c r="K15" s="253"/>
      <c r="L15" s="251"/>
      <c r="M15" s="388"/>
      <c r="N15" s="389"/>
      <c r="O15" s="388"/>
      <c r="P15" s="388"/>
      <c r="Q15" s="388"/>
      <c r="R15" s="388"/>
      <c r="S15" s="389"/>
      <c r="T15" s="450"/>
      <c r="U15" s="388"/>
      <c r="V15" s="388"/>
      <c r="W15" s="388"/>
      <c r="X15" s="387"/>
      <c r="Y15" s="390"/>
      <c r="Z15" s="457"/>
      <c r="AA15" s="251"/>
      <c r="AB15" s="251"/>
      <c r="AC15" s="251"/>
      <c r="AD15" s="393"/>
      <c r="AE15" s="251"/>
      <c r="AF15" s="393"/>
      <c r="AG15" s="395"/>
      <c r="AH15" s="184"/>
      <c r="AI15" s="224"/>
      <c r="AJ15" s="184"/>
      <c r="AK15" s="247"/>
      <c r="AL15" s="319"/>
    </row>
    <row r="16" spans="1:39" ht="19.5" customHeight="1">
      <c r="B16" s="319">
        <v>14</v>
      </c>
      <c r="C16" s="396" t="s">
        <v>277</v>
      </c>
      <c r="D16" s="457">
        <v>45453</v>
      </c>
      <c r="E16" s="329">
        <v>1440</v>
      </c>
      <c r="F16" s="319">
        <v>30</v>
      </c>
      <c r="G16" s="184"/>
      <c r="H16" s="184"/>
      <c r="I16" s="184"/>
      <c r="J16" s="184"/>
      <c r="K16" s="253"/>
      <c r="L16" s="251"/>
      <c r="M16" s="388"/>
      <c r="N16" s="389"/>
      <c r="O16" s="388"/>
      <c r="P16" s="388"/>
      <c r="Q16" s="388"/>
      <c r="R16" s="388"/>
      <c r="S16" s="389"/>
      <c r="T16" s="450"/>
      <c r="U16" s="388"/>
      <c r="V16" s="388"/>
      <c r="W16" s="388"/>
      <c r="X16" s="387"/>
      <c r="Y16" s="390"/>
      <c r="Z16" s="457"/>
      <c r="AA16" s="251"/>
      <c r="AB16" s="251"/>
      <c r="AC16" s="251"/>
      <c r="AD16" s="393"/>
      <c r="AE16" s="251"/>
      <c r="AF16" s="393"/>
      <c r="AG16" s="395"/>
      <c r="AH16" s="184"/>
      <c r="AI16" s="224"/>
      <c r="AJ16" s="184"/>
      <c r="AK16" s="247"/>
      <c r="AL16" s="319"/>
    </row>
    <row r="17" spans="2:38" ht="19.5" customHeight="1">
      <c r="B17" s="319">
        <v>15</v>
      </c>
      <c r="C17" s="396" t="s">
        <v>279</v>
      </c>
      <c r="D17" s="457">
        <v>45467</v>
      </c>
      <c r="E17" s="329">
        <v>1440</v>
      </c>
      <c r="F17" s="400">
        <v>30</v>
      </c>
      <c r="G17" s="184"/>
      <c r="H17" s="184"/>
      <c r="I17" s="184"/>
      <c r="J17" s="184"/>
      <c r="K17" s="253"/>
      <c r="L17" s="251"/>
      <c r="M17" s="388"/>
      <c r="N17" s="389"/>
      <c r="O17" s="388"/>
      <c r="P17" s="388"/>
      <c r="Q17" s="388"/>
      <c r="R17" s="388"/>
      <c r="S17" s="389"/>
      <c r="T17" s="450"/>
      <c r="U17" s="388"/>
      <c r="V17" s="388"/>
      <c r="W17" s="388"/>
      <c r="X17" s="387"/>
      <c r="Y17" s="390"/>
      <c r="Z17" s="457"/>
      <c r="AA17" s="251"/>
      <c r="AB17" s="251"/>
      <c r="AC17" s="251"/>
      <c r="AD17" s="393"/>
      <c r="AE17" s="251"/>
      <c r="AF17" s="393"/>
      <c r="AG17" s="395"/>
      <c r="AH17" s="184"/>
      <c r="AI17" s="224"/>
      <c r="AJ17" s="184"/>
      <c r="AK17" s="247"/>
      <c r="AL17" s="319"/>
    </row>
    <row r="18" spans="2:38" ht="19.5" customHeight="1">
      <c r="B18" s="319">
        <v>16</v>
      </c>
      <c r="C18" s="396" t="s">
        <v>281</v>
      </c>
      <c r="D18" s="457">
        <v>45481</v>
      </c>
      <c r="E18" s="329">
        <v>1440</v>
      </c>
      <c r="F18" s="319">
        <v>30</v>
      </c>
      <c r="G18" s="184"/>
      <c r="H18" s="184"/>
      <c r="I18" s="184"/>
      <c r="J18" s="184"/>
      <c r="K18" s="253"/>
      <c r="L18" s="251"/>
      <c r="M18" s="388"/>
      <c r="N18" s="389"/>
      <c r="O18" s="388"/>
      <c r="P18" s="388"/>
      <c r="Q18" s="388"/>
      <c r="R18" s="388"/>
      <c r="S18" s="389"/>
      <c r="T18" s="450"/>
      <c r="U18" s="388"/>
      <c r="V18" s="388"/>
      <c r="W18" s="388"/>
      <c r="X18" s="387"/>
      <c r="Y18" s="390"/>
      <c r="Z18" s="457"/>
      <c r="AA18" s="251"/>
      <c r="AB18" s="251"/>
      <c r="AC18" s="251"/>
      <c r="AD18" s="393"/>
      <c r="AE18" s="251"/>
      <c r="AF18" s="393"/>
      <c r="AG18" s="395"/>
      <c r="AH18" s="184"/>
      <c r="AI18" s="224"/>
      <c r="AJ18" s="184"/>
      <c r="AK18" s="247"/>
      <c r="AL18" s="319"/>
    </row>
    <row r="19" spans="2:38" ht="19.5" customHeight="1">
      <c r="B19" s="319">
        <v>17</v>
      </c>
      <c r="C19" s="396" t="s">
        <v>282</v>
      </c>
      <c r="D19" s="457">
        <v>45487</v>
      </c>
      <c r="E19" s="329">
        <v>1440</v>
      </c>
      <c r="F19" s="400">
        <v>30</v>
      </c>
      <c r="G19" s="184"/>
      <c r="H19" s="184"/>
      <c r="I19" s="184"/>
      <c r="J19" s="184"/>
      <c r="K19" s="253"/>
      <c r="L19" s="251"/>
      <c r="M19" s="388"/>
      <c r="N19" s="389"/>
      <c r="O19" s="388"/>
      <c r="P19" s="388"/>
      <c r="Q19" s="388"/>
      <c r="R19" s="388"/>
      <c r="S19" s="389"/>
      <c r="T19" s="450"/>
      <c r="U19" s="388"/>
      <c r="V19" s="388"/>
      <c r="W19" s="388"/>
      <c r="X19" s="387"/>
      <c r="Y19" s="390"/>
      <c r="Z19" s="457"/>
      <c r="AA19" s="251"/>
      <c r="AB19" s="251"/>
      <c r="AC19" s="251"/>
      <c r="AD19" s="393"/>
      <c r="AE19" s="251"/>
      <c r="AF19" s="393"/>
      <c r="AG19" s="395"/>
      <c r="AH19" s="184"/>
      <c r="AI19" s="224"/>
      <c r="AJ19" s="184"/>
      <c r="AK19" s="247"/>
      <c r="AL19" s="319"/>
    </row>
    <row r="20" spans="2:38" ht="19.5" customHeight="1">
      <c r="B20" s="319">
        <v>18</v>
      </c>
      <c r="C20" s="396" t="s">
        <v>284</v>
      </c>
      <c r="D20" s="457">
        <v>45496</v>
      </c>
      <c r="E20" s="329">
        <v>1440</v>
      </c>
      <c r="F20" s="319">
        <v>30</v>
      </c>
      <c r="G20" s="184"/>
      <c r="H20" s="184"/>
      <c r="I20" s="184"/>
      <c r="J20" s="184"/>
      <c r="K20" s="253"/>
      <c r="L20" s="251"/>
      <c r="M20" s="388"/>
      <c r="N20" s="389"/>
      <c r="O20" s="388"/>
      <c r="P20" s="388"/>
      <c r="Q20" s="388"/>
      <c r="R20" s="388"/>
      <c r="S20" s="389"/>
      <c r="T20" s="450"/>
      <c r="U20" s="388"/>
      <c r="V20" s="388"/>
      <c r="W20" s="388"/>
      <c r="X20" s="387"/>
      <c r="Y20" s="390"/>
      <c r="Z20" s="457"/>
      <c r="AA20" s="251"/>
      <c r="AB20" s="251"/>
      <c r="AC20" s="251"/>
      <c r="AD20" s="393"/>
      <c r="AE20" s="251"/>
      <c r="AF20" s="393"/>
      <c r="AG20" s="395"/>
      <c r="AH20" s="184"/>
      <c r="AI20" s="224"/>
      <c r="AJ20" s="184"/>
      <c r="AK20" s="247"/>
      <c r="AL20" s="319"/>
    </row>
    <row r="21" spans="2:38" ht="19.5" customHeight="1">
      <c r="B21" s="319">
        <v>19</v>
      </c>
      <c r="C21" s="396" t="s">
        <v>286</v>
      </c>
      <c r="D21" s="457">
        <v>45502</v>
      </c>
      <c r="E21" s="329">
        <v>1440</v>
      </c>
      <c r="F21" s="400">
        <v>30</v>
      </c>
      <c r="G21" s="184"/>
      <c r="H21" s="184"/>
      <c r="I21" s="184"/>
      <c r="J21" s="184"/>
      <c r="K21" s="253"/>
      <c r="L21" s="251"/>
      <c r="M21" s="388"/>
      <c r="N21" s="389"/>
      <c r="O21" s="388"/>
      <c r="P21" s="388"/>
      <c r="Q21" s="388"/>
      <c r="R21" s="388"/>
      <c r="S21" s="389"/>
      <c r="T21" s="450"/>
      <c r="U21" s="388"/>
      <c r="V21" s="388"/>
      <c r="W21" s="388"/>
      <c r="X21" s="387"/>
      <c r="Y21" s="390"/>
      <c r="Z21" s="457"/>
      <c r="AA21" s="251"/>
      <c r="AB21" s="251"/>
      <c r="AC21" s="251"/>
      <c r="AD21" s="393"/>
      <c r="AE21" s="251"/>
      <c r="AF21" s="393"/>
      <c r="AG21" s="395"/>
      <c r="AH21" s="184"/>
      <c r="AI21" s="224"/>
      <c r="AJ21" s="184"/>
      <c r="AK21" s="247"/>
      <c r="AL21" s="319"/>
    </row>
    <row r="22" spans="2:38" ht="19.5" customHeight="1">
      <c r="B22" s="319">
        <v>20</v>
      </c>
      <c r="C22" s="396" t="s">
        <v>287</v>
      </c>
      <c r="D22" s="457">
        <v>45524</v>
      </c>
      <c r="E22" s="329">
        <v>1440</v>
      </c>
      <c r="F22" s="319">
        <v>30</v>
      </c>
      <c r="G22" s="184"/>
      <c r="H22" s="184"/>
      <c r="I22" s="184"/>
      <c r="J22" s="184"/>
      <c r="K22" s="253"/>
      <c r="L22" s="251"/>
      <c r="M22" s="388"/>
      <c r="N22" s="389"/>
      <c r="O22" s="388"/>
      <c r="P22" s="388"/>
      <c r="Q22" s="388"/>
      <c r="R22" s="388"/>
      <c r="S22" s="389"/>
      <c r="T22" s="450"/>
      <c r="U22" s="388"/>
      <c r="V22" s="388"/>
      <c r="W22" s="388"/>
      <c r="X22" s="387"/>
      <c r="Y22" s="390"/>
      <c r="Z22" s="457"/>
      <c r="AA22" s="251"/>
      <c r="AB22" s="251"/>
      <c r="AC22" s="251"/>
      <c r="AD22" s="393"/>
      <c r="AE22" s="251"/>
      <c r="AF22" s="393"/>
      <c r="AG22" s="395"/>
      <c r="AH22" s="184"/>
      <c r="AI22" s="224"/>
      <c r="AJ22" s="184"/>
      <c r="AK22" s="247"/>
      <c r="AL22" s="319"/>
    </row>
    <row r="23" spans="2:38" ht="19.5" customHeight="1">
      <c r="B23" s="319">
        <v>21</v>
      </c>
      <c r="C23" s="396" t="s">
        <v>289</v>
      </c>
      <c r="D23" s="457">
        <v>45531</v>
      </c>
      <c r="E23" s="329">
        <v>1440</v>
      </c>
      <c r="F23" s="400">
        <v>30</v>
      </c>
      <c r="G23" s="184"/>
      <c r="H23" s="184"/>
      <c r="I23" s="184"/>
      <c r="J23" s="184"/>
      <c r="K23" s="253"/>
      <c r="L23" s="251"/>
      <c r="M23" s="388"/>
      <c r="N23" s="389"/>
      <c r="O23" s="388"/>
      <c r="P23" s="388"/>
      <c r="Q23" s="388"/>
      <c r="R23" s="388"/>
      <c r="S23" s="389"/>
      <c r="T23" s="450"/>
      <c r="U23" s="388"/>
      <c r="V23" s="388"/>
      <c r="W23" s="388"/>
      <c r="X23" s="387"/>
      <c r="Y23" s="390"/>
      <c r="Z23" s="457"/>
      <c r="AA23" s="251"/>
      <c r="AB23" s="251"/>
      <c r="AC23" s="251"/>
      <c r="AD23" s="393"/>
      <c r="AE23" s="251"/>
      <c r="AF23" s="393"/>
      <c r="AG23" s="395"/>
      <c r="AH23" s="184"/>
      <c r="AI23" s="224"/>
      <c r="AJ23" s="184"/>
      <c r="AK23" s="247"/>
      <c r="AL23" s="319"/>
    </row>
    <row r="24" spans="2:38" ht="19.5" customHeight="1">
      <c r="B24" s="319">
        <v>22</v>
      </c>
      <c r="C24" s="396" t="s">
        <v>291</v>
      </c>
      <c r="D24" s="457">
        <v>45544</v>
      </c>
      <c r="E24" s="329">
        <v>1440</v>
      </c>
      <c r="F24" s="319">
        <v>30</v>
      </c>
      <c r="G24" s="184"/>
      <c r="H24" s="184"/>
      <c r="I24" s="184"/>
      <c r="J24" s="184"/>
      <c r="K24" s="253"/>
      <c r="L24" s="251"/>
      <c r="M24" s="388"/>
      <c r="N24" s="389"/>
      <c r="O24" s="388"/>
      <c r="P24" s="388"/>
      <c r="Q24" s="388"/>
      <c r="R24" s="388"/>
      <c r="S24" s="389"/>
      <c r="T24" s="450"/>
      <c r="U24" s="388"/>
      <c r="V24" s="388"/>
      <c r="W24" s="388"/>
      <c r="X24" s="387"/>
      <c r="Y24" s="390"/>
      <c r="Z24" s="457"/>
      <c r="AA24" s="251"/>
      <c r="AB24" s="251"/>
      <c r="AC24" s="251"/>
      <c r="AD24" s="393"/>
      <c r="AE24" s="251"/>
      <c r="AF24" s="393"/>
      <c r="AG24" s="395"/>
      <c r="AH24" s="184"/>
      <c r="AI24" s="224"/>
      <c r="AJ24" s="184"/>
      <c r="AK24" s="247"/>
      <c r="AL24" s="319"/>
    </row>
    <row r="25" spans="2:38" ht="19.5" customHeight="1">
      <c r="B25" s="319">
        <v>23</v>
      </c>
      <c r="C25" s="396" t="s">
        <v>292</v>
      </c>
      <c r="D25" s="457">
        <v>45552</v>
      </c>
      <c r="E25" s="329">
        <v>1440</v>
      </c>
      <c r="F25" s="400">
        <v>30</v>
      </c>
      <c r="G25" s="184"/>
      <c r="H25" s="184"/>
      <c r="I25" s="184"/>
      <c r="J25" s="184"/>
      <c r="K25" s="253"/>
      <c r="L25" s="251"/>
      <c r="M25" s="388"/>
      <c r="N25" s="389"/>
      <c r="O25" s="388"/>
      <c r="P25" s="388"/>
      <c r="Q25" s="388"/>
      <c r="R25" s="388"/>
      <c r="S25" s="389"/>
      <c r="T25" s="450"/>
      <c r="U25" s="388"/>
      <c r="V25" s="388"/>
      <c r="W25" s="388"/>
      <c r="X25" s="387"/>
      <c r="Y25" s="390"/>
      <c r="Z25" s="457"/>
      <c r="AA25" s="251"/>
      <c r="AB25" s="251"/>
      <c r="AC25" s="251"/>
      <c r="AD25" s="393"/>
      <c r="AE25" s="251"/>
      <c r="AF25" s="393"/>
      <c r="AG25" s="395"/>
      <c r="AH25" s="184"/>
      <c r="AI25" s="224"/>
      <c r="AJ25" s="184"/>
      <c r="AK25" s="247"/>
      <c r="AL25" s="319"/>
    </row>
    <row r="26" spans="2:38" ht="19.5" customHeight="1">
      <c r="B26" s="319">
        <v>24</v>
      </c>
      <c r="C26" s="396" t="s">
        <v>293</v>
      </c>
      <c r="D26" s="457">
        <v>45559</v>
      </c>
      <c r="E26" s="329">
        <v>1440</v>
      </c>
      <c r="F26" s="319">
        <v>30</v>
      </c>
      <c r="G26" s="184"/>
      <c r="H26" s="184"/>
      <c r="I26" s="184"/>
      <c r="J26" s="184"/>
      <c r="K26" s="253"/>
      <c r="L26" s="251"/>
      <c r="M26" s="388"/>
      <c r="N26" s="389"/>
      <c r="O26" s="388"/>
      <c r="P26" s="388"/>
      <c r="Q26" s="388"/>
      <c r="R26" s="388"/>
      <c r="S26" s="389"/>
      <c r="T26" s="450"/>
      <c r="U26" s="388"/>
      <c r="V26" s="388"/>
      <c r="W26" s="388"/>
      <c r="X26" s="387"/>
      <c r="Y26" s="390"/>
      <c r="Z26" s="457"/>
      <c r="AA26" s="251"/>
      <c r="AB26" s="251"/>
      <c r="AC26" s="251"/>
      <c r="AD26" s="393"/>
      <c r="AE26" s="251"/>
      <c r="AF26" s="393"/>
      <c r="AG26" s="395"/>
      <c r="AH26" s="184"/>
      <c r="AI26" s="224"/>
      <c r="AJ26" s="184"/>
      <c r="AK26" s="247"/>
      <c r="AL26" s="319"/>
    </row>
    <row r="27" spans="2:38" ht="19.5" customHeight="1">
      <c r="B27" s="319">
        <v>25</v>
      </c>
      <c r="C27" s="396" t="s">
        <v>295</v>
      </c>
      <c r="D27" s="457">
        <v>45565</v>
      </c>
      <c r="E27" s="329">
        <v>1440</v>
      </c>
      <c r="F27" s="400">
        <v>30</v>
      </c>
      <c r="G27" s="184"/>
      <c r="H27" s="184"/>
      <c r="I27" s="184"/>
      <c r="J27" s="184"/>
      <c r="K27" s="253"/>
      <c r="L27" s="251"/>
      <c r="M27" s="388"/>
      <c r="N27" s="389"/>
      <c r="O27" s="388"/>
      <c r="P27" s="388"/>
      <c r="Q27" s="388"/>
      <c r="R27" s="388"/>
      <c r="S27" s="389"/>
      <c r="T27" s="450"/>
      <c r="U27" s="388"/>
      <c r="V27" s="388"/>
      <c r="W27" s="388"/>
      <c r="X27" s="387"/>
      <c r="Y27" s="390"/>
      <c r="Z27" s="457"/>
      <c r="AA27" s="251"/>
      <c r="AB27" s="251"/>
      <c r="AC27" s="251"/>
      <c r="AD27" s="393"/>
      <c r="AE27" s="251"/>
      <c r="AF27" s="393"/>
      <c r="AG27" s="395"/>
      <c r="AH27" s="184"/>
      <c r="AI27" s="224"/>
      <c r="AJ27" s="184"/>
      <c r="AK27" s="247"/>
      <c r="AL27" s="319"/>
    </row>
    <row r="28" spans="2:38" ht="19.5" customHeight="1">
      <c r="B28" s="319">
        <v>26</v>
      </c>
      <c r="C28" s="396" t="s">
        <v>296</v>
      </c>
      <c r="D28" s="457">
        <v>45571</v>
      </c>
      <c r="E28" s="329">
        <v>1440</v>
      </c>
      <c r="F28" s="319">
        <v>30</v>
      </c>
      <c r="G28" s="184"/>
      <c r="H28" s="184"/>
      <c r="I28" s="184"/>
      <c r="J28" s="184"/>
      <c r="K28" s="253"/>
      <c r="L28" s="251"/>
      <c r="M28" s="388"/>
      <c r="N28" s="389"/>
      <c r="O28" s="388"/>
      <c r="P28" s="388"/>
      <c r="Q28" s="388"/>
      <c r="R28" s="388"/>
      <c r="S28" s="389"/>
      <c r="T28" s="450"/>
      <c r="U28" s="388"/>
      <c r="V28" s="388"/>
      <c r="W28" s="388"/>
      <c r="X28" s="387"/>
      <c r="Y28" s="390"/>
      <c r="Z28" s="457"/>
      <c r="AA28" s="251"/>
      <c r="AB28" s="251"/>
      <c r="AC28" s="251"/>
      <c r="AD28" s="393"/>
      <c r="AE28" s="251"/>
      <c r="AF28" s="393"/>
      <c r="AG28" s="395"/>
      <c r="AH28" s="184"/>
      <c r="AI28" s="224"/>
      <c r="AJ28" s="184"/>
      <c r="AK28" s="247"/>
      <c r="AL28" s="319"/>
    </row>
    <row r="29" spans="2:38" ht="19.5" customHeight="1">
      <c r="B29" s="319">
        <v>27</v>
      </c>
      <c r="C29" s="396" t="s">
        <v>298</v>
      </c>
      <c r="D29" s="457">
        <v>45580</v>
      </c>
      <c r="E29" s="329">
        <v>1440</v>
      </c>
      <c r="F29" s="400">
        <v>30</v>
      </c>
      <c r="G29" s="184"/>
      <c r="H29" s="184"/>
      <c r="I29" s="184"/>
      <c r="J29" s="184"/>
      <c r="K29" s="253"/>
      <c r="L29" s="251"/>
      <c r="M29" s="388"/>
      <c r="N29" s="389"/>
      <c r="O29" s="388"/>
      <c r="P29" s="388"/>
      <c r="Q29" s="388"/>
      <c r="R29" s="388"/>
      <c r="S29" s="389"/>
      <c r="T29" s="450"/>
      <c r="U29" s="388"/>
      <c r="V29" s="388"/>
      <c r="W29" s="388"/>
      <c r="X29" s="387"/>
      <c r="Y29" s="390"/>
      <c r="Z29" s="457"/>
      <c r="AA29" s="251"/>
      <c r="AB29" s="251"/>
      <c r="AC29" s="251"/>
      <c r="AD29" s="393"/>
      <c r="AE29" s="251"/>
      <c r="AF29" s="393"/>
      <c r="AG29" s="395"/>
      <c r="AH29" s="184"/>
      <c r="AI29" s="224"/>
      <c r="AJ29" s="184"/>
      <c r="AK29" s="247"/>
      <c r="AL29" s="319"/>
    </row>
    <row r="30" spans="2:38" ht="19.5" customHeight="1">
      <c r="B30" s="319">
        <v>28</v>
      </c>
      <c r="C30" s="396" t="s">
        <v>300</v>
      </c>
      <c r="D30" s="457">
        <v>45586</v>
      </c>
      <c r="E30" s="329">
        <v>1440</v>
      </c>
      <c r="F30" s="319">
        <v>30</v>
      </c>
      <c r="G30" s="184"/>
      <c r="H30" s="184"/>
      <c r="I30" s="184"/>
      <c r="J30" s="184"/>
      <c r="K30" s="253"/>
      <c r="L30" s="251"/>
      <c r="M30" s="388"/>
      <c r="N30" s="389"/>
      <c r="O30" s="388"/>
      <c r="P30" s="388"/>
      <c r="Q30" s="388"/>
      <c r="R30" s="388"/>
      <c r="S30" s="389"/>
      <c r="T30" s="450"/>
      <c r="U30" s="388"/>
      <c r="V30" s="388"/>
      <c r="W30" s="388"/>
      <c r="X30" s="387"/>
      <c r="Y30" s="390"/>
      <c r="Z30" s="457"/>
      <c r="AA30" s="251"/>
      <c r="AB30" s="251"/>
      <c r="AC30" s="251"/>
      <c r="AD30" s="393"/>
      <c r="AE30" s="251"/>
      <c r="AF30" s="393"/>
      <c r="AG30" s="395"/>
      <c r="AH30" s="184"/>
      <c r="AI30" s="224"/>
      <c r="AJ30" s="184"/>
      <c r="AK30" s="247"/>
      <c r="AL30" s="319"/>
    </row>
    <row r="31" spans="2:38" ht="19.5" customHeight="1">
      <c r="B31" s="319">
        <v>29</v>
      </c>
      <c r="C31" s="396" t="s">
        <v>302</v>
      </c>
      <c r="D31" s="457">
        <v>45594</v>
      </c>
      <c r="E31" s="329">
        <v>1440</v>
      </c>
      <c r="F31" s="400">
        <v>30</v>
      </c>
      <c r="G31" s="184"/>
      <c r="H31" s="184"/>
      <c r="I31" s="184"/>
      <c r="J31" s="184"/>
      <c r="K31" s="253"/>
      <c r="L31" s="251"/>
      <c r="M31" s="388"/>
      <c r="N31" s="389"/>
      <c r="O31" s="388"/>
      <c r="P31" s="388"/>
      <c r="Q31" s="388"/>
      <c r="R31" s="388"/>
      <c r="S31" s="389"/>
      <c r="T31" s="450"/>
      <c r="U31" s="388"/>
      <c r="V31" s="388"/>
      <c r="W31" s="388"/>
      <c r="X31" s="387"/>
      <c r="Y31" s="390"/>
      <c r="Z31" s="457"/>
      <c r="AA31" s="251"/>
      <c r="AB31" s="251"/>
      <c r="AC31" s="251"/>
      <c r="AD31" s="393"/>
      <c r="AE31" s="251"/>
      <c r="AF31" s="393"/>
      <c r="AG31" s="395"/>
      <c r="AH31" s="184"/>
      <c r="AI31" s="224"/>
      <c r="AJ31" s="184"/>
      <c r="AK31" s="247"/>
      <c r="AL31" s="319"/>
    </row>
    <row r="32" spans="2:38" ht="19.5" customHeight="1">
      <c r="B32" s="319">
        <v>30</v>
      </c>
      <c r="C32" s="396" t="s">
        <v>303</v>
      </c>
      <c r="D32" s="457">
        <v>45600</v>
      </c>
      <c r="E32" s="329">
        <v>1440</v>
      </c>
      <c r="F32" s="319">
        <v>30</v>
      </c>
      <c r="G32" s="184"/>
      <c r="H32" s="184"/>
      <c r="I32" s="184"/>
      <c r="J32" s="184"/>
      <c r="K32" s="253"/>
      <c r="L32" s="251"/>
      <c r="M32" s="388"/>
      <c r="N32" s="389"/>
      <c r="O32" s="388"/>
      <c r="P32" s="388"/>
      <c r="Q32" s="388"/>
      <c r="R32" s="388"/>
      <c r="S32" s="389"/>
      <c r="T32" s="450"/>
      <c r="U32" s="388"/>
      <c r="V32" s="388"/>
      <c r="W32" s="388"/>
      <c r="X32" s="387"/>
      <c r="Y32" s="390"/>
      <c r="Z32" s="457"/>
      <c r="AA32" s="251"/>
      <c r="AB32" s="251"/>
      <c r="AC32" s="251"/>
      <c r="AD32" s="393"/>
      <c r="AE32" s="251"/>
      <c r="AF32" s="393"/>
      <c r="AG32" s="395"/>
      <c r="AH32" s="184"/>
      <c r="AI32" s="224"/>
      <c r="AJ32" s="184"/>
      <c r="AK32" s="247"/>
      <c r="AL32" s="319"/>
    </row>
    <row r="33" spans="2:38" ht="19.5" customHeight="1">
      <c r="B33" s="319">
        <v>31</v>
      </c>
      <c r="C33" s="396" t="s">
        <v>305</v>
      </c>
      <c r="D33" s="457">
        <v>45607</v>
      </c>
      <c r="E33" s="329">
        <v>1440</v>
      </c>
      <c r="F33" s="400">
        <v>30</v>
      </c>
      <c r="G33" s="184"/>
      <c r="H33" s="184"/>
      <c r="I33" s="184"/>
      <c r="J33" s="184"/>
      <c r="K33" s="253"/>
      <c r="L33" s="251"/>
      <c r="M33" s="388"/>
      <c r="N33" s="389"/>
      <c r="O33" s="388"/>
      <c r="P33" s="388"/>
      <c r="Q33" s="388"/>
      <c r="R33" s="388"/>
      <c r="S33" s="389"/>
      <c r="T33" s="450"/>
      <c r="U33" s="388"/>
      <c r="V33" s="388"/>
      <c r="W33" s="388"/>
      <c r="X33" s="387"/>
      <c r="Y33" s="390"/>
      <c r="Z33" s="457"/>
      <c r="AA33" s="251"/>
      <c r="AB33" s="251"/>
      <c r="AC33" s="251"/>
      <c r="AD33" s="393"/>
      <c r="AE33" s="251"/>
      <c r="AF33" s="393"/>
      <c r="AG33" s="395"/>
      <c r="AH33" s="184"/>
      <c r="AI33" s="224"/>
      <c r="AJ33" s="184"/>
      <c r="AK33" s="247"/>
      <c r="AL33" s="319"/>
    </row>
    <row r="34" spans="2:38" ht="19.5" customHeight="1">
      <c r="B34" s="319">
        <v>32</v>
      </c>
      <c r="C34" s="396" t="s">
        <v>307</v>
      </c>
      <c r="D34" s="457">
        <v>45614</v>
      </c>
      <c r="E34" s="329">
        <v>1440</v>
      </c>
      <c r="F34" s="319">
        <v>30</v>
      </c>
      <c r="G34" s="184"/>
      <c r="H34" s="184"/>
      <c r="I34" s="184"/>
      <c r="J34" s="184"/>
      <c r="K34" s="253"/>
      <c r="L34" s="251"/>
      <c r="M34" s="388"/>
      <c r="N34" s="389"/>
      <c r="O34" s="388"/>
      <c r="P34" s="388"/>
      <c r="Q34" s="388"/>
      <c r="R34" s="388"/>
      <c r="S34" s="389"/>
      <c r="T34" s="450"/>
      <c r="U34" s="388"/>
      <c r="V34" s="388"/>
      <c r="W34" s="388"/>
      <c r="X34" s="387"/>
      <c r="Y34" s="390"/>
      <c r="Z34" s="457"/>
      <c r="AA34" s="251"/>
      <c r="AB34" s="251"/>
      <c r="AC34" s="251"/>
      <c r="AD34" s="393"/>
      <c r="AE34" s="251"/>
      <c r="AF34" s="393"/>
      <c r="AG34" s="395"/>
      <c r="AH34" s="184"/>
      <c r="AI34" s="224"/>
      <c r="AJ34" s="184"/>
      <c r="AK34" s="247"/>
      <c r="AL34" s="319"/>
    </row>
    <row r="35" spans="2:38" ht="19.5" customHeight="1">
      <c r="B35" s="319">
        <v>33</v>
      </c>
      <c r="C35" s="396" t="s">
        <v>308</v>
      </c>
      <c r="D35" s="457">
        <v>45621</v>
      </c>
      <c r="E35" s="329">
        <v>1440</v>
      </c>
      <c r="F35" s="400">
        <v>30</v>
      </c>
      <c r="G35" s="184"/>
      <c r="H35" s="184"/>
      <c r="I35" s="184"/>
      <c r="J35" s="184"/>
      <c r="K35" s="253"/>
      <c r="L35" s="251"/>
      <c r="M35" s="388"/>
      <c r="N35" s="389"/>
      <c r="O35" s="388"/>
      <c r="P35" s="388"/>
      <c r="Q35" s="388"/>
      <c r="R35" s="388"/>
      <c r="S35" s="389"/>
      <c r="T35" s="450"/>
      <c r="U35" s="388"/>
      <c r="V35" s="388"/>
      <c r="W35" s="388"/>
      <c r="X35" s="387"/>
      <c r="Y35" s="390"/>
      <c r="Z35" s="457"/>
      <c r="AA35" s="251"/>
      <c r="AB35" s="251"/>
      <c r="AC35" s="251"/>
      <c r="AD35" s="393"/>
      <c r="AE35" s="251"/>
      <c r="AF35" s="393"/>
      <c r="AG35" s="395"/>
      <c r="AH35" s="184"/>
      <c r="AI35" s="224"/>
      <c r="AJ35" s="184"/>
      <c r="AK35" s="247"/>
      <c r="AL35" s="319"/>
    </row>
    <row r="36" spans="2:38" ht="19.5" customHeight="1">
      <c r="B36" s="319">
        <v>34</v>
      </c>
      <c r="C36" s="396" t="s">
        <v>309</v>
      </c>
      <c r="D36" s="457">
        <v>45628</v>
      </c>
      <c r="E36" s="329">
        <v>1440</v>
      </c>
      <c r="F36" s="319">
        <v>30</v>
      </c>
      <c r="G36" s="184"/>
      <c r="H36" s="184"/>
      <c r="I36" s="184"/>
      <c r="J36" s="184"/>
      <c r="K36" s="253"/>
      <c r="L36" s="251"/>
      <c r="M36" s="388"/>
      <c r="N36" s="389"/>
      <c r="O36" s="388"/>
      <c r="P36" s="388"/>
      <c r="Q36" s="388"/>
      <c r="R36" s="388"/>
      <c r="S36" s="389"/>
      <c r="T36" s="450"/>
      <c r="U36" s="388"/>
      <c r="V36" s="388"/>
      <c r="W36" s="388"/>
      <c r="X36" s="387"/>
      <c r="Y36" s="390"/>
      <c r="Z36" s="457"/>
      <c r="AA36" s="251"/>
      <c r="AB36" s="251"/>
      <c r="AC36" s="251"/>
      <c r="AD36" s="393"/>
      <c r="AE36" s="251"/>
      <c r="AF36" s="393"/>
      <c r="AG36" s="395"/>
      <c r="AH36" s="184"/>
      <c r="AI36" s="224"/>
      <c r="AJ36" s="184"/>
      <c r="AK36" s="247"/>
      <c r="AL36" s="319"/>
    </row>
    <row r="37" spans="2:38" ht="19.5" customHeight="1">
      <c r="B37" s="319">
        <v>35</v>
      </c>
      <c r="C37" s="396" t="s">
        <v>311</v>
      </c>
      <c r="D37" s="457">
        <v>45636</v>
      </c>
      <c r="E37" s="329">
        <v>1440</v>
      </c>
      <c r="F37" s="400">
        <v>30</v>
      </c>
      <c r="G37" s="184"/>
      <c r="H37" s="184"/>
      <c r="I37" s="184"/>
      <c r="J37" s="184"/>
      <c r="K37" s="253"/>
      <c r="L37" s="251"/>
      <c r="M37" s="388"/>
      <c r="N37" s="389"/>
      <c r="O37" s="388"/>
      <c r="P37" s="388"/>
      <c r="Q37" s="388"/>
      <c r="R37" s="388"/>
      <c r="S37" s="389"/>
      <c r="T37" s="450"/>
      <c r="U37" s="388"/>
      <c r="V37" s="388"/>
      <c r="W37" s="388"/>
      <c r="X37" s="387"/>
      <c r="Y37" s="390"/>
      <c r="Z37" s="457"/>
      <c r="AA37" s="251"/>
      <c r="AB37" s="251"/>
      <c r="AC37" s="251"/>
      <c r="AD37" s="393"/>
      <c r="AE37" s="251"/>
      <c r="AF37" s="393"/>
      <c r="AG37" s="395"/>
      <c r="AH37" s="184"/>
      <c r="AI37" s="224"/>
      <c r="AJ37" s="184"/>
      <c r="AK37" s="247"/>
      <c r="AL37" s="319"/>
    </row>
    <row r="38" spans="2:38" ht="19.5" customHeight="1">
      <c r="B38" s="319">
        <v>36</v>
      </c>
      <c r="C38" s="396" t="s">
        <v>313</v>
      </c>
      <c r="D38" s="457">
        <v>45643</v>
      </c>
      <c r="E38" s="329">
        <v>1440</v>
      </c>
      <c r="F38" s="319">
        <v>30</v>
      </c>
      <c r="G38" s="184"/>
      <c r="H38" s="184"/>
      <c r="I38" s="184"/>
      <c r="J38" s="184"/>
      <c r="K38" s="253"/>
      <c r="L38" s="251"/>
      <c r="M38" s="388"/>
      <c r="N38" s="389"/>
      <c r="O38" s="388"/>
      <c r="P38" s="388"/>
      <c r="Q38" s="388"/>
      <c r="R38" s="388"/>
      <c r="S38" s="389"/>
      <c r="T38" s="450"/>
      <c r="U38" s="388"/>
      <c r="V38" s="388"/>
      <c r="W38" s="388"/>
      <c r="X38" s="387"/>
      <c r="Y38" s="390"/>
      <c r="Z38" s="457"/>
      <c r="AA38" s="251"/>
      <c r="AB38" s="251"/>
      <c r="AC38" s="251"/>
      <c r="AD38" s="393"/>
      <c r="AE38" s="251"/>
      <c r="AF38" s="393"/>
      <c r="AG38" s="395"/>
      <c r="AH38" s="184"/>
      <c r="AI38" s="224"/>
      <c r="AJ38" s="184"/>
      <c r="AK38" s="247"/>
      <c r="AL38" s="319"/>
    </row>
    <row r="39" spans="2:38" ht="19.5" customHeight="1">
      <c r="B39" s="319">
        <v>37</v>
      </c>
      <c r="C39" s="396" t="s">
        <v>314</v>
      </c>
      <c r="D39" s="457">
        <v>45650</v>
      </c>
      <c r="E39" s="329">
        <v>1440</v>
      </c>
      <c r="F39" s="400">
        <v>30</v>
      </c>
      <c r="G39" s="184"/>
      <c r="H39" s="184"/>
      <c r="I39" s="184"/>
      <c r="J39" s="184"/>
      <c r="K39" s="253"/>
      <c r="L39" s="251"/>
      <c r="M39" s="388"/>
      <c r="N39" s="389"/>
      <c r="O39" s="388"/>
      <c r="P39" s="388"/>
      <c r="Q39" s="388"/>
      <c r="R39" s="388"/>
      <c r="S39" s="389"/>
      <c r="T39" s="450"/>
      <c r="U39" s="388"/>
      <c r="V39" s="388"/>
      <c r="W39" s="388"/>
      <c r="X39" s="387"/>
      <c r="Y39" s="390"/>
      <c r="Z39" s="457"/>
      <c r="AA39" s="251"/>
      <c r="AB39" s="251"/>
      <c r="AC39" s="251"/>
      <c r="AD39" s="393"/>
      <c r="AE39" s="251"/>
      <c r="AF39" s="393"/>
      <c r="AG39" s="395"/>
      <c r="AH39" s="184"/>
      <c r="AI39" s="224"/>
      <c r="AJ39" s="184"/>
      <c r="AK39" s="247"/>
      <c r="AL39" s="319"/>
    </row>
    <row r="40" spans="2:38" ht="19.5" customHeight="1">
      <c r="B40" s="319">
        <v>38</v>
      </c>
      <c r="C40" s="396" t="s">
        <v>316</v>
      </c>
      <c r="D40" s="457">
        <v>45656</v>
      </c>
      <c r="E40" s="329">
        <v>1440</v>
      </c>
      <c r="F40" s="319">
        <v>30</v>
      </c>
      <c r="G40" s="184"/>
      <c r="H40" s="184"/>
      <c r="I40" s="184"/>
      <c r="J40" s="184"/>
      <c r="K40" s="253"/>
      <c r="L40" s="251"/>
      <c r="M40" s="388"/>
      <c r="N40" s="389"/>
      <c r="O40" s="388"/>
      <c r="P40" s="388"/>
      <c r="Q40" s="388"/>
      <c r="R40" s="388"/>
      <c r="S40" s="389"/>
      <c r="T40" s="450"/>
      <c r="U40" s="388"/>
      <c r="V40" s="388"/>
      <c r="W40" s="388"/>
      <c r="X40" s="387"/>
      <c r="Y40" s="390"/>
      <c r="Z40" s="457"/>
      <c r="AA40" s="251"/>
      <c r="AB40" s="251"/>
      <c r="AC40" s="251"/>
      <c r="AD40" s="393"/>
      <c r="AE40" s="251"/>
      <c r="AF40" s="393"/>
      <c r="AG40" s="395"/>
      <c r="AH40" s="184"/>
      <c r="AI40" s="224"/>
      <c r="AJ40" s="184"/>
      <c r="AK40" s="247"/>
      <c r="AL40" s="319"/>
    </row>
    <row r="41" spans="2:38" ht="19.5" customHeight="1">
      <c r="B41" s="319">
        <v>39</v>
      </c>
      <c r="C41" s="396" t="s">
        <v>318</v>
      </c>
      <c r="D41" s="457">
        <v>45663</v>
      </c>
      <c r="E41" s="329">
        <v>1440</v>
      </c>
      <c r="F41" s="400">
        <v>30</v>
      </c>
      <c r="G41" s="184"/>
      <c r="H41" s="184"/>
      <c r="I41" s="184"/>
      <c r="J41" s="184"/>
      <c r="K41" s="253"/>
      <c r="L41" s="251"/>
      <c r="M41" s="388"/>
      <c r="N41" s="389"/>
      <c r="O41" s="388"/>
      <c r="P41" s="388"/>
      <c r="Q41" s="388"/>
      <c r="R41" s="388"/>
      <c r="S41" s="389"/>
      <c r="T41" s="450"/>
      <c r="U41" s="388"/>
      <c r="V41" s="388"/>
      <c r="W41" s="388"/>
      <c r="X41" s="387"/>
      <c r="Y41" s="390"/>
      <c r="Z41" s="457"/>
      <c r="AA41" s="251"/>
      <c r="AB41" s="251"/>
      <c r="AC41" s="251"/>
      <c r="AD41" s="393"/>
      <c r="AE41" s="251"/>
      <c r="AF41" s="393"/>
      <c r="AG41" s="395"/>
      <c r="AH41" s="184"/>
      <c r="AI41" s="224"/>
      <c r="AJ41" s="184"/>
      <c r="AK41" s="247"/>
      <c r="AL41" s="319"/>
    </row>
    <row r="42" spans="2:38" ht="19.5" customHeight="1">
      <c r="B42" s="319">
        <v>40</v>
      </c>
      <c r="C42" s="396" t="s">
        <v>320</v>
      </c>
      <c r="D42" s="457">
        <v>45670</v>
      </c>
      <c r="E42" s="329">
        <v>1440</v>
      </c>
      <c r="F42" s="319">
        <v>30</v>
      </c>
      <c r="G42" s="184"/>
      <c r="H42" s="184"/>
      <c r="I42" s="184"/>
      <c r="J42" s="184"/>
      <c r="K42" s="253"/>
      <c r="L42" s="251"/>
      <c r="M42" s="388"/>
      <c r="N42" s="389"/>
      <c r="O42" s="388"/>
      <c r="P42" s="388"/>
      <c r="Q42" s="388"/>
      <c r="R42" s="388"/>
      <c r="S42" s="389"/>
      <c r="T42" s="450"/>
      <c r="U42" s="388"/>
      <c r="V42" s="388"/>
      <c r="W42" s="388"/>
      <c r="X42" s="387"/>
      <c r="Y42" s="390"/>
      <c r="Z42" s="457"/>
      <c r="AA42" s="251"/>
      <c r="AB42" s="251"/>
      <c r="AC42" s="251"/>
      <c r="AD42" s="393"/>
      <c r="AE42" s="251"/>
      <c r="AF42" s="393"/>
      <c r="AG42" s="395"/>
      <c r="AH42" s="184"/>
      <c r="AI42" s="224"/>
      <c r="AJ42" s="184"/>
      <c r="AK42" s="247"/>
      <c r="AL42" s="319"/>
    </row>
    <row r="43" spans="2:38" ht="19.5" customHeight="1">
      <c r="B43" s="319">
        <v>41</v>
      </c>
      <c r="C43" s="396" t="s">
        <v>321</v>
      </c>
      <c r="D43" s="457">
        <v>45679</v>
      </c>
      <c r="E43" s="329">
        <v>1440</v>
      </c>
      <c r="F43" s="400">
        <v>30</v>
      </c>
      <c r="G43" s="184"/>
      <c r="H43" s="184"/>
      <c r="I43" s="184"/>
      <c r="J43" s="184"/>
      <c r="K43" s="253"/>
      <c r="L43" s="251"/>
      <c r="M43" s="388"/>
      <c r="N43" s="389"/>
      <c r="O43" s="388"/>
      <c r="P43" s="388"/>
      <c r="Q43" s="388"/>
      <c r="R43" s="388"/>
      <c r="S43" s="389"/>
      <c r="T43" s="450"/>
      <c r="U43" s="388"/>
      <c r="V43" s="388"/>
      <c r="W43" s="388"/>
      <c r="X43" s="387"/>
      <c r="Y43" s="390"/>
      <c r="Z43" s="457"/>
      <c r="AA43" s="251"/>
      <c r="AB43" s="251"/>
      <c r="AC43" s="251"/>
      <c r="AD43" s="393"/>
      <c r="AE43" s="251"/>
      <c r="AF43" s="393"/>
      <c r="AG43" s="395"/>
      <c r="AH43" s="184"/>
      <c r="AI43" s="224"/>
      <c r="AJ43" s="184"/>
      <c r="AK43" s="247"/>
      <c r="AL43" s="319"/>
    </row>
    <row r="44" spans="2:38" ht="19.5" customHeight="1">
      <c r="B44" s="319">
        <v>42</v>
      </c>
      <c r="C44" s="396" t="s">
        <v>323</v>
      </c>
      <c r="D44" s="457">
        <v>45684</v>
      </c>
      <c r="E44" s="329">
        <v>1440</v>
      </c>
      <c r="F44" s="319">
        <v>30</v>
      </c>
      <c r="G44" s="184"/>
      <c r="H44" s="184"/>
      <c r="I44" s="184"/>
      <c r="J44" s="184"/>
      <c r="K44" s="253"/>
      <c r="L44" s="251"/>
      <c r="M44" s="388"/>
      <c r="N44" s="389"/>
      <c r="O44" s="388"/>
      <c r="P44" s="388"/>
      <c r="Q44" s="388"/>
      <c r="R44" s="388"/>
      <c r="S44" s="389"/>
      <c r="T44" s="450"/>
      <c r="U44" s="388"/>
      <c r="V44" s="388"/>
      <c r="W44" s="388"/>
      <c r="X44" s="387"/>
      <c r="Y44" s="390"/>
      <c r="Z44" s="457"/>
      <c r="AA44" s="251"/>
      <c r="AB44" s="251"/>
      <c r="AC44" s="251"/>
      <c r="AD44" s="393"/>
      <c r="AE44" s="251"/>
      <c r="AF44" s="393"/>
      <c r="AG44" s="395"/>
      <c r="AH44" s="184"/>
      <c r="AI44" s="224"/>
      <c r="AJ44" s="184"/>
      <c r="AK44" s="247"/>
      <c r="AL44" s="319"/>
    </row>
    <row r="45" spans="2:38" ht="19.5" customHeight="1">
      <c r="B45" s="319">
        <v>43</v>
      </c>
      <c r="C45" s="396" t="s">
        <v>325</v>
      </c>
      <c r="D45" s="457">
        <v>45691</v>
      </c>
      <c r="E45" s="329">
        <v>1440</v>
      </c>
      <c r="F45" s="400">
        <v>30</v>
      </c>
      <c r="G45" s="184"/>
      <c r="H45" s="184"/>
      <c r="I45" s="184"/>
      <c r="J45" s="184"/>
      <c r="K45" s="253"/>
      <c r="L45" s="251"/>
      <c r="M45" s="388"/>
      <c r="N45" s="389"/>
      <c r="O45" s="388"/>
      <c r="P45" s="388"/>
      <c r="Q45" s="388"/>
      <c r="R45" s="388"/>
      <c r="S45" s="389"/>
      <c r="T45" s="450"/>
      <c r="U45" s="388"/>
      <c r="V45" s="388"/>
      <c r="W45" s="388"/>
      <c r="X45" s="387"/>
      <c r="Y45" s="390"/>
      <c r="Z45" s="457"/>
      <c r="AA45" s="251"/>
      <c r="AB45" s="251"/>
      <c r="AC45" s="251"/>
      <c r="AD45" s="393"/>
      <c r="AE45" s="251"/>
      <c r="AF45" s="393"/>
      <c r="AG45" s="395"/>
      <c r="AH45" s="184"/>
      <c r="AI45" s="224"/>
      <c r="AJ45" s="184"/>
      <c r="AK45" s="247"/>
      <c r="AL45" s="319"/>
    </row>
    <row r="46" spans="2:38" ht="19.5" customHeight="1">
      <c r="B46" s="319">
        <v>44</v>
      </c>
      <c r="C46" s="396" t="s">
        <v>327</v>
      </c>
      <c r="D46" s="457">
        <v>45698</v>
      </c>
      <c r="E46" s="329">
        <v>1440</v>
      </c>
      <c r="F46" s="319">
        <v>30</v>
      </c>
      <c r="G46" s="184"/>
      <c r="H46" s="184"/>
      <c r="I46" s="184"/>
      <c r="J46" s="184"/>
      <c r="K46" s="253"/>
      <c r="L46" s="251"/>
      <c r="M46" s="388"/>
      <c r="N46" s="389"/>
      <c r="O46" s="388"/>
      <c r="P46" s="388"/>
      <c r="Q46" s="388"/>
      <c r="R46" s="388"/>
      <c r="S46" s="389"/>
      <c r="T46" s="450"/>
      <c r="U46" s="388"/>
      <c r="V46" s="388"/>
      <c r="W46" s="388"/>
      <c r="X46" s="387"/>
      <c r="Y46" s="390"/>
      <c r="Z46" s="457"/>
      <c r="AA46" s="251"/>
      <c r="AB46" s="251"/>
      <c r="AC46" s="251"/>
      <c r="AD46" s="393"/>
      <c r="AE46" s="251"/>
      <c r="AF46" s="393"/>
      <c r="AG46" s="395"/>
      <c r="AH46" s="184"/>
      <c r="AI46" s="224"/>
      <c r="AJ46" s="184"/>
      <c r="AK46" s="247"/>
      <c r="AL46" s="319"/>
    </row>
    <row r="47" spans="2:38" ht="19.5" customHeight="1">
      <c r="B47" s="319">
        <v>45</v>
      </c>
      <c r="C47" s="396" t="s">
        <v>328</v>
      </c>
      <c r="D47" s="457">
        <v>45705</v>
      </c>
      <c r="E47" s="329">
        <v>1440</v>
      </c>
      <c r="F47" s="400">
        <v>30</v>
      </c>
      <c r="G47" s="184"/>
      <c r="H47" s="184"/>
      <c r="I47" s="184"/>
      <c r="J47" s="184"/>
      <c r="K47" s="253"/>
      <c r="L47" s="251"/>
      <c r="M47" s="388"/>
      <c r="N47" s="389"/>
      <c r="O47" s="388"/>
      <c r="P47" s="388"/>
      <c r="Q47" s="388"/>
      <c r="R47" s="388"/>
      <c r="S47" s="389"/>
      <c r="T47" s="450"/>
      <c r="U47" s="388"/>
      <c r="V47" s="388"/>
      <c r="W47" s="388"/>
      <c r="X47" s="387"/>
      <c r="Y47" s="390"/>
      <c r="Z47" s="457"/>
      <c r="AA47" s="251"/>
      <c r="AB47" s="251"/>
      <c r="AC47" s="251"/>
      <c r="AD47" s="393"/>
      <c r="AE47" s="251"/>
      <c r="AF47" s="393"/>
      <c r="AG47" s="395"/>
      <c r="AH47" s="184"/>
      <c r="AI47" s="224"/>
      <c r="AJ47" s="184"/>
      <c r="AK47" s="247"/>
      <c r="AL47" s="319"/>
    </row>
    <row r="48" spans="2:38" ht="19.5" customHeight="1">
      <c r="B48" s="319">
        <v>46</v>
      </c>
      <c r="C48" s="396" t="s">
        <v>330</v>
      </c>
      <c r="D48" s="457">
        <v>45712</v>
      </c>
      <c r="E48" s="329">
        <v>1440</v>
      </c>
      <c r="F48" s="319">
        <v>30</v>
      </c>
      <c r="G48" s="184"/>
      <c r="H48" s="184"/>
      <c r="I48" s="184"/>
      <c r="J48" s="184"/>
      <c r="K48" s="253"/>
      <c r="L48" s="251"/>
      <c r="M48" s="388"/>
      <c r="N48" s="389"/>
      <c r="O48" s="388"/>
      <c r="P48" s="388"/>
      <c r="Q48" s="388"/>
      <c r="R48" s="388"/>
      <c r="S48" s="389"/>
      <c r="T48" s="450"/>
      <c r="U48" s="388"/>
      <c r="V48" s="388"/>
      <c r="W48" s="388"/>
      <c r="X48" s="387"/>
      <c r="Y48" s="390"/>
      <c r="Z48" s="457"/>
      <c r="AA48" s="251"/>
      <c r="AB48" s="251"/>
      <c r="AC48" s="251"/>
      <c r="AD48" s="393"/>
      <c r="AE48" s="251"/>
      <c r="AF48" s="393"/>
      <c r="AG48" s="395"/>
      <c r="AH48" s="184"/>
      <c r="AI48" s="224"/>
      <c r="AJ48" s="184"/>
      <c r="AK48" s="247"/>
      <c r="AL48" s="319"/>
    </row>
    <row r="49" spans="2:38" ht="19.5" customHeight="1">
      <c r="B49" s="319">
        <v>47</v>
      </c>
      <c r="C49" s="396" t="s">
        <v>332</v>
      </c>
      <c r="D49" s="457">
        <v>45719</v>
      </c>
      <c r="E49" s="329">
        <v>1440</v>
      </c>
      <c r="F49" s="400">
        <v>30</v>
      </c>
      <c r="G49" s="184"/>
      <c r="H49" s="184"/>
      <c r="I49" s="184"/>
      <c r="J49" s="184"/>
      <c r="K49" s="253"/>
      <c r="L49" s="251"/>
      <c r="M49" s="388"/>
      <c r="N49" s="389"/>
      <c r="O49" s="388"/>
      <c r="P49" s="388"/>
      <c r="Q49" s="388"/>
      <c r="R49" s="388"/>
      <c r="S49" s="389"/>
      <c r="T49" s="450"/>
      <c r="U49" s="388"/>
      <c r="V49" s="388"/>
      <c r="W49" s="388"/>
      <c r="X49" s="387"/>
      <c r="Y49" s="390"/>
      <c r="Z49" s="457"/>
      <c r="AA49" s="251"/>
      <c r="AB49" s="251"/>
      <c r="AC49" s="251"/>
      <c r="AD49" s="393"/>
      <c r="AE49" s="251"/>
      <c r="AF49" s="393"/>
      <c r="AG49" s="395"/>
      <c r="AH49" s="184"/>
      <c r="AI49" s="224"/>
      <c r="AJ49" s="184"/>
      <c r="AK49" s="247"/>
      <c r="AL49" s="319"/>
    </row>
    <row r="50" spans="2:38" ht="19.5" customHeight="1">
      <c r="B50" s="319">
        <v>48</v>
      </c>
      <c r="C50" s="396" t="s">
        <v>333</v>
      </c>
      <c r="D50" s="457">
        <v>45728</v>
      </c>
      <c r="E50" s="329">
        <v>1440</v>
      </c>
      <c r="F50" s="319">
        <v>30</v>
      </c>
      <c r="G50" s="184"/>
      <c r="H50" s="184"/>
      <c r="I50" s="184"/>
      <c r="J50" s="184"/>
      <c r="K50" s="253"/>
      <c r="L50" s="251"/>
      <c r="M50" s="388"/>
      <c r="N50" s="389"/>
      <c r="O50" s="388"/>
      <c r="P50" s="388"/>
      <c r="Q50" s="388"/>
      <c r="R50" s="388"/>
      <c r="S50" s="389"/>
      <c r="T50" s="450"/>
      <c r="U50" s="388"/>
      <c r="V50" s="388"/>
      <c r="W50" s="388"/>
      <c r="X50" s="387"/>
      <c r="Y50" s="390"/>
      <c r="Z50" s="457"/>
      <c r="AA50" s="251"/>
      <c r="AB50" s="251"/>
      <c r="AC50" s="251"/>
      <c r="AD50" s="393"/>
      <c r="AE50" s="251"/>
      <c r="AF50" s="393"/>
      <c r="AG50" s="395"/>
      <c r="AH50" s="184"/>
      <c r="AI50" s="224"/>
      <c r="AJ50" s="184"/>
      <c r="AK50" s="247"/>
      <c r="AL50" s="319"/>
    </row>
    <row r="51" spans="2:38" ht="19.5" customHeight="1">
      <c r="B51" s="319">
        <v>49</v>
      </c>
      <c r="C51" s="396" t="s">
        <v>334</v>
      </c>
      <c r="D51" s="457">
        <v>45733</v>
      </c>
      <c r="E51" s="329">
        <v>1440</v>
      </c>
      <c r="F51" s="400">
        <v>30</v>
      </c>
      <c r="G51" s="184"/>
      <c r="H51" s="184"/>
      <c r="I51" s="184"/>
      <c r="J51" s="184"/>
      <c r="K51" s="253"/>
      <c r="L51" s="251"/>
      <c r="M51" s="388"/>
      <c r="N51" s="389"/>
      <c r="O51" s="388"/>
      <c r="P51" s="388"/>
      <c r="Q51" s="388"/>
      <c r="R51" s="388"/>
      <c r="S51" s="389"/>
      <c r="T51" s="450"/>
      <c r="U51" s="388"/>
      <c r="V51" s="388"/>
      <c r="W51" s="388"/>
      <c r="X51" s="387"/>
      <c r="Y51" s="390"/>
      <c r="Z51" s="457"/>
      <c r="AA51" s="251"/>
      <c r="AB51" s="251"/>
      <c r="AC51" s="251"/>
      <c r="AD51" s="393"/>
      <c r="AE51" s="251"/>
      <c r="AF51" s="393"/>
      <c r="AG51" s="395"/>
      <c r="AH51" s="184"/>
      <c r="AI51" s="224"/>
      <c r="AJ51" s="184"/>
      <c r="AK51" s="247"/>
      <c r="AL51" s="319"/>
    </row>
    <row r="52" spans="2:38" ht="19.5" customHeight="1">
      <c r="B52" s="319">
        <v>50</v>
      </c>
      <c r="C52" s="396" t="s">
        <v>336</v>
      </c>
      <c r="D52" s="457">
        <v>45740</v>
      </c>
      <c r="E52" s="329">
        <v>1440</v>
      </c>
      <c r="F52" s="319">
        <v>30</v>
      </c>
      <c r="G52" s="184"/>
      <c r="H52" s="184"/>
      <c r="I52" s="184"/>
      <c r="J52" s="184"/>
      <c r="K52" s="253"/>
      <c r="L52" s="251"/>
      <c r="M52" s="388"/>
      <c r="N52" s="389"/>
      <c r="O52" s="388"/>
      <c r="P52" s="388"/>
      <c r="Q52" s="388"/>
      <c r="R52" s="388"/>
      <c r="S52" s="389"/>
      <c r="T52" s="450"/>
      <c r="U52" s="388"/>
      <c r="V52" s="388"/>
      <c r="W52" s="388"/>
      <c r="X52" s="387"/>
      <c r="Y52" s="390"/>
      <c r="Z52" s="457"/>
      <c r="AA52" s="251"/>
      <c r="AB52" s="251"/>
      <c r="AC52" s="251"/>
      <c r="AD52" s="393"/>
      <c r="AE52" s="251"/>
      <c r="AF52" s="393"/>
      <c r="AG52" s="395"/>
      <c r="AH52" s="184"/>
      <c r="AI52" s="224"/>
      <c r="AJ52" s="184"/>
      <c r="AK52" s="247"/>
      <c r="AL52" s="319"/>
    </row>
    <row r="53" spans="2:38" ht="19.5" customHeight="1">
      <c r="B53" s="319">
        <v>51</v>
      </c>
      <c r="C53" s="396" t="s">
        <v>338</v>
      </c>
      <c r="D53" s="457">
        <v>45755</v>
      </c>
      <c r="E53" s="329">
        <v>1440</v>
      </c>
      <c r="F53" s="400">
        <v>30</v>
      </c>
      <c r="G53" s="184"/>
      <c r="H53" s="184"/>
      <c r="I53" s="184"/>
      <c r="J53" s="184"/>
      <c r="K53" s="253"/>
      <c r="L53" s="251"/>
      <c r="M53" s="388"/>
      <c r="N53" s="389"/>
      <c r="O53" s="388"/>
      <c r="P53" s="388"/>
      <c r="Q53" s="388"/>
      <c r="R53" s="388"/>
      <c r="S53" s="389"/>
      <c r="T53" s="450"/>
      <c r="U53" s="388"/>
      <c r="V53" s="388"/>
      <c r="W53" s="388"/>
      <c r="X53" s="387"/>
      <c r="Y53" s="390"/>
      <c r="Z53" s="457"/>
      <c r="AA53" s="251"/>
      <c r="AB53" s="251"/>
      <c r="AC53" s="251"/>
      <c r="AD53" s="393"/>
      <c r="AE53" s="251"/>
      <c r="AF53" s="393"/>
      <c r="AG53" s="395"/>
      <c r="AH53" s="184"/>
      <c r="AI53" s="224"/>
      <c r="AJ53" s="184"/>
      <c r="AK53" s="247"/>
      <c r="AL53" s="319"/>
    </row>
    <row r="54" spans="2:38" ht="19.5" customHeight="1">
      <c r="B54" s="319">
        <v>52</v>
      </c>
      <c r="C54" s="396" t="s">
        <v>339</v>
      </c>
      <c r="D54" s="457">
        <v>45761</v>
      </c>
      <c r="E54" s="329">
        <v>1440</v>
      </c>
      <c r="F54" s="319">
        <v>30</v>
      </c>
      <c r="G54" s="184"/>
      <c r="H54" s="184"/>
      <c r="I54" s="184"/>
      <c r="J54" s="184"/>
      <c r="K54" s="253"/>
      <c r="L54" s="251"/>
      <c r="M54" s="388"/>
      <c r="N54" s="389"/>
      <c r="O54" s="388"/>
      <c r="P54" s="388"/>
      <c r="Q54" s="388"/>
      <c r="R54" s="388"/>
      <c r="S54" s="389"/>
      <c r="T54" s="450"/>
      <c r="U54" s="388"/>
      <c r="V54" s="388"/>
      <c r="W54" s="388"/>
      <c r="X54" s="387"/>
      <c r="Y54" s="390"/>
      <c r="Z54" s="457"/>
      <c r="AA54" s="251"/>
      <c r="AB54" s="251"/>
      <c r="AC54" s="251"/>
      <c r="AD54" s="393"/>
      <c r="AE54" s="251"/>
      <c r="AF54" s="393"/>
      <c r="AG54" s="395"/>
      <c r="AH54" s="184"/>
      <c r="AI54" s="224"/>
      <c r="AJ54" s="184"/>
      <c r="AK54" s="247"/>
      <c r="AL54" s="319"/>
    </row>
    <row r="55" spans="2:38" ht="19.5" customHeight="1">
      <c r="B55" s="319">
        <v>53</v>
      </c>
      <c r="C55" s="396" t="s">
        <v>340</v>
      </c>
      <c r="D55" s="457">
        <v>45768</v>
      </c>
      <c r="E55" s="329">
        <v>1440</v>
      </c>
      <c r="F55" s="400">
        <v>30</v>
      </c>
      <c r="G55" s="184"/>
      <c r="H55" s="184"/>
      <c r="I55" s="184"/>
      <c r="J55" s="184"/>
      <c r="K55" s="253"/>
      <c r="L55" s="251"/>
      <c r="M55" s="388"/>
      <c r="N55" s="389"/>
      <c r="O55" s="388"/>
      <c r="P55" s="388"/>
      <c r="Q55" s="388"/>
      <c r="R55" s="388"/>
      <c r="S55" s="389"/>
      <c r="T55" s="450"/>
      <c r="U55" s="388"/>
      <c r="V55" s="388"/>
      <c r="W55" s="388"/>
      <c r="X55" s="387"/>
      <c r="Y55" s="390"/>
      <c r="Z55" s="457"/>
      <c r="AA55" s="251"/>
      <c r="AB55" s="251"/>
      <c r="AC55" s="251"/>
      <c r="AD55" s="393"/>
      <c r="AE55" s="251"/>
      <c r="AF55" s="393"/>
      <c r="AG55" s="395"/>
      <c r="AH55" s="184"/>
      <c r="AI55" s="224"/>
      <c r="AJ55" s="184"/>
      <c r="AK55" s="247"/>
      <c r="AL55" s="319"/>
    </row>
    <row r="56" spans="2:38" ht="19.5" customHeight="1">
      <c r="B56" s="319">
        <v>54</v>
      </c>
      <c r="C56" s="396" t="s">
        <v>342</v>
      </c>
      <c r="D56" s="457">
        <v>45775</v>
      </c>
      <c r="E56" s="329">
        <v>1440</v>
      </c>
      <c r="F56" s="319">
        <v>30</v>
      </c>
      <c r="G56" s="184"/>
      <c r="H56" s="184"/>
      <c r="I56" s="184"/>
      <c r="J56" s="184"/>
      <c r="K56" s="253"/>
      <c r="L56" s="251"/>
      <c r="M56" s="388"/>
      <c r="N56" s="389"/>
      <c r="O56" s="388"/>
      <c r="P56" s="388"/>
      <c r="Q56" s="388"/>
      <c r="R56" s="388"/>
      <c r="S56" s="389"/>
      <c r="T56" s="450"/>
      <c r="U56" s="388"/>
      <c r="V56" s="388"/>
      <c r="W56" s="388"/>
      <c r="X56" s="387"/>
      <c r="Y56" s="390"/>
      <c r="Z56" s="457"/>
      <c r="AA56" s="251"/>
      <c r="AB56" s="251"/>
      <c r="AC56" s="251"/>
      <c r="AD56" s="393"/>
      <c r="AE56" s="251"/>
      <c r="AF56" s="393"/>
      <c r="AG56" s="395"/>
      <c r="AH56" s="184"/>
      <c r="AI56" s="224"/>
      <c r="AJ56" s="184"/>
      <c r="AK56" s="247"/>
      <c r="AL56" s="319"/>
    </row>
    <row r="57" spans="2:38" ht="19.5" customHeight="1">
      <c r="B57" s="319">
        <v>55</v>
      </c>
      <c r="C57" s="396" t="s">
        <v>344</v>
      </c>
      <c r="D57" s="457">
        <v>45782</v>
      </c>
      <c r="E57" s="329">
        <v>1440</v>
      </c>
      <c r="F57" s="400">
        <v>30</v>
      </c>
      <c r="G57" s="184"/>
      <c r="H57" s="184"/>
      <c r="I57" s="184"/>
      <c r="J57" s="184"/>
      <c r="K57" s="253"/>
      <c r="L57" s="251"/>
      <c r="M57" s="388"/>
      <c r="N57" s="389"/>
      <c r="O57" s="388"/>
      <c r="P57" s="388"/>
      <c r="Q57" s="388"/>
      <c r="R57" s="388"/>
      <c r="S57" s="389"/>
      <c r="T57" s="450"/>
      <c r="U57" s="388"/>
      <c r="V57" s="388"/>
      <c r="W57" s="388"/>
      <c r="X57" s="387"/>
      <c r="Y57" s="390"/>
      <c r="Z57" s="457"/>
      <c r="AA57" s="251"/>
      <c r="AB57" s="251"/>
      <c r="AC57" s="251"/>
      <c r="AD57" s="393"/>
      <c r="AE57" s="251"/>
      <c r="AF57" s="393"/>
      <c r="AG57" s="395"/>
      <c r="AH57" s="184"/>
      <c r="AI57" s="224"/>
      <c r="AJ57" s="184"/>
      <c r="AK57" s="247"/>
      <c r="AL57" s="319"/>
    </row>
    <row r="58" spans="2:38" ht="19.5" customHeight="1">
      <c r="B58" s="319">
        <v>56</v>
      </c>
      <c r="C58" s="396" t="s">
        <v>345</v>
      </c>
      <c r="D58" s="457">
        <v>45789</v>
      </c>
      <c r="E58" s="329">
        <v>1440</v>
      </c>
      <c r="F58" s="319">
        <v>30</v>
      </c>
      <c r="G58" s="184"/>
      <c r="H58" s="184"/>
      <c r="I58" s="184"/>
      <c r="J58" s="184"/>
      <c r="K58" s="253"/>
      <c r="L58" s="251"/>
      <c r="M58" s="388"/>
      <c r="N58" s="389"/>
      <c r="O58" s="388"/>
      <c r="P58" s="388"/>
      <c r="Q58" s="388"/>
      <c r="R58" s="388"/>
      <c r="S58" s="389"/>
      <c r="T58" s="450"/>
      <c r="U58" s="388"/>
      <c r="V58" s="388"/>
      <c r="W58" s="388"/>
      <c r="X58" s="387"/>
      <c r="Y58" s="390"/>
      <c r="Z58" s="457"/>
      <c r="AA58" s="251"/>
      <c r="AB58" s="251"/>
      <c r="AC58" s="251"/>
      <c r="AD58" s="393"/>
      <c r="AE58" s="251"/>
      <c r="AF58" s="393"/>
      <c r="AG58" s="395"/>
      <c r="AH58" s="184"/>
      <c r="AI58" s="224"/>
      <c r="AJ58" s="184"/>
      <c r="AK58" s="247"/>
      <c r="AL58" s="319"/>
    </row>
    <row r="59" spans="2:38" ht="19.5" customHeight="1">
      <c r="B59" s="319">
        <v>57</v>
      </c>
      <c r="C59" s="396" t="s">
        <v>347</v>
      </c>
      <c r="D59" s="457">
        <v>45803</v>
      </c>
      <c r="E59" s="329">
        <v>1440</v>
      </c>
      <c r="F59" s="400">
        <v>30</v>
      </c>
      <c r="G59" s="184"/>
      <c r="H59" s="184"/>
      <c r="I59" s="184"/>
      <c r="J59" s="184"/>
      <c r="K59" s="253"/>
      <c r="L59" s="251"/>
      <c r="M59" s="388"/>
      <c r="N59" s="389"/>
      <c r="O59" s="388"/>
      <c r="P59" s="388"/>
      <c r="Q59" s="388"/>
      <c r="R59" s="388"/>
      <c r="S59" s="389"/>
      <c r="T59" s="450"/>
      <c r="U59" s="388"/>
      <c r="V59" s="388"/>
      <c r="W59" s="388"/>
      <c r="X59" s="387"/>
      <c r="Y59" s="390"/>
      <c r="Z59" s="457"/>
      <c r="AA59" s="251"/>
      <c r="AB59" s="251"/>
      <c r="AC59" s="251"/>
      <c r="AD59" s="393"/>
      <c r="AE59" s="251"/>
      <c r="AF59" s="393"/>
      <c r="AG59" s="395"/>
      <c r="AH59" s="184"/>
      <c r="AI59" s="224"/>
      <c r="AJ59" s="184"/>
      <c r="AK59" s="247"/>
      <c r="AL59" s="319"/>
    </row>
    <row r="60" spans="2:38" ht="19.5" customHeight="1">
      <c r="B60" s="319">
        <v>58</v>
      </c>
      <c r="C60" s="396" t="s">
        <v>349</v>
      </c>
      <c r="D60" s="457">
        <v>45811</v>
      </c>
      <c r="E60" s="329">
        <v>1440</v>
      </c>
      <c r="F60" s="319">
        <v>30</v>
      </c>
      <c r="G60" s="184"/>
      <c r="H60" s="184"/>
      <c r="I60" s="184"/>
      <c r="J60" s="184"/>
      <c r="K60" s="253"/>
      <c r="L60" s="251"/>
      <c r="M60" s="388"/>
      <c r="N60" s="389"/>
      <c r="O60" s="388"/>
      <c r="P60" s="388"/>
      <c r="Q60" s="388"/>
      <c r="R60" s="388"/>
      <c r="S60" s="389"/>
      <c r="T60" s="450"/>
      <c r="U60" s="388"/>
      <c r="V60" s="388"/>
      <c r="W60" s="388"/>
      <c r="X60" s="387"/>
      <c r="Y60" s="390"/>
      <c r="Z60" s="457"/>
      <c r="AA60" s="251"/>
      <c r="AB60" s="251"/>
      <c r="AC60" s="251"/>
      <c r="AD60" s="393"/>
      <c r="AE60" s="251"/>
      <c r="AF60" s="393"/>
      <c r="AG60" s="395"/>
      <c r="AH60" s="184"/>
      <c r="AI60" s="224"/>
      <c r="AJ60" s="184"/>
      <c r="AK60" s="247"/>
      <c r="AL60" s="319"/>
    </row>
    <row r="61" spans="2:38" ht="19.5" customHeight="1">
      <c r="B61" s="319">
        <v>59</v>
      </c>
      <c r="C61" s="396" t="s">
        <v>350</v>
      </c>
      <c r="D61" s="457">
        <v>45818</v>
      </c>
      <c r="E61" s="329">
        <v>1440</v>
      </c>
      <c r="F61" s="400">
        <v>30</v>
      </c>
      <c r="G61" s="184"/>
      <c r="H61" s="184"/>
      <c r="I61" s="184"/>
      <c r="J61" s="184"/>
      <c r="K61" s="253"/>
      <c r="L61" s="251"/>
      <c r="M61" s="388"/>
      <c r="N61" s="389"/>
      <c r="O61" s="388"/>
      <c r="P61" s="388"/>
      <c r="Q61" s="388"/>
      <c r="R61" s="388"/>
      <c r="S61" s="389"/>
      <c r="T61" s="450"/>
      <c r="U61" s="388"/>
      <c r="V61" s="388"/>
      <c r="W61" s="388"/>
      <c r="X61" s="387"/>
      <c r="Y61" s="390"/>
      <c r="Z61" s="457"/>
      <c r="AA61" s="251"/>
      <c r="AB61" s="251"/>
      <c r="AC61" s="251"/>
      <c r="AD61" s="393"/>
      <c r="AE61" s="251"/>
      <c r="AF61" s="393"/>
      <c r="AG61" s="395"/>
      <c r="AH61" s="184"/>
      <c r="AI61" s="224"/>
      <c r="AJ61" s="184"/>
      <c r="AK61" s="247"/>
      <c r="AL61" s="319"/>
    </row>
    <row r="62" spans="2:38" ht="19.5" customHeight="1">
      <c r="B62" s="319">
        <v>60</v>
      </c>
      <c r="C62" s="396" t="s">
        <v>351</v>
      </c>
      <c r="D62" s="457">
        <v>45824</v>
      </c>
      <c r="E62" s="329">
        <v>1440</v>
      </c>
      <c r="F62" s="319">
        <v>30</v>
      </c>
      <c r="G62" s="184"/>
      <c r="H62" s="184"/>
      <c r="I62" s="184"/>
      <c r="J62" s="184"/>
      <c r="K62" s="253"/>
      <c r="L62" s="251"/>
      <c r="M62" s="388"/>
      <c r="N62" s="389"/>
      <c r="O62" s="388"/>
      <c r="P62" s="388"/>
      <c r="Q62" s="388"/>
      <c r="R62" s="388"/>
      <c r="S62" s="389"/>
      <c r="T62" s="450"/>
      <c r="U62" s="388"/>
      <c r="V62" s="388"/>
      <c r="W62" s="388"/>
      <c r="X62" s="387"/>
      <c r="Y62" s="390"/>
      <c r="Z62" s="457"/>
      <c r="AA62" s="251"/>
      <c r="AB62" s="251"/>
      <c r="AC62" s="251"/>
      <c r="AD62" s="393"/>
      <c r="AE62" s="251"/>
      <c r="AF62" s="393"/>
      <c r="AG62" s="395"/>
      <c r="AH62" s="184"/>
      <c r="AI62" s="224"/>
      <c r="AJ62" s="184"/>
      <c r="AK62" s="247"/>
      <c r="AL62" s="319"/>
    </row>
    <row r="63" spans="2:38" ht="19.5" customHeight="1">
      <c r="B63" s="319">
        <v>61</v>
      </c>
      <c r="C63" s="396" t="s">
        <v>352</v>
      </c>
      <c r="D63" s="457">
        <v>45831</v>
      </c>
      <c r="E63" s="329">
        <v>1440</v>
      </c>
      <c r="F63" s="400">
        <v>30</v>
      </c>
      <c r="G63" s="184"/>
      <c r="H63" s="184"/>
      <c r="I63" s="184"/>
      <c r="J63" s="184"/>
      <c r="K63" s="253"/>
      <c r="L63" s="251"/>
      <c r="M63" s="388"/>
      <c r="N63" s="389"/>
      <c r="O63" s="388"/>
      <c r="P63" s="388"/>
      <c r="Q63" s="388"/>
      <c r="R63" s="388"/>
      <c r="S63" s="389"/>
      <c r="T63" s="450"/>
      <c r="U63" s="388"/>
      <c r="V63" s="388"/>
      <c r="W63" s="388"/>
      <c r="X63" s="387"/>
      <c r="Y63" s="390"/>
      <c r="Z63" s="457"/>
      <c r="AA63" s="251"/>
      <c r="AB63" s="251"/>
      <c r="AC63" s="251"/>
      <c r="AD63" s="393"/>
      <c r="AE63" s="251"/>
      <c r="AF63" s="393"/>
      <c r="AG63" s="395"/>
      <c r="AH63" s="184"/>
      <c r="AI63" s="224"/>
      <c r="AJ63" s="184"/>
      <c r="AK63" s="247"/>
      <c r="AL63" s="319"/>
    </row>
    <row r="64" spans="2:38" ht="19.5" customHeight="1">
      <c r="B64" s="319">
        <v>62</v>
      </c>
      <c r="C64" s="396" t="s">
        <v>353</v>
      </c>
      <c r="D64" s="457">
        <v>45838</v>
      </c>
      <c r="E64" s="329">
        <v>1440</v>
      </c>
      <c r="F64" s="319">
        <v>30</v>
      </c>
      <c r="G64" s="184"/>
      <c r="H64" s="184"/>
      <c r="I64" s="184"/>
      <c r="J64" s="184"/>
      <c r="K64" s="253"/>
      <c r="L64" s="251"/>
      <c r="M64" s="388"/>
      <c r="N64" s="389"/>
      <c r="O64" s="388"/>
      <c r="P64" s="388"/>
      <c r="Q64" s="388"/>
      <c r="R64" s="388"/>
      <c r="S64" s="389"/>
      <c r="T64" s="450"/>
      <c r="U64" s="388"/>
      <c r="V64" s="388"/>
      <c r="W64" s="388"/>
      <c r="X64" s="387"/>
      <c r="Y64" s="390"/>
      <c r="Z64" s="457"/>
      <c r="AA64" s="251"/>
      <c r="AB64" s="251"/>
      <c r="AC64" s="251"/>
      <c r="AD64" s="393"/>
      <c r="AE64" s="251"/>
      <c r="AF64" s="393"/>
      <c r="AG64" s="395"/>
      <c r="AH64" s="184"/>
      <c r="AI64" s="224"/>
      <c r="AJ64" s="184"/>
      <c r="AK64" s="247"/>
      <c r="AL64" s="319"/>
    </row>
    <row r="65" spans="2:38" ht="19.5" customHeight="1">
      <c r="B65" s="319">
        <v>63</v>
      </c>
      <c r="C65" s="396">
        <v>45784</v>
      </c>
      <c r="D65" s="457">
        <v>45843</v>
      </c>
      <c r="E65" s="329">
        <v>1440</v>
      </c>
      <c r="F65" s="400">
        <v>30</v>
      </c>
      <c r="G65" s="184"/>
      <c r="H65" s="184"/>
      <c r="I65" s="184"/>
      <c r="J65" s="184"/>
      <c r="K65" s="253"/>
      <c r="L65" s="251"/>
      <c r="M65" s="388"/>
      <c r="N65" s="389"/>
      <c r="O65" s="388"/>
      <c r="P65" s="388"/>
      <c r="Q65" s="388"/>
      <c r="R65" s="388"/>
      <c r="S65" s="389"/>
      <c r="T65" s="450"/>
      <c r="U65" s="388"/>
      <c r="V65" s="388"/>
      <c r="W65" s="388"/>
      <c r="X65" s="387"/>
      <c r="Y65" s="390"/>
      <c r="Z65" s="457"/>
      <c r="AA65" s="251"/>
      <c r="AB65" s="251"/>
      <c r="AC65" s="251"/>
      <c r="AD65" s="393"/>
      <c r="AE65" s="251"/>
      <c r="AF65" s="393"/>
      <c r="AG65" s="395"/>
      <c r="AH65" s="184"/>
      <c r="AI65" s="224"/>
      <c r="AJ65" s="184"/>
      <c r="AK65" s="247"/>
      <c r="AL65" s="319"/>
    </row>
    <row r="66" spans="2:38" ht="19.5" customHeight="1">
      <c r="B66" s="319">
        <v>64</v>
      </c>
      <c r="C66" s="396">
        <v>45845</v>
      </c>
      <c r="D66" s="457">
        <v>45845</v>
      </c>
      <c r="E66" s="329">
        <v>1440</v>
      </c>
      <c r="F66" s="319">
        <v>30</v>
      </c>
      <c r="G66" s="184"/>
      <c r="H66" s="184"/>
      <c r="I66" s="184"/>
      <c r="J66" s="184"/>
      <c r="K66" s="253"/>
      <c r="L66" s="251"/>
      <c r="M66" s="388"/>
      <c r="N66" s="389"/>
      <c r="O66" s="388"/>
      <c r="P66" s="388"/>
      <c r="Q66" s="388"/>
      <c r="R66" s="388"/>
      <c r="S66" s="389"/>
      <c r="T66" s="450"/>
      <c r="U66" s="388"/>
      <c r="V66" s="388"/>
      <c r="W66" s="388"/>
      <c r="X66" s="387"/>
      <c r="Y66" s="390"/>
      <c r="Z66" s="457"/>
      <c r="AA66" s="251"/>
      <c r="AB66" s="251"/>
      <c r="AC66" s="251"/>
      <c r="AD66" s="393"/>
      <c r="AE66" s="251"/>
      <c r="AF66" s="393"/>
      <c r="AG66" s="395"/>
      <c r="AH66" s="184"/>
      <c r="AI66" s="224"/>
      <c r="AJ66" s="184"/>
      <c r="AK66" s="247"/>
      <c r="AL66" s="319"/>
    </row>
    <row r="67" spans="2:38" ht="19.5" customHeight="1">
      <c r="B67" s="319">
        <v>65</v>
      </c>
      <c r="C67" s="396">
        <v>45998</v>
      </c>
      <c r="D67" s="457">
        <v>45850</v>
      </c>
      <c r="E67" s="329">
        <v>1440</v>
      </c>
      <c r="F67" s="400">
        <v>30</v>
      </c>
      <c r="G67" s="184"/>
      <c r="H67" s="184"/>
      <c r="I67" s="184"/>
      <c r="J67" s="184"/>
      <c r="K67" s="253"/>
      <c r="L67" s="251"/>
      <c r="M67" s="388"/>
      <c r="N67" s="389"/>
      <c r="O67" s="388"/>
      <c r="P67" s="388"/>
      <c r="Q67" s="388"/>
      <c r="R67" s="388"/>
      <c r="S67" s="389"/>
      <c r="T67" s="450"/>
      <c r="U67" s="388"/>
      <c r="V67" s="388"/>
      <c r="W67" s="388"/>
      <c r="X67" s="387"/>
      <c r="Y67" s="390"/>
      <c r="Z67" s="457"/>
      <c r="AA67" s="251"/>
      <c r="AB67" s="251"/>
      <c r="AC67" s="251"/>
      <c r="AD67" s="393"/>
      <c r="AE67" s="251"/>
      <c r="AF67" s="393"/>
      <c r="AG67" s="395"/>
      <c r="AH67" s="184"/>
      <c r="AI67" s="224"/>
      <c r="AJ67" s="184"/>
      <c r="AK67" s="247"/>
      <c r="AL67" s="319"/>
    </row>
    <row r="68" spans="2:38" ht="19.5" customHeight="1">
      <c r="B68" s="319">
        <v>66</v>
      </c>
      <c r="C68" s="396" t="s">
        <v>354</v>
      </c>
      <c r="D68" s="457">
        <v>45852</v>
      </c>
      <c r="E68" s="329">
        <v>1440</v>
      </c>
      <c r="F68" s="319">
        <v>30</v>
      </c>
      <c r="G68" s="184"/>
      <c r="H68" s="184"/>
      <c r="I68" s="184"/>
      <c r="J68" s="184"/>
      <c r="K68" s="253"/>
      <c r="L68" s="251"/>
      <c r="M68" s="388"/>
      <c r="N68" s="389"/>
      <c r="O68" s="388"/>
      <c r="P68" s="388"/>
      <c r="Q68" s="388"/>
      <c r="R68" s="388"/>
      <c r="S68" s="389"/>
      <c r="T68" s="450"/>
      <c r="U68" s="388"/>
      <c r="V68" s="388"/>
      <c r="W68" s="388"/>
      <c r="X68" s="387"/>
      <c r="Y68" s="390"/>
      <c r="Z68" s="457"/>
      <c r="AA68" s="251"/>
      <c r="AB68" s="251"/>
      <c r="AC68" s="251"/>
      <c r="AD68" s="393"/>
      <c r="AE68" s="251"/>
      <c r="AF68" s="393"/>
      <c r="AG68" s="395"/>
      <c r="AH68" s="184"/>
      <c r="AI68" s="224"/>
      <c r="AJ68" s="184"/>
      <c r="AK68" s="247"/>
      <c r="AL68" s="319"/>
    </row>
    <row r="69" spans="2:38" ht="19.5" customHeight="1">
      <c r="B69" s="319">
        <v>67</v>
      </c>
      <c r="C69" s="396" t="s">
        <v>355</v>
      </c>
      <c r="D69" s="457">
        <v>45857</v>
      </c>
      <c r="E69" s="329">
        <v>1440</v>
      </c>
      <c r="F69" s="400">
        <v>30</v>
      </c>
      <c r="G69" s="184"/>
      <c r="H69" s="184"/>
      <c r="I69" s="184"/>
      <c r="J69" s="184"/>
      <c r="K69" s="253"/>
      <c r="L69" s="251"/>
      <c r="M69" s="388"/>
      <c r="N69" s="389"/>
      <c r="O69" s="388"/>
      <c r="P69" s="388"/>
      <c r="Q69" s="388"/>
      <c r="R69" s="388"/>
      <c r="S69" s="389"/>
      <c r="T69" s="450"/>
      <c r="U69" s="388"/>
      <c r="V69" s="388"/>
      <c r="W69" s="388"/>
      <c r="X69" s="387"/>
      <c r="Y69" s="390"/>
      <c r="Z69" s="457"/>
      <c r="AA69" s="251"/>
      <c r="AB69" s="251"/>
      <c r="AC69" s="251"/>
      <c r="AD69" s="393"/>
      <c r="AE69" s="251"/>
      <c r="AF69" s="393"/>
      <c r="AG69" s="395"/>
      <c r="AH69" s="184"/>
      <c r="AI69" s="224"/>
      <c r="AJ69" s="184"/>
      <c r="AK69" s="247"/>
      <c r="AL69" s="319"/>
    </row>
    <row r="70" spans="2:38" ht="19.5" customHeight="1">
      <c r="B70" s="319">
        <v>68</v>
      </c>
      <c r="C70" s="396">
        <v>45669</v>
      </c>
      <c r="D70" s="457">
        <v>45992</v>
      </c>
      <c r="E70" s="329">
        <v>1440</v>
      </c>
      <c r="F70" s="319">
        <v>30</v>
      </c>
      <c r="G70" s="184"/>
      <c r="H70" s="184"/>
      <c r="I70" s="184"/>
      <c r="J70" s="184"/>
      <c r="K70" s="253"/>
      <c r="L70" s="251"/>
      <c r="M70" s="388"/>
      <c r="N70" s="389"/>
      <c r="O70" s="388"/>
      <c r="P70" s="388"/>
      <c r="Q70" s="388"/>
      <c r="R70" s="388"/>
      <c r="S70" s="389"/>
      <c r="T70" s="450"/>
      <c r="U70" s="388"/>
      <c r="V70" s="388"/>
      <c r="W70" s="388"/>
      <c r="X70" s="387"/>
      <c r="Y70" s="390"/>
      <c r="Z70" s="457"/>
      <c r="AA70" s="251"/>
      <c r="AB70" s="251"/>
      <c r="AC70" s="251"/>
      <c r="AD70" s="393"/>
      <c r="AE70" s="251"/>
      <c r="AF70" s="393"/>
      <c r="AG70" s="395"/>
      <c r="AH70" s="184"/>
      <c r="AI70" s="224"/>
      <c r="AJ70" s="184"/>
      <c r="AK70" s="247"/>
      <c r="AL70" s="319"/>
    </row>
    <row r="71" spans="2:38" ht="19.5" customHeight="1">
      <c r="B71" s="319">
        <v>69</v>
      </c>
      <c r="C71" s="396">
        <v>45881</v>
      </c>
      <c r="D71" s="457">
        <v>45999</v>
      </c>
      <c r="E71" s="329">
        <v>1440</v>
      </c>
      <c r="F71" s="400">
        <v>30</v>
      </c>
      <c r="G71" s="184"/>
      <c r="H71" s="184"/>
      <c r="I71" s="184"/>
      <c r="J71" s="184"/>
      <c r="K71" s="253"/>
      <c r="L71" s="251"/>
      <c r="M71" s="388"/>
      <c r="N71" s="389"/>
      <c r="O71" s="388"/>
      <c r="P71" s="388"/>
      <c r="Q71" s="388"/>
      <c r="R71" s="388"/>
      <c r="S71" s="389"/>
      <c r="T71" s="450"/>
      <c r="U71" s="388"/>
      <c r="V71" s="388"/>
      <c r="W71" s="388"/>
      <c r="X71" s="387"/>
      <c r="Y71" s="390"/>
      <c r="Z71" s="457"/>
      <c r="AA71" s="251"/>
      <c r="AB71" s="251"/>
      <c r="AC71" s="251"/>
      <c r="AD71" s="393"/>
      <c r="AE71" s="251"/>
      <c r="AF71" s="393"/>
      <c r="AG71" s="395"/>
      <c r="AH71" s="184"/>
      <c r="AI71" s="224"/>
      <c r="AJ71" s="184"/>
      <c r="AK71" s="247"/>
      <c r="AL71" s="319"/>
    </row>
    <row r="72" spans="2:38" ht="19.5" customHeight="1">
      <c r="B72" s="319">
        <v>70</v>
      </c>
      <c r="C72" s="396" t="s">
        <v>356</v>
      </c>
      <c r="D72" s="457">
        <v>46006</v>
      </c>
      <c r="E72" s="329">
        <v>1440</v>
      </c>
      <c r="F72" s="319">
        <v>30</v>
      </c>
      <c r="G72" s="184"/>
      <c r="H72" s="184"/>
      <c r="I72" s="184"/>
      <c r="J72" s="184"/>
      <c r="K72" s="253"/>
      <c r="L72" s="251"/>
      <c r="M72" s="388"/>
      <c r="N72" s="389"/>
      <c r="O72" s="388"/>
      <c r="P72" s="388"/>
      <c r="Q72" s="388"/>
      <c r="R72" s="388"/>
      <c r="S72" s="389"/>
      <c r="T72" s="450"/>
      <c r="U72" s="388"/>
      <c r="V72" s="388"/>
      <c r="W72" s="388"/>
      <c r="X72" s="387"/>
      <c r="Y72" s="390"/>
      <c r="Z72" s="457"/>
      <c r="AA72" s="251"/>
      <c r="AB72" s="251"/>
      <c r="AC72" s="251"/>
      <c r="AD72" s="393"/>
      <c r="AE72" s="251"/>
      <c r="AF72" s="393"/>
      <c r="AG72" s="395"/>
      <c r="AH72" s="184"/>
      <c r="AI72" s="224"/>
      <c r="AJ72" s="184"/>
      <c r="AK72" s="247"/>
      <c r="AL72" s="319"/>
    </row>
    <row r="73" spans="2:38" ht="19.5" customHeight="1">
      <c r="B73" s="319">
        <v>71</v>
      </c>
      <c r="C73" s="396" t="s">
        <v>357</v>
      </c>
      <c r="D73" s="457">
        <v>46013</v>
      </c>
      <c r="E73" s="329">
        <v>1440</v>
      </c>
      <c r="F73" s="400">
        <v>30</v>
      </c>
      <c r="G73" s="184"/>
      <c r="H73" s="184"/>
      <c r="I73" s="184"/>
      <c r="J73" s="184"/>
      <c r="K73" s="253"/>
      <c r="L73" s="251"/>
      <c r="M73" s="388"/>
      <c r="N73" s="389"/>
      <c r="O73" s="388"/>
      <c r="P73" s="388"/>
      <c r="Q73" s="388"/>
      <c r="R73" s="388"/>
      <c r="S73" s="389"/>
      <c r="T73" s="450"/>
      <c r="U73" s="388"/>
      <c r="V73" s="388"/>
      <c r="W73" s="388"/>
      <c r="X73" s="387"/>
      <c r="Y73" s="390"/>
      <c r="Z73" s="457"/>
      <c r="AA73" s="251"/>
      <c r="AB73" s="251"/>
      <c r="AC73" s="251"/>
      <c r="AD73" s="393"/>
      <c r="AE73" s="251"/>
      <c r="AF73" s="393"/>
      <c r="AG73" s="395"/>
      <c r="AH73" s="184"/>
      <c r="AI73" s="224"/>
      <c r="AJ73" s="184"/>
      <c r="AK73" s="247"/>
      <c r="AL73" s="319"/>
    </row>
    <row r="74" spans="2:38" ht="19.5" customHeight="1">
      <c r="B74" s="319">
        <v>72</v>
      </c>
      <c r="C74" s="396" t="s">
        <v>358</v>
      </c>
      <c r="D74" s="457">
        <v>46020</v>
      </c>
      <c r="E74" s="329">
        <v>1440</v>
      </c>
      <c r="F74" s="319">
        <v>30</v>
      </c>
      <c r="G74" s="184"/>
      <c r="H74" s="184"/>
      <c r="I74" s="184"/>
      <c r="J74" s="184"/>
      <c r="K74" s="253"/>
      <c r="L74" s="251"/>
      <c r="M74" s="388"/>
      <c r="N74" s="389"/>
      <c r="O74" s="388"/>
      <c r="P74" s="388"/>
      <c r="Q74" s="388"/>
      <c r="R74" s="388"/>
      <c r="S74" s="389"/>
      <c r="T74" s="450"/>
      <c r="U74" s="388"/>
      <c r="V74" s="388"/>
      <c r="W74" s="388"/>
      <c r="X74" s="387"/>
      <c r="Y74" s="390"/>
      <c r="Z74" s="457"/>
      <c r="AA74" s="251"/>
      <c r="AB74" s="251"/>
      <c r="AC74" s="251"/>
      <c r="AD74" s="393"/>
      <c r="AE74" s="251"/>
      <c r="AF74" s="393"/>
      <c r="AG74" s="395"/>
      <c r="AH74" s="184"/>
      <c r="AI74" s="224"/>
      <c r="AJ74" s="184"/>
      <c r="AK74" s="247"/>
      <c r="AL74" s="319"/>
    </row>
    <row r="75" spans="2:38" ht="19.5" customHeight="1">
      <c r="B75" s="319">
        <v>73</v>
      </c>
      <c r="C75" s="396">
        <v>46143</v>
      </c>
      <c r="D75" s="457">
        <v>46027</v>
      </c>
      <c r="E75" s="329">
        <v>1440</v>
      </c>
      <c r="F75" s="400">
        <v>30</v>
      </c>
      <c r="G75" s="184"/>
      <c r="H75" s="184"/>
      <c r="I75" s="184"/>
      <c r="J75" s="184"/>
      <c r="K75" s="253"/>
      <c r="L75" s="251"/>
      <c r="M75" s="388"/>
      <c r="N75" s="389"/>
      <c r="O75" s="388"/>
      <c r="P75" s="388"/>
      <c r="Q75" s="388"/>
      <c r="R75" s="388"/>
      <c r="S75" s="389"/>
      <c r="T75" s="450"/>
      <c r="U75" s="388"/>
      <c r="V75" s="388"/>
      <c r="W75" s="388"/>
      <c r="X75" s="387"/>
      <c r="Y75" s="390"/>
      <c r="Z75" s="457"/>
      <c r="AA75" s="251"/>
      <c r="AB75" s="251"/>
      <c r="AC75" s="251"/>
      <c r="AD75" s="393"/>
      <c r="AE75" s="251"/>
      <c r="AF75" s="393"/>
      <c r="AG75" s="395"/>
      <c r="AH75" s="184"/>
      <c r="AI75" s="224"/>
      <c r="AJ75" s="184"/>
      <c r="AK75" s="247"/>
      <c r="AL75" s="319"/>
    </row>
    <row r="76" spans="2:38" ht="19.5" customHeight="1">
      <c r="B76" s="319">
        <v>74</v>
      </c>
      <c r="C76" s="396">
        <v>46357</v>
      </c>
      <c r="D76" s="457">
        <v>46034</v>
      </c>
      <c r="E76" s="329">
        <v>1440</v>
      </c>
      <c r="F76" s="319">
        <v>30</v>
      </c>
      <c r="G76" s="184"/>
      <c r="H76" s="184"/>
      <c r="I76" s="184"/>
      <c r="J76" s="184"/>
      <c r="K76" s="253"/>
      <c r="L76" s="251"/>
      <c r="M76" s="388"/>
      <c r="N76" s="389"/>
      <c r="O76" s="388"/>
      <c r="P76" s="388"/>
      <c r="Q76" s="388"/>
      <c r="R76" s="388"/>
      <c r="S76" s="389"/>
      <c r="T76" s="450"/>
      <c r="U76" s="388"/>
      <c r="V76" s="388"/>
      <c r="W76" s="388"/>
      <c r="X76" s="387"/>
      <c r="Y76" s="390"/>
      <c r="Z76" s="457"/>
      <c r="AA76" s="251"/>
      <c r="AB76" s="251"/>
      <c r="AC76" s="251"/>
      <c r="AD76" s="393"/>
      <c r="AE76" s="251"/>
      <c r="AF76" s="393"/>
      <c r="AG76" s="395"/>
      <c r="AH76" s="184"/>
      <c r="AI76" s="224"/>
      <c r="AJ76" s="184"/>
      <c r="AK76" s="247"/>
      <c r="AL76" s="319"/>
    </row>
    <row r="77" spans="2:38" ht="19.5" customHeight="1">
      <c r="B77" s="319">
        <v>75</v>
      </c>
      <c r="C77" s="396" t="s">
        <v>359</v>
      </c>
      <c r="D77" s="457">
        <v>46041</v>
      </c>
      <c r="E77" s="329">
        <v>1440</v>
      </c>
      <c r="F77" s="400">
        <v>30</v>
      </c>
      <c r="G77" s="184"/>
      <c r="H77" s="184"/>
      <c r="I77" s="184"/>
      <c r="J77" s="184"/>
      <c r="K77" s="253"/>
      <c r="L77" s="251"/>
      <c r="M77" s="388"/>
      <c r="N77" s="389"/>
      <c r="O77" s="388"/>
      <c r="P77" s="388"/>
      <c r="Q77" s="388"/>
      <c r="R77" s="388"/>
      <c r="S77" s="389"/>
      <c r="T77" s="450"/>
      <c r="U77" s="388"/>
      <c r="V77" s="388"/>
      <c r="W77" s="388"/>
      <c r="X77" s="387"/>
      <c r="Y77" s="390"/>
      <c r="Z77" s="457"/>
      <c r="AA77" s="251"/>
      <c r="AB77" s="251"/>
      <c r="AC77" s="251"/>
      <c r="AD77" s="393"/>
      <c r="AE77" s="251"/>
      <c r="AF77" s="393"/>
      <c r="AG77" s="395"/>
      <c r="AH77" s="184"/>
      <c r="AI77" s="224"/>
      <c r="AJ77" s="184"/>
      <c r="AK77" s="247"/>
      <c r="AL77" s="319"/>
    </row>
    <row r="78" spans="2:38" ht="19.5" customHeight="1">
      <c r="B78" s="319">
        <v>76</v>
      </c>
      <c r="C78" s="396" t="s">
        <v>360</v>
      </c>
      <c r="D78" s="457">
        <v>46048</v>
      </c>
      <c r="E78" s="329">
        <v>1440</v>
      </c>
      <c r="F78" s="319">
        <v>30</v>
      </c>
      <c r="G78" s="184"/>
      <c r="H78" s="184"/>
      <c r="I78" s="184"/>
      <c r="J78" s="184"/>
      <c r="K78" s="253"/>
      <c r="L78" s="251"/>
      <c r="M78" s="388"/>
      <c r="N78" s="389"/>
      <c r="O78" s="388"/>
      <c r="P78" s="388"/>
      <c r="Q78" s="388"/>
      <c r="R78" s="388"/>
      <c r="S78" s="389"/>
      <c r="T78" s="450"/>
      <c r="U78" s="388"/>
      <c r="V78" s="388"/>
      <c r="W78" s="388"/>
      <c r="X78" s="387"/>
      <c r="Y78" s="390"/>
      <c r="Z78" s="457"/>
      <c r="AA78" s="251"/>
      <c r="AB78" s="251"/>
      <c r="AC78" s="251"/>
      <c r="AD78" s="393"/>
      <c r="AE78" s="251"/>
      <c r="AF78" s="393"/>
      <c r="AG78" s="395"/>
      <c r="AH78" s="184"/>
      <c r="AI78" s="224"/>
      <c r="AJ78" s="184"/>
      <c r="AK78" s="247"/>
      <c r="AL78" s="319"/>
    </row>
    <row r="79" spans="2:38" ht="19.5" customHeight="1">
      <c r="B79" s="319">
        <v>77</v>
      </c>
      <c r="C79" s="396">
        <v>46055</v>
      </c>
      <c r="D79" s="457">
        <v>46055</v>
      </c>
      <c r="E79" s="329">
        <v>1440</v>
      </c>
      <c r="F79" s="400">
        <v>30</v>
      </c>
      <c r="G79" s="184"/>
      <c r="H79" s="184"/>
      <c r="I79" s="184"/>
      <c r="J79" s="184"/>
      <c r="K79" s="253"/>
      <c r="L79" s="251"/>
      <c r="M79" s="388"/>
      <c r="N79" s="389"/>
      <c r="O79" s="388"/>
      <c r="P79" s="388"/>
      <c r="Q79" s="388"/>
      <c r="R79" s="388"/>
      <c r="S79" s="389"/>
      <c r="T79" s="450"/>
      <c r="U79" s="388"/>
      <c r="V79" s="388"/>
      <c r="W79" s="388"/>
      <c r="X79" s="387"/>
      <c r="Y79" s="390"/>
      <c r="Z79" s="457"/>
      <c r="AA79" s="251"/>
      <c r="AB79" s="251"/>
      <c r="AC79" s="251"/>
      <c r="AD79" s="393"/>
      <c r="AE79" s="251"/>
      <c r="AF79" s="393"/>
      <c r="AG79" s="395"/>
      <c r="AH79" s="184"/>
      <c r="AI79" s="224"/>
      <c r="AJ79" s="184"/>
      <c r="AK79" s="247"/>
      <c r="AL79" s="319"/>
    </row>
    <row r="80" spans="2:38" ht="19.5" customHeight="1">
      <c r="B80" s="319">
        <v>78</v>
      </c>
      <c r="C80" s="396" t="s">
        <v>361</v>
      </c>
      <c r="D80" s="457">
        <v>46069</v>
      </c>
      <c r="E80" s="329">
        <v>1440</v>
      </c>
      <c r="F80" s="319">
        <v>30</v>
      </c>
      <c r="G80" s="184"/>
      <c r="H80" s="184"/>
      <c r="I80" s="184"/>
      <c r="J80" s="184"/>
      <c r="K80" s="253"/>
      <c r="L80" s="251"/>
      <c r="M80" s="388"/>
      <c r="N80" s="389"/>
      <c r="O80" s="388"/>
      <c r="P80" s="388"/>
      <c r="Q80" s="388"/>
      <c r="R80" s="388"/>
      <c r="S80" s="389"/>
      <c r="T80" s="450"/>
      <c r="U80" s="388"/>
      <c r="V80" s="388"/>
      <c r="W80" s="388"/>
      <c r="X80" s="387"/>
      <c r="Y80" s="390"/>
      <c r="Z80" s="457"/>
      <c r="AA80" s="251"/>
      <c r="AB80" s="251"/>
      <c r="AC80" s="251"/>
      <c r="AD80" s="393"/>
      <c r="AE80" s="251"/>
      <c r="AF80" s="393"/>
      <c r="AG80" s="395"/>
      <c r="AH80" s="184"/>
      <c r="AI80" s="224"/>
      <c r="AJ80" s="184"/>
      <c r="AK80" s="247"/>
      <c r="AL80" s="319"/>
    </row>
    <row r="81" spans="2:38" ht="19.5" customHeight="1">
      <c r="B81" s="319">
        <v>79</v>
      </c>
      <c r="C81" s="396" t="s">
        <v>362</v>
      </c>
      <c r="D81" s="457">
        <v>46076</v>
      </c>
      <c r="E81" s="329">
        <v>1440</v>
      </c>
      <c r="F81" s="400">
        <v>30</v>
      </c>
      <c r="G81" s="184"/>
      <c r="H81" s="184"/>
      <c r="I81" s="184"/>
      <c r="J81" s="184"/>
      <c r="K81" s="253"/>
      <c r="L81" s="251"/>
      <c r="M81" s="388"/>
      <c r="N81" s="389"/>
      <c r="O81" s="388"/>
      <c r="P81" s="388"/>
      <c r="Q81" s="388"/>
      <c r="R81" s="388"/>
      <c r="S81" s="389"/>
      <c r="T81" s="450"/>
      <c r="U81" s="388"/>
      <c r="V81" s="388"/>
      <c r="W81" s="388"/>
      <c r="X81" s="387"/>
      <c r="Y81" s="390"/>
      <c r="Z81" s="457"/>
      <c r="AA81" s="251"/>
      <c r="AB81" s="251"/>
      <c r="AC81" s="251"/>
      <c r="AD81" s="393"/>
      <c r="AE81" s="251"/>
      <c r="AF81" s="393"/>
      <c r="AG81" s="395"/>
      <c r="AH81" s="184"/>
      <c r="AI81" s="224"/>
      <c r="AJ81" s="184"/>
      <c r="AK81" s="247"/>
      <c r="AL81" s="319"/>
    </row>
    <row r="82" spans="2:38" ht="19.5" customHeight="1">
      <c r="B82" s="319">
        <v>80</v>
      </c>
      <c r="C82" s="396">
        <v>46115</v>
      </c>
      <c r="D82" s="457">
        <v>46085</v>
      </c>
      <c r="E82" s="329">
        <v>1440</v>
      </c>
      <c r="F82" s="319">
        <v>30</v>
      </c>
      <c r="G82" s="184"/>
      <c r="H82" s="184"/>
      <c r="I82" s="184"/>
      <c r="J82" s="184"/>
      <c r="K82" s="253"/>
      <c r="L82" s="251"/>
      <c r="M82" s="388"/>
      <c r="N82" s="389"/>
      <c r="O82" s="388"/>
      <c r="P82" s="388"/>
      <c r="Q82" s="388"/>
      <c r="R82" s="388"/>
      <c r="S82" s="389"/>
      <c r="T82" s="450"/>
      <c r="U82" s="388"/>
      <c r="V82" s="388"/>
      <c r="W82" s="388"/>
      <c r="X82" s="387"/>
      <c r="Y82" s="390"/>
      <c r="Z82" s="457"/>
      <c r="AA82" s="251"/>
      <c r="AB82" s="251"/>
      <c r="AC82" s="251"/>
      <c r="AD82" s="393"/>
      <c r="AE82" s="251"/>
      <c r="AF82" s="393"/>
      <c r="AG82" s="395"/>
      <c r="AH82" s="184"/>
      <c r="AI82" s="224"/>
      <c r="AJ82" s="184"/>
      <c r="AK82" s="247"/>
      <c r="AL82" s="319"/>
    </row>
    <row r="83" spans="2:38" ht="19.5" customHeight="1">
      <c r="B83" s="319">
        <v>81</v>
      </c>
      <c r="C83" s="396">
        <v>46268</v>
      </c>
      <c r="D83" s="457">
        <v>46090</v>
      </c>
      <c r="E83" s="329">
        <v>1440</v>
      </c>
      <c r="F83" s="400">
        <v>30</v>
      </c>
      <c r="G83" s="184"/>
      <c r="H83" s="184"/>
      <c r="I83" s="184"/>
      <c r="J83" s="184"/>
      <c r="K83" s="253"/>
      <c r="L83" s="251"/>
      <c r="M83" s="388"/>
      <c r="N83" s="389"/>
      <c r="O83" s="388"/>
      <c r="P83" s="388"/>
      <c r="Q83" s="388"/>
      <c r="R83" s="388"/>
      <c r="S83" s="389"/>
      <c r="T83" s="450"/>
      <c r="U83" s="388"/>
      <c r="V83" s="388"/>
      <c r="W83" s="388"/>
      <c r="X83" s="387"/>
      <c r="Y83" s="390"/>
      <c r="Z83" s="457"/>
      <c r="AA83" s="251"/>
      <c r="AB83" s="251"/>
      <c r="AC83" s="251"/>
      <c r="AD83" s="393"/>
      <c r="AE83" s="251"/>
      <c r="AF83" s="393"/>
      <c r="AG83" s="395"/>
      <c r="AH83" s="184"/>
      <c r="AI83" s="224"/>
      <c r="AJ83" s="184"/>
      <c r="AK83" s="247"/>
      <c r="AL83" s="319"/>
    </row>
    <row r="84" spans="2:38" ht="19.5" customHeight="1">
      <c r="B84" s="319">
        <v>82</v>
      </c>
      <c r="C84" s="396" t="s">
        <v>363</v>
      </c>
      <c r="D84" s="457">
        <v>46097</v>
      </c>
      <c r="E84" s="329">
        <v>1440</v>
      </c>
      <c r="F84" s="319">
        <v>30</v>
      </c>
      <c r="G84" s="184"/>
      <c r="H84" s="184"/>
      <c r="I84" s="184"/>
      <c r="J84" s="184"/>
      <c r="K84" s="253"/>
      <c r="L84" s="251"/>
      <c r="M84" s="388"/>
      <c r="N84" s="389"/>
      <c r="O84" s="388"/>
      <c r="P84" s="388"/>
      <c r="Q84" s="388"/>
      <c r="R84" s="388"/>
      <c r="S84" s="389"/>
      <c r="T84" s="450"/>
      <c r="U84" s="388"/>
      <c r="V84" s="388"/>
      <c r="W84" s="388"/>
      <c r="X84" s="387"/>
      <c r="Y84" s="390"/>
      <c r="Z84" s="457"/>
      <c r="AA84" s="251"/>
      <c r="AB84" s="251"/>
      <c r="AC84" s="251"/>
      <c r="AD84" s="393"/>
      <c r="AE84" s="251"/>
      <c r="AF84" s="393"/>
      <c r="AG84" s="395"/>
      <c r="AH84" s="184"/>
      <c r="AI84" s="224"/>
      <c r="AJ84" s="184"/>
      <c r="AK84" s="247"/>
      <c r="AL84" s="319"/>
    </row>
  </sheetData>
  <mergeCells count="2">
    <mergeCell ref="K1:N1"/>
    <mergeCell ref="O1:S1"/>
  </mergeCells>
  <phoneticPr fontId="13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E282-3655-40D9-8CA2-B42B3FAEE5CF}">
  <dimension ref="A1:J40"/>
  <sheetViews>
    <sheetView zoomScale="70" zoomScaleNormal="70" workbookViewId="0"/>
  </sheetViews>
  <sheetFormatPr defaultColWidth="8.6640625" defaultRowHeight="18"/>
  <cols>
    <col min="1" max="1" width="25.4140625" style="581" customWidth="1"/>
    <col min="2" max="2" width="12" style="581" bestFit="1" customWidth="1"/>
    <col min="3" max="3" width="11.75" style="581" bestFit="1" customWidth="1"/>
    <col min="4" max="4" width="9.33203125" style="581" bestFit="1" customWidth="1"/>
    <col min="5" max="5" width="8.75" style="581" bestFit="1" customWidth="1"/>
    <col min="6" max="6" width="9.33203125" style="581" bestFit="1" customWidth="1"/>
    <col min="7" max="8" width="8.75" style="581" bestFit="1" customWidth="1"/>
    <col min="9" max="9" width="21.33203125" style="581" customWidth="1"/>
    <col min="10" max="10" width="8.75" style="581" bestFit="1" customWidth="1"/>
    <col min="11" max="16384" width="8.6640625" style="581"/>
  </cols>
  <sheetData>
    <row r="1" spans="1:10" s="580" customFormat="1">
      <c r="B1" s="335" t="s">
        <v>366</v>
      </c>
      <c r="C1" s="526">
        <f>17.7*22.9</f>
        <v>405.33</v>
      </c>
      <c r="D1" s="335" t="s">
        <v>4</v>
      </c>
      <c r="E1" s="612" t="s">
        <v>389</v>
      </c>
      <c r="F1" s="335">
        <v>1000</v>
      </c>
      <c r="G1" s="335" t="s">
        <v>367</v>
      </c>
      <c r="H1" s="335"/>
    </row>
    <row r="2" spans="1:10" s="580" customFormat="1" ht="14">
      <c r="B2" s="335" t="s">
        <v>368</v>
      </c>
      <c r="C2" s="526">
        <f>1.5*1.5*3.14</f>
        <v>7.0650000000000004</v>
      </c>
      <c r="D2" s="335" t="s">
        <v>4</v>
      </c>
      <c r="E2" s="335"/>
      <c r="F2" s="335"/>
      <c r="G2" s="335"/>
      <c r="H2" s="335"/>
    </row>
    <row r="4" spans="1:10" ht="28">
      <c r="B4" s="582" t="s">
        <v>0</v>
      </c>
      <c r="C4" s="583" t="s">
        <v>1</v>
      </c>
      <c r="D4" s="582" t="s">
        <v>369</v>
      </c>
      <c r="E4" s="583"/>
      <c r="F4" s="582" t="s">
        <v>370</v>
      </c>
      <c r="G4" s="584"/>
      <c r="H4" s="585" t="s">
        <v>371</v>
      </c>
      <c r="I4" s="586" t="s">
        <v>2</v>
      </c>
      <c r="J4" s="587" t="s">
        <v>372</v>
      </c>
    </row>
    <row r="5" spans="1:10">
      <c r="A5" s="581" t="s">
        <v>373</v>
      </c>
      <c r="B5" s="588"/>
      <c r="C5" s="589"/>
      <c r="D5" s="588" t="s">
        <v>374</v>
      </c>
      <c r="E5" s="589" t="s">
        <v>375</v>
      </c>
      <c r="F5" s="588" t="s">
        <v>374</v>
      </c>
      <c r="G5" s="590" t="s">
        <v>375</v>
      </c>
      <c r="H5" s="591"/>
      <c r="I5" s="592"/>
      <c r="J5" s="593" t="s">
        <v>376</v>
      </c>
    </row>
    <row r="6" spans="1:10">
      <c r="A6" s="581">
        <v>3</v>
      </c>
      <c r="B6" s="594">
        <v>121</v>
      </c>
      <c r="C6" s="335" t="s">
        <v>58</v>
      </c>
      <c r="D6" s="595">
        <v>45050</v>
      </c>
      <c r="E6" s="596">
        <v>0.45833333333333331</v>
      </c>
      <c r="F6" s="595">
        <f t="shared" ref="F6:F40" si="0">D6+1</f>
        <v>45051</v>
      </c>
      <c r="G6" s="597">
        <v>0.45833333333333331</v>
      </c>
      <c r="H6" s="598">
        <f t="shared" ref="H6:H40" si="1">(F6+G6)-(D6+E6)</f>
        <v>1</v>
      </c>
      <c r="I6" s="599" t="s">
        <v>6</v>
      </c>
      <c r="J6" s="599">
        <f t="shared" ref="J6:J40" si="2">(DAY(H6)*24*60+HOUR(H6)*60+MINUTE(H6))*$F$1/1000</f>
        <v>1440</v>
      </c>
    </row>
    <row r="7" spans="1:10">
      <c r="A7" s="581">
        <v>2</v>
      </c>
      <c r="B7" s="594">
        <v>122</v>
      </c>
      <c r="C7" s="335" t="s">
        <v>59</v>
      </c>
      <c r="D7" s="595">
        <v>45058</v>
      </c>
      <c r="E7" s="596">
        <v>0.57291666666666663</v>
      </c>
      <c r="F7" s="595">
        <f t="shared" si="0"/>
        <v>45059</v>
      </c>
      <c r="G7" s="597">
        <v>0.57291666666666663</v>
      </c>
      <c r="H7" s="598">
        <f t="shared" si="1"/>
        <v>1</v>
      </c>
      <c r="I7" s="599" t="s">
        <v>6</v>
      </c>
      <c r="J7" s="599">
        <f t="shared" si="2"/>
        <v>1440</v>
      </c>
    </row>
    <row r="8" spans="1:10">
      <c r="A8" s="581">
        <v>2</v>
      </c>
      <c r="B8" s="594">
        <v>123</v>
      </c>
      <c r="C8" s="335" t="s">
        <v>60</v>
      </c>
      <c r="D8" s="595">
        <v>45066</v>
      </c>
      <c r="E8" s="596">
        <v>0.44791666666666669</v>
      </c>
      <c r="F8" s="595">
        <f t="shared" si="0"/>
        <v>45067</v>
      </c>
      <c r="G8" s="597">
        <v>0.44791666666666669</v>
      </c>
      <c r="H8" s="598">
        <f t="shared" si="1"/>
        <v>1</v>
      </c>
      <c r="I8" s="599" t="s">
        <v>6</v>
      </c>
      <c r="J8" s="599">
        <f t="shared" si="2"/>
        <v>1440</v>
      </c>
    </row>
    <row r="9" spans="1:10">
      <c r="A9" s="581">
        <v>4</v>
      </c>
      <c r="B9" s="594">
        <v>124</v>
      </c>
      <c r="C9" s="335" t="s">
        <v>61</v>
      </c>
      <c r="D9" s="595">
        <v>45074</v>
      </c>
      <c r="E9" s="596">
        <v>0.64236111111111116</v>
      </c>
      <c r="F9" s="595">
        <f t="shared" si="0"/>
        <v>45075</v>
      </c>
      <c r="G9" s="597">
        <v>0.64236111111111116</v>
      </c>
      <c r="H9" s="598">
        <f t="shared" si="1"/>
        <v>1</v>
      </c>
      <c r="I9" s="599" t="s">
        <v>6</v>
      </c>
      <c r="J9" s="599">
        <f t="shared" si="2"/>
        <v>1440</v>
      </c>
    </row>
    <row r="10" spans="1:10">
      <c r="A10" s="581">
        <v>2</v>
      </c>
      <c r="B10" s="594">
        <v>125</v>
      </c>
      <c r="C10" s="335" t="s">
        <v>62</v>
      </c>
      <c r="D10" s="595">
        <v>45082</v>
      </c>
      <c r="E10" s="596">
        <v>0.41666666666666669</v>
      </c>
      <c r="F10" s="602">
        <f t="shared" si="0"/>
        <v>45083</v>
      </c>
      <c r="G10" s="597">
        <v>0.41666666666666669</v>
      </c>
      <c r="H10" s="598">
        <f t="shared" si="1"/>
        <v>1</v>
      </c>
      <c r="I10" s="599" t="s">
        <v>6</v>
      </c>
      <c r="J10" s="599">
        <f t="shared" si="2"/>
        <v>1440</v>
      </c>
    </row>
    <row r="11" spans="1:10">
      <c r="A11" s="581">
        <v>3</v>
      </c>
      <c r="B11" s="594">
        <v>126</v>
      </c>
      <c r="C11" s="335" t="s">
        <v>63</v>
      </c>
      <c r="D11" s="595">
        <v>45090</v>
      </c>
      <c r="E11" s="596">
        <v>0.39583333333333331</v>
      </c>
      <c r="F11" s="595">
        <f t="shared" si="0"/>
        <v>45091</v>
      </c>
      <c r="G11" s="597">
        <v>0.39583333333333331</v>
      </c>
      <c r="H11" s="598">
        <f t="shared" si="1"/>
        <v>1</v>
      </c>
      <c r="I11" s="599" t="s">
        <v>6</v>
      </c>
      <c r="J11" s="599">
        <f t="shared" si="2"/>
        <v>1440</v>
      </c>
    </row>
    <row r="12" spans="1:10">
      <c r="A12" s="581">
        <v>2</v>
      </c>
      <c r="B12" s="594">
        <v>127</v>
      </c>
      <c r="C12" s="335" t="s">
        <v>64</v>
      </c>
      <c r="D12" s="595">
        <v>45098</v>
      </c>
      <c r="E12" s="596">
        <v>0.42708333333333331</v>
      </c>
      <c r="F12" s="595">
        <f t="shared" si="0"/>
        <v>45099</v>
      </c>
      <c r="G12" s="597">
        <v>0.42708333333333331</v>
      </c>
      <c r="H12" s="598">
        <f t="shared" si="1"/>
        <v>1</v>
      </c>
      <c r="I12" s="599" t="s">
        <v>6</v>
      </c>
      <c r="J12" s="599">
        <f t="shared" si="2"/>
        <v>1440</v>
      </c>
    </row>
    <row r="13" spans="1:10">
      <c r="A13" s="581">
        <v>1</v>
      </c>
      <c r="B13" s="594">
        <v>128</v>
      </c>
      <c r="C13" s="335" t="s">
        <v>65</v>
      </c>
      <c r="D13" s="595">
        <v>45113</v>
      </c>
      <c r="E13" s="596">
        <v>0.54166666666666663</v>
      </c>
      <c r="F13" s="595">
        <f t="shared" si="0"/>
        <v>45114</v>
      </c>
      <c r="G13" s="597">
        <v>0.54166666666666663</v>
      </c>
      <c r="H13" s="598">
        <f t="shared" si="1"/>
        <v>1</v>
      </c>
      <c r="I13" s="599" t="s">
        <v>6</v>
      </c>
      <c r="J13" s="599">
        <f t="shared" si="2"/>
        <v>1440</v>
      </c>
    </row>
    <row r="14" spans="1:10">
      <c r="A14" s="581">
        <v>3</v>
      </c>
      <c r="B14" s="594">
        <v>129</v>
      </c>
      <c r="C14" s="335" t="s">
        <v>66</v>
      </c>
      <c r="D14" s="595">
        <v>45121</v>
      </c>
      <c r="E14" s="596">
        <v>0.58333333333333337</v>
      </c>
      <c r="F14" s="595">
        <f t="shared" si="0"/>
        <v>45122</v>
      </c>
      <c r="G14" s="597">
        <v>0.58333333333333337</v>
      </c>
      <c r="H14" s="598">
        <f t="shared" si="1"/>
        <v>1</v>
      </c>
      <c r="I14" s="599" t="s">
        <v>6</v>
      </c>
      <c r="J14" s="599">
        <f t="shared" si="2"/>
        <v>1440</v>
      </c>
    </row>
    <row r="15" spans="1:10">
      <c r="A15" s="581">
        <v>1</v>
      </c>
      <c r="B15" s="594">
        <v>130</v>
      </c>
      <c r="C15" s="335" t="s">
        <v>67</v>
      </c>
      <c r="D15" s="595">
        <v>45129</v>
      </c>
      <c r="E15" s="596">
        <v>0.58333333333333337</v>
      </c>
      <c r="F15" s="595">
        <f t="shared" si="0"/>
        <v>45130</v>
      </c>
      <c r="G15" s="597">
        <v>0.58333333333333337</v>
      </c>
      <c r="H15" s="598">
        <f t="shared" si="1"/>
        <v>1</v>
      </c>
      <c r="I15" s="599" t="s">
        <v>6</v>
      </c>
      <c r="J15" s="599">
        <f t="shared" si="2"/>
        <v>1440</v>
      </c>
    </row>
    <row r="16" spans="1:10">
      <c r="A16" s="581">
        <v>1</v>
      </c>
      <c r="B16" s="594">
        <v>131</v>
      </c>
      <c r="C16" s="335" t="s">
        <v>68</v>
      </c>
      <c r="D16" s="595">
        <v>45137</v>
      </c>
      <c r="E16" s="596">
        <v>0.375</v>
      </c>
      <c r="F16" s="595">
        <f t="shared" si="0"/>
        <v>45138</v>
      </c>
      <c r="G16" s="597">
        <v>0.375</v>
      </c>
      <c r="H16" s="598">
        <f t="shared" si="1"/>
        <v>1</v>
      </c>
      <c r="I16" s="599" t="s">
        <v>6</v>
      </c>
      <c r="J16" s="599">
        <f t="shared" si="2"/>
        <v>1440</v>
      </c>
    </row>
    <row r="17" spans="1:10">
      <c r="A17" s="581">
        <v>4</v>
      </c>
      <c r="B17" s="594">
        <v>132</v>
      </c>
      <c r="C17" s="335" t="s">
        <v>69</v>
      </c>
      <c r="D17" s="595">
        <v>45145</v>
      </c>
      <c r="E17" s="596">
        <v>0.375</v>
      </c>
      <c r="F17" s="595">
        <f t="shared" si="0"/>
        <v>45146</v>
      </c>
      <c r="G17" s="597">
        <v>0.375</v>
      </c>
      <c r="H17" s="598">
        <f t="shared" si="1"/>
        <v>1</v>
      </c>
      <c r="I17" s="599" t="s">
        <v>6</v>
      </c>
      <c r="J17" s="599">
        <f t="shared" si="2"/>
        <v>1440</v>
      </c>
    </row>
    <row r="18" spans="1:10">
      <c r="A18" s="581">
        <v>3</v>
      </c>
      <c r="B18" s="594">
        <v>133</v>
      </c>
      <c r="C18" s="335" t="s">
        <v>70</v>
      </c>
      <c r="D18" s="595">
        <v>45153</v>
      </c>
      <c r="E18" s="596">
        <v>0.375</v>
      </c>
      <c r="F18" s="595">
        <f t="shared" si="0"/>
        <v>45154</v>
      </c>
      <c r="G18" s="597">
        <v>0.375</v>
      </c>
      <c r="H18" s="598">
        <f t="shared" si="1"/>
        <v>1</v>
      </c>
      <c r="I18" s="599" t="s">
        <v>6</v>
      </c>
      <c r="J18" s="599">
        <f t="shared" si="2"/>
        <v>1440</v>
      </c>
    </row>
    <row r="19" spans="1:10">
      <c r="A19" s="581" t="s">
        <v>377</v>
      </c>
      <c r="B19" s="594">
        <v>134</v>
      </c>
      <c r="C19" s="335" t="s">
        <v>378</v>
      </c>
      <c r="D19" s="595">
        <v>45161</v>
      </c>
      <c r="E19" s="596">
        <v>0.375</v>
      </c>
      <c r="F19" s="595">
        <f t="shared" si="0"/>
        <v>45162</v>
      </c>
      <c r="G19" s="597">
        <v>0.375</v>
      </c>
      <c r="H19" s="598">
        <f t="shared" si="1"/>
        <v>1</v>
      </c>
      <c r="I19" s="599" t="s">
        <v>6</v>
      </c>
      <c r="J19" s="599">
        <f t="shared" si="2"/>
        <v>1440</v>
      </c>
    </row>
    <row r="20" spans="1:10">
      <c r="A20" s="581">
        <v>4</v>
      </c>
      <c r="B20" s="594">
        <v>135</v>
      </c>
      <c r="C20" s="335" t="s">
        <v>71</v>
      </c>
      <c r="D20" s="595">
        <v>45170</v>
      </c>
      <c r="E20" s="596">
        <v>0.375</v>
      </c>
      <c r="F20" s="595">
        <f t="shared" si="0"/>
        <v>45171</v>
      </c>
      <c r="G20" s="597">
        <v>0.375</v>
      </c>
      <c r="H20" s="598">
        <f t="shared" si="1"/>
        <v>1</v>
      </c>
      <c r="I20" s="599" t="s">
        <v>6</v>
      </c>
      <c r="J20" s="599">
        <f t="shared" si="2"/>
        <v>1440</v>
      </c>
    </row>
    <row r="21" spans="1:10">
      <c r="A21" s="581">
        <v>5</v>
      </c>
      <c r="B21" s="594">
        <v>136</v>
      </c>
      <c r="C21" s="335" t="s">
        <v>72</v>
      </c>
      <c r="D21" s="595">
        <v>45178</v>
      </c>
      <c r="E21" s="596">
        <v>0.375</v>
      </c>
      <c r="F21" s="595">
        <f t="shared" si="0"/>
        <v>45179</v>
      </c>
      <c r="G21" s="597">
        <v>0.375</v>
      </c>
      <c r="H21" s="598">
        <f t="shared" si="1"/>
        <v>1</v>
      </c>
      <c r="I21" s="599" t="s">
        <v>6</v>
      </c>
      <c r="J21" s="599">
        <f t="shared" si="2"/>
        <v>1440</v>
      </c>
    </row>
    <row r="22" spans="1:10">
      <c r="A22" s="581">
        <v>2</v>
      </c>
      <c r="B22" s="594">
        <v>137</v>
      </c>
      <c r="C22" s="335" t="s">
        <v>73</v>
      </c>
      <c r="D22" s="595">
        <v>45186</v>
      </c>
      <c r="E22" s="596">
        <v>0.375</v>
      </c>
      <c r="F22" s="595">
        <f t="shared" si="0"/>
        <v>45187</v>
      </c>
      <c r="G22" s="597">
        <v>0.375</v>
      </c>
      <c r="H22" s="598">
        <f t="shared" si="1"/>
        <v>1</v>
      </c>
      <c r="I22" s="599" t="s">
        <v>6</v>
      </c>
      <c r="J22" s="599">
        <f t="shared" si="2"/>
        <v>1440</v>
      </c>
    </row>
    <row r="23" spans="1:10">
      <c r="A23" s="581">
        <v>5</v>
      </c>
      <c r="B23" s="594">
        <v>138</v>
      </c>
      <c r="C23" s="364" t="s">
        <v>74</v>
      </c>
      <c r="D23" s="600">
        <v>45568</v>
      </c>
      <c r="E23" s="601">
        <v>0.375</v>
      </c>
      <c r="F23" s="600">
        <f t="shared" si="0"/>
        <v>45569</v>
      </c>
      <c r="G23" s="603">
        <v>0.375</v>
      </c>
      <c r="H23" s="604">
        <f t="shared" si="1"/>
        <v>1</v>
      </c>
      <c r="I23" s="605" t="s">
        <v>6</v>
      </c>
      <c r="J23" s="605">
        <f t="shared" si="2"/>
        <v>1440</v>
      </c>
    </row>
    <row r="24" spans="1:10" s="580" customFormat="1" ht="18" customHeight="1">
      <c r="B24" s="594">
        <v>139</v>
      </c>
      <c r="C24" s="340" t="s">
        <v>23</v>
      </c>
      <c r="D24" s="595">
        <v>45293</v>
      </c>
      <c r="E24" s="596">
        <v>0.375</v>
      </c>
      <c r="F24" s="595">
        <f t="shared" si="0"/>
        <v>45294</v>
      </c>
      <c r="G24" s="597">
        <v>0.375</v>
      </c>
      <c r="H24" s="598">
        <f t="shared" si="1"/>
        <v>1</v>
      </c>
      <c r="I24" s="599" t="s">
        <v>6</v>
      </c>
      <c r="J24" s="599">
        <f t="shared" si="2"/>
        <v>1440</v>
      </c>
    </row>
    <row r="25" spans="1:10" s="606" customFormat="1">
      <c r="B25" s="594">
        <v>140</v>
      </c>
      <c r="C25" s="335" t="s">
        <v>7</v>
      </c>
      <c r="D25" s="595">
        <v>45300</v>
      </c>
      <c r="E25" s="596">
        <v>0.375</v>
      </c>
      <c r="F25" s="595">
        <f t="shared" si="0"/>
        <v>45301</v>
      </c>
      <c r="G25" s="597">
        <v>0.375</v>
      </c>
      <c r="H25" s="598">
        <f t="shared" si="1"/>
        <v>1</v>
      </c>
      <c r="I25" s="599" t="s">
        <v>6</v>
      </c>
      <c r="J25" s="599">
        <f t="shared" si="2"/>
        <v>1440</v>
      </c>
    </row>
    <row r="26" spans="1:10" s="606" customFormat="1">
      <c r="B26" s="594">
        <v>141</v>
      </c>
      <c r="C26" s="335" t="s">
        <v>8</v>
      </c>
      <c r="D26" s="595">
        <v>45305</v>
      </c>
      <c r="E26" s="596">
        <v>0.375</v>
      </c>
      <c r="F26" s="595">
        <f t="shared" si="0"/>
        <v>45306</v>
      </c>
      <c r="G26" s="597">
        <v>0.375</v>
      </c>
      <c r="H26" s="598">
        <f t="shared" si="1"/>
        <v>1</v>
      </c>
      <c r="I26" s="599" t="s">
        <v>6</v>
      </c>
      <c r="J26" s="599">
        <f t="shared" si="2"/>
        <v>1440</v>
      </c>
    </row>
    <row r="27" spans="1:10" s="606" customFormat="1">
      <c r="B27" s="594">
        <v>142</v>
      </c>
      <c r="C27" s="335" t="s">
        <v>9</v>
      </c>
      <c r="D27" s="595">
        <v>45310</v>
      </c>
      <c r="E27" s="596">
        <v>0.375</v>
      </c>
      <c r="F27" s="595">
        <f t="shared" si="0"/>
        <v>45311</v>
      </c>
      <c r="G27" s="597">
        <v>0.375</v>
      </c>
      <c r="H27" s="598">
        <f t="shared" si="1"/>
        <v>1</v>
      </c>
      <c r="I27" s="599" t="s">
        <v>6</v>
      </c>
      <c r="J27" s="599">
        <f t="shared" si="2"/>
        <v>1440</v>
      </c>
    </row>
    <row r="28" spans="1:10" s="606" customFormat="1">
      <c r="B28" s="594">
        <v>143</v>
      </c>
      <c r="C28" s="335" t="s">
        <v>10</v>
      </c>
      <c r="D28" s="595">
        <v>45315</v>
      </c>
      <c r="E28" s="596">
        <v>0.375</v>
      </c>
      <c r="F28" s="595">
        <f t="shared" si="0"/>
        <v>45316</v>
      </c>
      <c r="G28" s="597">
        <v>0.375</v>
      </c>
      <c r="H28" s="598">
        <f t="shared" si="1"/>
        <v>1</v>
      </c>
      <c r="I28" s="599" t="s">
        <v>6</v>
      </c>
      <c r="J28" s="599">
        <f t="shared" si="2"/>
        <v>1440</v>
      </c>
    </row>
    <row r="29" spans="1:10" s="606" customFormat="1">
      <c r="B29" s="594">
        <v>144</v>
      </c>
      <c r="C29" s="335" t="s">
        <v>11</v>
      </c>
      <c r="D29" s="595">
        <v>45320</v>
      </c>
      <c r="E29" s="596">
        <v>0.375</v>
      </c>
      <c r="F29" s="595">
        <f t="shared" si="0"/>
        <v>45321</v>
      </c>
      <c r="G29" s="597">
        <v>0.375</v>
      </c>
      <c r="H29" s="598">
        <f t="shared" si="1"/>
        <v>1</v>
      </c>
      <c r="I29" s="599" t="s">
        <v>6</v>
      </c>
      <c r="J29" s="599">
        <f t="shared" si="2"/>
        <v>1440</v>
      </c>
    </row>
    <row r="30" spans="1:10" s="606" customFormat="1">
      <c r="B30" s="594">
        <v>145</v>
      </c>
      <c r="C30" s="335" t="s">
        <v>12</v>
      </c>
      <c r="D30" s="595">
        <v>45327</v>
      </c>
      <c r="E30" s="596">
        <v>0.375</v>
      </c>
      <c r="F30" s="595">
        <f t="shared" si="0"/>
        <v>45328</v>
      </c>
      <c r="G30" s="597">
        <v>0.375</v>
      </c>
      <c r="H30" s="598">
        <f t="shared" si="1"/>
        <v>1</v>
      </c>
      <c r="I30" s="599" t="s">
        <v>6</v>
      </c>
      <c r="J30" s="599">
        <f t="shared" si="2"/>
        <v>1440</v>
      </c>
    </row>
    <row r="31" spans="1:10" s="606" customFormat="1">
      <c r="B31" s="594">
        <v>146</v>
      </c>
      <c r="C31" s="335" t="s">
        <v>13</v>
      </c>
      <c r="D31" s="595">
        <v>45337</v>
      </c>
      <c r="E31" s="596">
        <v>0.375</v>
      </c>
      <c r="F31" s="595">
        <f t="shared" si="0"/>
        <v>45338</v>
      </c>
      <c r="G31" s="597">
        <v>0.375</v>
      </c>
      <c r="H31" s="598">
        <f t="shared" si="1"/>
        <v>1</v>
      </c>
      <c r="I31" s="599" t="s">
        <v>6</v>
      </c>
      <c r="J31" s="599">
        <f t="shared" si="2"/>
        <v>1440</v>
      </c>
    </row>
    <row r="32" spans="1:10" s="606" customFormat="1">
      <c r="B32" s="594">
        <v>147</v>
      </c>
      <c r="C32" s="335" t="s">
        <v>14</v>
      </c>
      <c r="D32" s="595">
        <v>45340</v>
      </c>
      <c r="E32" s="596">
        <v>0.375</v>
      </c>
      <c r="F32" s="595">
        <f t="shared" si="0"/>
        <v>45341</v>
      </c>
      <c r="G32" s="597">
        <v>0.375</v>
      </c>
      <c r="H32" s="598">
        <f t="shared" si="1"/>
        <v>1</v>
      </c>
      <c r="I32" s="599" t="s">
        <v>6</v>
      </c>
      <c r="J32" s="599">
        <f t="shared" si="2"/>
        <v>1440</v>
      </c>
    </row>
    <row r="33" spans="2:10" s="606" customFormat="1">
      <c r="B33" s="594">
        <v>148</v>
      </c>
      <c r="C33" s="335" t="s">
        <v>15</v>
      </c>
      <c r="D33" s="595">
        <v>45347</v>
      </c>
      <c r="E33" s="596">
        <v>0.375</v>
      </c>
      <c r="F33" s="595">
        <f t="shared" si="0"/>
        <v>45348</v>
      </c>
      <c r="G33" s="597">
        <v>0.375</v>
      </c>
      <c r="H33" s="598">
        <f t="shared" si="1"/>
        <v>1</v>
      </c>
      <c r="I33" s="599" t="s">
        <v>6</v>
      </c>
      <c r="J33" s="599">
        <f t="shared" si="2"/>
        <v>1440</v>
      </c>
    </row>
    <row r="34" spans="2:10" s="606" customFormat="1">
      <c r="B34" s="594">
        <v>149</v>
      </c>
      <c r="C34" s="335" t="s">
        <v>16</v>
      </c>
      <c r="D34" s="595">
        <v>45356</v>
      </c>
      <c r="E34" s="596">
        <v>0.375</v>
      </c>
      <c r="F34" s="595">
        <f t="shared" si="0"/>
        <v>45357</v>
      </c>
      <c r="G34" s="597">
        <v>0.375</v>
      </c>
      <c r="H34" s="598">
        <f t="shared" si="1"/>
        <v>1</v>
      </c>
      <c r="I34" s="599" t="s">
        <v>6</v>
      </c>
      <c r="J34" s="599">
        <f t="shared" si="2"/>
        <v>1440</v>
      </c>
    </row>
    <row r="35" spans="2:10" s="606" customFormat="1">
      <c r="B35" s="594">
        <v>150</v>
      </c>
      <c r="C35" s="335" t="s">
        <v>17</v>
      </c>
      <c r="D35" s="595">
        <v>45361</v>
      </c>
      <c r="E35" s="596">
        <v>0.375</v>
      </c>
      <c r="F35" s="595">
        <f t="shared" si="0"/>
        <v>45362</v>
      </c>
      <c r="G35" s="597">
        <v>0.375</v>
      </c>
      <c r="H35" s="598">
        <f t="shared" si="1"/>
        <v>1</v>
      </c>
      <c r="I35" s="599" t="s">
        <v>6</v>
      </c>
      <c r="J35" s="599">
        <f t="shared" si="2"/>
        <v>1440</v>
      </c>
    </row>
    <row r="36" spans="2:10" s="606" customFormat="1">
      <c r="B36" s="594">
        <v>151</v>
      </c>
      <c r="C36" s="335" t="s">
        <v>18</v>
      </c>
      <c r="D36" s="595">
        <v>45369</v>
      </c>
      <c r="E36" s="596">
        <v>0.375</v>
      </c>
      <c r="F36" s="595">
        <f t="shared" si="0"/>
        <v>45370</v>
      </c>
      <c r="G36" s="597">
        <v>0.375</v>
      </c>
      <c r="H36" s="598">
        <f t="shared" si="1"/>
        <v>1</v>
      </c>
      <c r="I36" s="599" t="s">
        <v>6</v>
      </c>
      <c r="J36" s="599">
        <f t="shared" si="2"/>
        <v>1440</v>
      </c>
    </row>
    <row r="37" spans="2:10" s="606" customFormat="1">
      <c r="B37" s="594">
        <v>152</v>
      </c>
      <c r="C37" s="335" t="s">
        <v>19</v>
      </c>
      <c r="D37" s="595">
        <v>45376</v>
      </c>
      <c r="E37" s="596">
        <v>0.375</v>
      </c>
      <c r="F37" s="595">
        <f t="shared" si="0"/>
        <v>45377</v>
      </c>
      <c r="G37" s="597">
        <v>0.375</v>
      </c>
      <c r="H37" s="598">
        <f t="shared" si="1"/>
        <v>1</v>
      </c>
      <c r="I37" s="599" t="s">
        <v>6</v>
      </c>
      <c r="J37" s="599">
        <f t="shared" si="2"/>
        <v>1440</v>
      </c>
    </row>
    <row r="38" spans="2:10" s="606" customFormat="1">
      <c r="B38" s="594">
        <v>153</v>
      </c>
      <c r="C38" s="335" t="s">
        <v>20</v>
      </c>
      <c r="D38" s="595">
        <v>45384</v>
      </c>
      <c r="E38" s="596">
        <v>0.375</v>
      </c>
      <c r="F38" s="595">
        <f t="shared" si="0"/>
        <v>45385</v>
      </c>
      <c r="G38" s="597">
        <v>0.375</v>
      </c>
      <c r="H38" s="598">
        <f t="shared" si="1"/>
        <v>1</v>
      </c>
      <c r="I38" s="599" t="s">
        <v>6</v>
      </c>
      <c r="J38" s="599">
        <f t="shared" si="2"/>
        <v>1440</v>
      </c>
    </row>
    <row r="39" spans="2:10" s="606" customFormat="1">
      <c r="B39" s="594">
        <v>154</v>
      </c>
      <c r="C39" s="335" t="s">
        <v>21</v>
      </c>
      <c r="D39" s="595">
        <v>45398</v>
      </c>
      <c r="E39" s="596">
        <v>0.375</v>
      </c>
      <c r="F39" s="595">
        <f t="shared" si="0"/>
        <v>45399</v>
      </c>
      <c r="G39" s="597">
        <v>0.375</v>
      </c>
      <c r="H39" s="598">
        <f t="shared" si="1"/>
        <v>1</v>
      </c>
      <c r="I39" s="599" t="s">
        <v>6</v>
      </c>
      <c r="J39" s="599">
        <f t="shared" si="2"/>
        <v>1440</v>
      </c>
    </row>
    <row r="40" spans="2:10" s="606" customFormat="1">
      <c r="B40" s="594">
        <v>155</v>
      </c>
      <c r="C40" s="364" t="s">
        <v>22</v>
      </c>
      <c r="D40" s="600">
        <v>45406</v>
      </c>
      <c r="E40" s="601">
        <v>0.375</v>
      </c>
      <c r="F40" s="600">
        <f t="shared" si="0"/>
        <v>45407</v>
      </c>
      <c r="G40" s="603">
        <v>0.375</v>
      </c>
      <c r="H40" s="604">
        <f t="shared" si="1"/>
        <v>1</v>
      </c>
      <c r="I40" s="605" t="s">
        <v>6</v>
      </c>
      <c r="J40" s="605">
        <f t="shared" si="2"/>
        <v>1440</v>
      </c>
    </row>
  </sheetData>
  <phoneticPr fontId="1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4505-F7FB-4277-A2B4-53C7478E4965}">
  <dimension ref="A1:AF46"/>
  <sheetViews>
    <sheetView topLeftCell="M1" zoomScale="80" zoomScaleNormal="80" workbookViewId="0">
      <selection activeCell="AE45" sqref="AE45"/>
    </sheetView>
  </sheetViews>
  <sheetFormatPr defaultColWidth="8.25" defaultRowHeight="14"/>
  <cols>
    <col min="1" max="1" width="12" style="3" bestFit="1" customWidth="1"/>
    <col min="2" max="2" width="13.1640625" style="3" bestFit="1" customWidth="1"/>
    <col min="3" max="3" width="13.33203125" style="3" customWidth="1"/>
    <col min="4" max="4" width="13.9140625" style="3" customWidth="1"/>
    <col min="5" max="5" width="9.6640625" style="3" bestFit="1" customWidth="1"/>
    <col min="6" max="7" width="8.25" style="3"/>
    <col min="8" max="12" width="6.75" style="3" customWidth="1"/>
    <col min="13" max="13" width="8.6640625" style="3" bestFit="1" customWidth="1"/>
    <col min="14" max="18" width="6.75" style="3" customWidth="1"/>
    <col min="19" max="19" width="7.6640625" style="3" bestFit="1" customWidth="1"/>
    <col min="20" max="30" width="6.75" style="3" customWidth="1"/>
    <col min="31" max="31" width="12.58203125" style="3" bestFit="1" customWidth="1"/>
    <col min="32" max="32" width="25.1640625" style="3" customWidth="1"/>
    <col min="33" max="16384" width="8.25" style="3"/>
  </cols>
  <sheetData>
    <row r="1" spans="1:32">
      <c r="A1" s="3" t="s">
        <v>3</v>
      </c>
      <c r="B1" s="132">
        <f>17.7*22.9</f>
        <v>405.33</v>
      </c>
      <c r="C1" s="3" t="s">
        <v>4</v>
      </c>
    </row>
    <row r="2" spans="1:32">
      <c r="A2" s="3" t="s">
        <v>5</v>
      </c>
      <c r="B2" s="3">
        <f>1.5*1.5*3.14</f>
        <v>7.0650000000000004</v>
      </c>
      <c r="C2" s="3" t="s">
        <v>4</v>
      </c>
    </row>
    <row r="4" spans="1:32" ht="14.5" thickBot="1">
      <c r="H4" s="618" t="s">
        <v>24</v>
      </c>
      <c r="I4" s="619"/>
      <c r="J4" s="619"/>
      <c r="K4" s="619"/>
      <c r="L4" s="620"/>
      <c r="M4" s="108"/>
      <c r="N4" s="621" t="s">
        <v>25</v>
      </c>
      <c r="O4" s="622"/>
      <c r="P4" s="622"/>
      <c r="Q4" s="622"/>
      <c r="R4" s="622"/>
      <c r="S4" s="623"/>
      <c r="T4" s="618" t="s">
        <v>26</v>
      </c>
      <c r="U4" s="619"/>
      <c r="V4" s="619"/>
      <c r="W4" s="619"/>
      <c r="X4" s="620"/>
      <c r="Y4" s="624" t="s">
        <v>27</v>
      </c>
      <c r="Z4" s="622"/>
      <c r="AA4" s="622"/>
      <c r="AB4" s="622"/>
      <c r="AC4" s="622"/>
      <c r="AD4" s="623"/>
    </row>
    <row r="5" spans="1:32" ht="29.5">
      <c r="A5" s="133" t="s">
        <v>0</v>
      </c>
      <c r="B5" s="134" t="s">
        <v>28</v>
      </c>
      <c r="C5" s="109" t="s">
        <v>1</v>
      </c>
      <c r="D5" s="140" t="s">
        <v>75</v>
      </c>
      <c r="E5" s="110" t="s">
        <v>29</v>
      </c>
      <c r="F5" s="111" t="s">
        <v>30</v>
      </c>
      <c r="G5" s="112" t="s">
        <v>31</v>
      </c>
      <c r="H5" s="53" t="s">
        <v>32</v>
      </c>
      <c r="I5" s="46" t="s">
        <v>33</v>
      </c>
      <c r="J5" s="46" t="s">
        <v>34</v>
      </c>
      <c r="K5" s="113" t="s">
        <v>35</v>
      </c>
      <c r="L5" s="114" t="s">
        <v>36</v>
      </c>
      <c r="M5" s="115" t="s">
        <v>37</v>
      </c>
      <c r="N5" s="50" t="s">
        <v>38</v>
      </c>
      <c r="O5" s="116" t="s">
        <v>39</v>
      </c>
      <c r="P5" s="117" t="s">
        <v>40</v>
      </c>
      <c r="Q5" s="116" t="s">
        <v>41</v>
      </c>
      <c r="R5" s="116" t="s">
        <v>42</v>
      </c>
      <c r="S5" s="118" t="s">
        <v>43</v>
      </c>
      <c r="T5" s="119" t="s">
        <v>32</v>
      </c>
      <c r="U5" s="47" t="s">
        <v>33</v>
      </c>
      <c r="V5" s="47" t="s">
        <v>34</v>
      </c>
      <c r="W5" s="120" t="s">
        <v>35</v>
      </c>
      <c r="X5" s="121" t="s">
        <v>36</v>
      </c>
      <c r="Y5" s="122" t="s">
        <v>38</v>
      </c>
      <c r="Z5" s="123" t="s">
        <v>39</v>
      </c>
      <c r="AA5" s="124" t="s">
        <v>40</v>
      </c>
      <c r="AB5" s="123" t="s">
        <v>41</v>
      </c>
      <c r="AC5" s="123" t="s">
        <v>42</v>
      </c>
      <c r="AD5" s="123" t="s">
        <v>43</v>
      </c>
      <c r="AE5" s="12" t="s">
        <v>44</v>
      </c>
      <c r="AF5" s="164" t="s">
        <v>2</v>
      </c>
    </row>
    <row r="6" spans="1:32">
      <c r="A6" s="81">
        <v>121</v>
      </c>
      <c r="B6" s="1" t="s">
        <v>58</v>
      </c>
      <c r="C6" s="136">
        <v>45050</v>
      </c>
      <c r="D6" s="137">
        <v>45532</v>
      </c>
      <c r="E6" s="16">
        <v>1440</v>
      </c>
      <c r="F6" s="3">
        <v>3</v>
      </c>
      <c r="G6" s="17">
        <v>30</v>
      </c>
      <c r="H6" s="18">
        <v>0.31511</v>
      </c>
      <c r="I6" s="19">
        <v>0</v>
      </c>
      <c r="J6" s="19">
        <v>0</v>
      </c>
      <c r="K6" s="125">
        <v>1.52528</v>
      </c>
      <c r="L6" s="20">
        <v>19.362359000000001</v>
      </c>
      <c r="M6" s="21">
        <f>I6/K6</f>
        <v>0</v>
      </c>
      <c r="N6" s="141">
        <v>0</v>
      </c>
      <c r="O6" s="35">
        <v>0.26944000000000001</v>
      </c>
      <c r="P6" s="142">
        <v>5.0520009999999997</v>
      </c>
      <c r="Q6" s="35">
        <v>8.8029999999999997E-2</v>
      </c>
      <c r="R6" s="35">
        <v>1.24387</v>
      </c>
      <c r="S6" s="35">
        <v>0.89087799999999995</v>
      </c>
      <c r="T6" s="18">
        <f t="shared" ref="T6:X20" si="0">(H6/1000*$G6)*(1000/$E6)*($B$1/($B$2*$F6))</f>
        <v>0.12554409088228352</v>
      </c>
      <c r="U6" s="19">
        <f t="shared" si="0"/>
        <v>0</v>
      </c>
      <c r="V6" s="19">
        <f t="shared" si="0"/>
        <v>0</v>
      </c>
      <c r="W6" s="125">
        <f t="shared" si="0"/>
        <v>0.60769220570889348</v>
      </c>
      <c r="X6" s="19">
        <f t="shared" si="0"/>
        <v>7.7142260099374855</v>
      </c>
      <c r="Y6" s="18">
        <f t="shared" ref="Y6:AD21" si="1">(N6/1000*$G6)*(1000/$E6)*($B$1/($B$2*$F6))</f>
        <v>0</v>
      </c>
      <c r="Z6" s="19">
        <f t="shared" si="1"/>
        <v>0.10734854446803489</v>
      </c>
      <c r="AA6" s="125">
        <f t="shared" si="1"/>
        <v>2.012785607189195</v>
      </c>
      <c r="AB6" s="19">
        <f t="shared" si="1"/>
        <v>3.5072344008020749E-2</v>
      </c>
      <c r="AC6" s="19">
        <f t="shared" si="1"/>
        <v>0.49557465115593291</v>
      </c>
      <c r="AD6" s="19">
        <f t="shared" si="1"/>
        <v>0.35493785851615939</v>
      </c>
      <c r="AE6" s="22">
        <f>(W6/62+X6/96*2+T6/35+U6/46)/(AA6/18+AD6/39+Z6/23+AB6/24*2+AC6/40*2)</f>
        <v>1.1357570474394212</v>
      </c>
      <c r="AF6" s="165" t="s">
        <v>6</v>
      </c>
    </row>
    <row r="7" spans="1:32">
      <c r="A7" s="81">
        <v>122</v>
      </c>
      <c r="B7" s="1" t="s">
        <v>59</v>
      </c>
      <c r="C7" s="75">
        <v>45058</v>
      </c>
      <c r="D7" s="131">
        <v>45551</v>
      </c>
      <c r="E7" s="16">
        <v>1440</v>
      </c>
      <c r="F7" s="3">
        <v>4</v>
      </c>
      <c r="G7" s="17">
        <v>30</v>
      </c>
      <c r="H7" s="18">
        <v>2.2299614918348425</v>
      </c>
      <c r="I7" s="19">
        <v>0</v>
      </c>
      <c r="J7" s="19">
        <v>0</v>
      </c>
      <c r="K7" s="125">
        <v>4.8014432211550968</v>
      </c>
      <c r="L7" s="20">
        <v>6.4613345117101186</v>
      </c>
      <c r="M7" s="21">
        <f t="shared" ref="M7:M40" si="2">I7/K7</f>
        <v>0</v>
      </c>
      <c r="N7" s="34">
        <v>0</v>
      </c>
      <c r="O7" s="35">
        <v>0.90901884136215472</v>
      </c>
      <c r="P7" s="142">
        <v>1.2878392484342378</v>
      </c>
      <c r="Q7" s="35">
        <v>0.4908501617990414</v>
      </c>
      <c r="R7" s="35">
        <v>3.3467423658743973</v>
      </c>
      <c r="S7" s="35">
        <v>1.0998593498739073</v>
      </c>
      <c r="T7" s="18">
        <f t="shared" si="0"/>
        <v>0.66633514057370291</v>
      </c>
      <c r="U7" s="19">
        <f t="shared" si="0"/>
        <v>0</v>
      </c>
      <c r="V7" s="19">
        <f t="shared" si="0"/>
        <v>0</v>
      </c>
      <c r="W7" s="125">
        <f t="shared" si="0"/>
        <v>1.4347199964841317</v>
      </c>
      <c r="X7" s="19">
        <f t="shared" si="0"/>
        <v>1.9307123714551353</v>
      </c>
      <c r="Y7" s="18">
        <f t="shared" si="1"/>
        <v>0</v>
      </c>
      <c r="Z7" s="19">
        <f t="shared" si="1"/>
        <v>0.27162406151902135</v>
      </c>
      <c r="AA7" s="125">
        <f t="shared" si="1"/>
        <v>0.38481944633746873</v>
      </c>
      <c r="AB7" s="19">
        <f t="shared" si="1"/>
        <v>0.14667101327111748</v>
      </c>
      <c r="AC7" s="19">
        <f t="shared" si="1"/>
        <v>1.0000406074250039</v>
      </c>
      <c r="AD7" s="19">
        <f t="shared" si="1"/>
        <v>0.32864914358073161</v>
      </c>
      <c r="AE7" s="22">
        <f>(W7/62+X7/96*2+T7/35+U7/46)/(AA7/18+AD7/39+Z7/23+AB7/24*2+AC7/40*2)</f>
        <v>0.79354655663278761</v>
      </c>
      <c r="AF7" s="165" t="s">
        <v>6</v>
      </c>
    </row>
    <row r="8" spans="1:32">
      <c r="A8" s="81">
        <v>123</v>
      </c>
      <c r="B8" s="1" t="s">
        <v>60</v>
      </c>
      <c r="C8" s="75">
        <v>45066</v>
      </c>
      <c r="D8" s="131">
        <v>45551</v>
      </c>
      <c r="E8" s="16">
        <v>1440</v>
      </c>
      <c r="F8" s="3">
        <v>4</v>
      </c>
      <c r="G8" s="17">
        <v>30</v>
      </c>
      <c r="H8" s="18">
        <v>0.34980032803251793</v>
      </c>
      <c r="I8" s="19">
        <v>0</v>
      </c>
      <c r="J8" s="19">
        <v>0</v>
      </c>
      <c r="K8" s="125">
        <v>1.6144491293823691</v>
      </c>
      <c r="L8" s="20">
        <v>24.735417587273531</v>
      </c>
      <c r="M8" s="21">
        <f t="shared" si="2"/>
        <v>0</v>
      </c>
      <c r="N8" s="34">
        <v>0</v>
      </c>
      <c r="O8" s="35">
        <v>0.7497180971386006</v>
      </c>
      <c r="P8" s="142">
        <v>5.6554653233992838</v>
      </c>
      <c r="Q8" s="35">
        <v>0.25355663478474577</v>
      </c>
      <c r="R8" s="35">
        <v>1.2747734889892246</v>
      </c>
      <c r="S8" s="35">
        <v>1.117849352068766</v>
      </c>
      <c r="T8" s="18">
        <f t="shared" si="0"/>
        <v>0.10452389048229276</v>
      </c>
      <c r="U8" s="19">
        <f t="shared" si="0"/>
        <v>0</v>
      </c>
      <c r="V8" s="19">
        <f t="shared" si="0"/>
        <v>0</v>
      </c>
      <c r="W8" s="125">
        <f t="shared" si="0"/>
        <v>0.48241379571579046</v>
      </c>
      <c r="X8" s="19">
        <f t="shared" si="0"/>
        <v>7.3911939804859488</v>
      </c>
      <c r="Y8" s="18">
        <f t="shared" si="1"/>
        <v>0</v>
      </c>
      <c r="Z8" s="19">
        <f t="shared" si="1"/>
        <v>0.22402338133491753</v>
      </c>
      <c r="AA8" s="125">
        <f t="shared" si="1"/>
        <v>1.6899104738244808</v>
      </c>
      <c r="AB8" s="19">
        <f t="shared" si="1"/>
        <v>7.5765297518062172E-2</v>
      </c>
      <c r="AC8" s="19">
        <f t="shared" si="1"/>
        <v>0.38091526472340348</v>
      </c>
      <c r="AD8" s="19">
        <f t="shared" si="1"/>
        <v>0.33402473893756846</v>
      </c>
      <c r="AE8" s="22">
        <f t="shared" ref="AE8:AE40" si="3">(W8/62+X8/96*2+T8/35+U8/46)/(AA8/18+AD8/39+Z8/23+AB8/24*2+AC8/40*2)</f>
        <v>1.1977641888046748</v>
      </c>
      <c r="AF8" s="165" t="s">
        <v>6</v>
      </c>
    </row>
    <row r="9" spans="1:32">
      <c r="A9" s="81">
        <v>124</v>
      </c>
      <c r="B9" s="1" t="s">
        <v>61</v>
      </c>
      <c r="C9" s="75">
        <v>45074</v>
      </c>
      <c r="D9" s="131">
        <v>45526</v>
      </c>
      <c r="E9" s="16">
        <v>1440</v>
      </c>
      <c r="F9" s="3">
        <v>1</v>
      </c>
      <c r="G9" s="17">
        <v>50</v>
      </c>
      <c r="H9" s="18">
        <v>0.106902</v>
      </c>
      <c r="I9" s="19">
        <v>0</v>
      </c>
      <c r="J9" s="19">
        <v>0</v>
      </c>
      <c r="K9" s="125">
        <v>0.50353400000000004</v>
      </c>
      <c r="L9" s="20">
        <v>3.0087169999999999</v>
      </c>
      <c r="M9" s="21">
        <f>I9/K9</f>
        <v>0</v>
      </c>
      <c r="N9" s="34">
        <v>0</v>
      </c>
      <c r="O9" s="35">
        <v>5.4392000000000003E-2</v>
      </c>
      <c r="P9" s="142">
        <v>1.1795899999999999</v>
      </c>
      <c r="Q9" s="35">
        <v>1.9847E-2</v>
      </c>
      <c r="R9" s="35">
        <v>0.43956000000000001</v>
      </c>
      <c r="S9" s="35">
        <v>0.178036</v>
      </c>
      <c r="T9" s="18">
        <f t="shared" si="0"/>
        <v>0.21295602176220804</v>
      </c>
      <c r="U9" s="19">
        <f t="shared" si="0"/>
        <v>0</v>
      </c>
      <c r="V9" s="19">
        <f t="shared" si="0"/>
        <v>0</v>
      </c>
      <c r="W9" s="125">
        <f t="shared" si="0"/>
        <v>1.0030738195918849</v>
      </c>
      <c r="X9" s="19">
        <f t="shared" si="0"/>
        <v>5.9935679681233767</v>
      </c>
      <c r="Y9" s="18">
        <f t="shared" si="1"/>
        <v>0</v>
      </c>
      <c r="Z9" s="19">
        <f t="shared" si="1"/>
        <v>0.10835254659117716</v>
      </c>
      <c r="AA9" s="125">
        <f t="shared" si="1"/>
        <v>2.3498231437249348</v>
      </c>
      <c r="AB9" s="19">
        <f t="shared" si="1"/>
        <v>3.9536567734135407E-2</v>
      </c>
      <c r="AC9" s="19">
        <f t="shared" si="1"/>
        <v>0.87563328025477705</v>
      </c>
      <c r="AD9" s="19">
        <f t="shared" si="1"/>
        <v>0.35465976586459064</v>
      </c>
      <c r="AE9" s="22">
        <f t="shared" si="3"/>
        <v>0.76859127471505251</v>
      </c>
      <c r="AF9" s="165" t="s">
        <v>6</v>
      </c>
    </row>
    <row r="10" spans="1:32">
      <c r="A10" s="81">
        <v>125</v>
      </c>
      <c r="B10" s="1" t="s">
        <v>62</v>
      </c>
      <c r="C10" s="75">
        <v>45082</v>
      </c>
      <c r="D10" s="131">
        <v>45551</v>
      </c>
      <c r="E10" s="16">
        <v>1440</v>
      </c>
      <c r="F10" s="3">
        <v>4</v>
      </c>
      <c r="G10" s="17">
        <v>30</v>
      </c>
      <c r="H10" s="18">
        <v>0.7693610497040575</v>
      </c>
      <c r="I10" s="19">
        <v>0</v>
      </c>
      <c r="J10" s="19">
        <v>0</v>
      </c>
      <c r="K10" s="125">
        <v>2.851533015798652</v>
      </c>
      <c r="L10" s="20">
        <v>33.346829429960223</v>
      </c>
      <c r="M10" s="21">
        <f t="shared" si="2"/>
        <v>0</v>
      </c>
      <c r="N10" s="34">
        <v>0</v>
      </c>
      <c r="O10" s="35">
        <v>0.86165916064704395</v>
      </c>
      <c r="P10" s="142">
        <v>6.5813118882993997</v>
      </c>
      <c r="Q10" s="35">
        <v>0.35758676217588981</v>
      </c>
      <c r="R10" s="35">
        <v>1.8803280433391674</v>
      </c>
      <c r="S10" s="35">
        <v>1.5835905200023288</v>
      </c>
      <c r="T10" s="18">
        <f t="shared" si="0"/>
        <v>0.22989289504935242</v>
      </c>
      <c r="U10" s="19">
        <f t="shared" si="0"/>
        <v>0</v>
      </c>
      <c r="V10" s="19">
        <f t="shared" si="0"/>
        <v>0</v>
      </c>
      <c r="W10" s="125">
        <f t="shared" si="0"/>
        <v>0.85206702442621163</v>
      </c>
      <c r="X10" s="19">
        <f t="shared" si="0"/>
        <v>9.964371293970995</v>
      </c>
      <c r="Y10" s="18">
        <f t="shared" si="1"/>
        <v>0</v>
      </c>
      <c r="Z10" s="19">
        <f t="shared" si="1"/>
        <v>0.25747250795077425</v>
      </c>
      <c r="AA10" s="125">
        <f t="shared" si="1"/>
        <v>1.9665628300339077</v>
      </c>
      <c r="AB10" s="19">
        <f t="shared" si="1"/>
        <v>0.1068505560809989</v>
      </c>
      <c r="AC10" s="19">
        <f t="shared" si="1"/>
        <v>0.56186111539179695</v>
      </c>
      <c r="AD10" s="19">
        <f t="shared" si="1"/>
        <v>0.47319292984234484</v>
      </c>
      <c r="AE10" s="22">
        <f t="shared" si="3"/>
        <v>1.3439358800969727</v>
      </c>
      <c r="AF10" s="165" t="s">
        <v>6</v>
      </c>
    </row>
    <row r="11" spans="1:32">
      <c r="A11" s="81">
        <v>126</v>
      </c>
      <c r="B11" s="1" t="s">
        <v>63</v>
      </c>
      <c r="C11" s="75">
        <v>45090</v>
      </c>
      <c r="D11" s="131">
        <v>45532</v>
      </c>
      <c r="E11" s="16">
        <v>1440</v>
      </c>
      <c r="F11" s="3">
        <v>3</v>
      </c>
      <c r="G11" s="17">
        <v>30</v>
      </c>
      <c r="H11" s="18">
        <v>1.4903649999999999</v>
      </c>
      <c r="I11" s="19">
        <v>0</v>
      </c>
      <c r="J11" s="19">
        <v>0</v>
      </c>
      <c r="K11" s="125">
        <v>2.5307930000000001</v>
      </c>
      <c r="L11" s="20">
        <v>10.953436999999999</v>
      </c>
      <c r="M11" s="21">
        <f t="shared" si="2"/>
        <v>0</v>
      </c>
      <c r="N11" s="34">
        <v>0</v>
      </c>
      <c r="O11" s="35">
        <v>0.349078</v>
      </c>
      <c r="P11" s="142">
        <v>1.690607</v>
      </c>
      <c r="Q11" s="35">
        <v>7.7376E-2</v>
      </c>
      <c r="R11" s="35">
        <v>2.0555669999999999</v>
      </c>
      <c r="S11" s="35">
        <v>0.69726299999999997</v>
      </c>
      <c r="T11" s="18">
        <f t="shared" si="0"/>
        <v>0.59378159692734134</v>
      </c>
      <c r="U11" s="19">
        <f t="shared" si="0"/>
        <v>0</v>
      </c>
      <c r="V11" s="19">
        <f t="shared" si="0"/>
        <v>0</v>
      </c>
      <c r="W11" s="125">
        <f t="shared" si="0"/>
        <v>1.0083022004895021</v>
      </c>
      <c r="X11" s="19">
        <f t="shared" si="0"/>
        <v>4.3639976205178099</v>
      </c>
      <c r="Y11" s="18">
        <f t="shared" si="1"/>
        <v>0</v>
      </c>
      <c r="Z11" s="19">
        <f t="shared" si="1"/>
        <v>0.13907740204057559</v>
      </c>
      <c r="AA11" s="125">
        <f t="shared" si="1"/>
        <v>0.6735607211901391</v>
      </c>
      <c r="AB11" s="19">
        <f t="shared" si="1"/>
        <v>3.0827646142958236E-2</v>
      </c>
      <c r="AC11" s="19">
        <f t="shared" si="1"/>
        <v>0.81896572708775639</v>
      </c>
      <c r="AD11" s="19">
        <f t="shared" si="1"/>
        <v>0.27779902078910113</v>
      </c>
      <c r="AE11" s="22">
        <f t="shared" si="3"/>
        <v>1.3191844453337831</v>
      </c>
      <c r="AF11" s="165" t="s">
        <v>6</v>
      </c>
    </row>
    <row r="12" spans="1:32">
      <c r="A12" s="81">
        <v>127</v>
      </c>
      <c r="B12" s="1" t="s">
        <v>64</v>
      </c>
      <c r="C12" s="75">
        <v>45098</v>
      </c>
      <c r="D12" s="131">
        <v>45551</v>
      </c>
      <c r="E12" s="16">
        <v>1440</v>
      </c>
      <c r="F12" s="3">
        <v>4</v>
      </c>
      <c r="G12" s="17">
        <v>30</v>
      </c>
      <c r="H12" s="18">
        <v>1.2893817300149752</v>
      </c>
      <c r="I12" s="19">
        <v>0</v>
      </c>
      <c r="J12" s="19">
        <v>0</v>
      </c>
      <c r="K12" s="125">
        <v>2.1118333723744827</v>
      </c>
      <c r="L12" s="20">
        <v>18.366880247459122</v>
      </c>
      <c r="M12" s="21">
        <f t="shared" si="2"/>
        <v>0</v>
      </c>
      <c r="N12" s="34">
        <v>0</v>
      </c>
      <c r="O12" s="35">
        <v>0.84651841423660723</v>
      </c>
      <c r="P12" s="142">
        <v>3.2488843347187371</v>
      </c>
      <c r="Q12" s="35">
        <v>0.24750837156433039</v>
      </c>
      <c r="R12" s="35">
        <v>1.7503323129099484</v>
      </c>
      <c r="S12" s="35">
        <v>1.0045005800697873</v>
      </c>
      <c r="T12" s="18">
        <f t="shared" si="0"/>
        <v>0.38528035549876877</v>
      </c>
      <c r="U12" s="19">
        <f t="shared" si="0"/>
        <v>0</v>
      </c>
      <c r="V12" s="19">
        <f t="shared" si="0"/>
        <v>0</v>
      </c>
      <c r="W12" s="125">
        <f t="shared" si="0"/>
        <v>0.6310372588055474</v>
      </c>
      <c r="X12" s="19">
        <f t="shared" si="0"/>
        <v>5.4882103464132195</v>
      </c>
      <c r="Y12" s="18">
        <f t="shared" si="1"/>
        <v>0</v>
      </c>
      <c r="Z12" s="19">
        <f t="shared" si="1"/>
        <v>0.25294829915850142</v>
      </c>
      <c r="AA12" s="125">
        <f t="shared" si="1"/>
        <v>0.97079963389916957</v>
      </c>
      <c r="AB12" s="19">
        <f t="shared" si="1"/>
        <v>7.3958015043472825E-2</v>
      </c>
      <c r="AC12" s="19">
        <f t="shared" si="1"/>
        <v>0.523017070942284</v>
      </c>
      <c r="AD12" s="19">
        <f t="shared" si="1"/>
        <v>0.30015497472847874</v>
      </c>
      <c r="AE12" s="22">
        <f t="shared" si="3"/>
        <v>1.2914234737970067</v>
      </c>
      <c r="AF12" s="165" t="s">
        <v>6</v>
      </c>
    </row>
    <row r="13" spans="1:32">
      <c r="A13" s="81">
        <v>128</v>
      </c>
      <c r="B13" s="1" t="s">
        <v>65</v>
      </c>
      <c r="C13" s="75">
        <v>45113</v>
      </c>
      <c r="D13" s="131">
        <v>45551</v>
      </c>
      <c r="E13" s="16">
        <v>1440</v>
      </c>
      <c r="F13" s="3">
        <v>4</v>
      </c>
      <c r="G13" s="17">
        <v>30</v>
      </c>
      <c r="H13" s="18">
        <v>0.33819439492262704</v>
      </c>
      <c r="I13" s="19">
        <v>0</v>
      </c>
      <c r="J13" s="19">
        <v>0</v>
      </c>
      <c r="K13" s="125">
        <v>1.2527979490382863</v>
      </c>
      <c r="L13" s="20">
        <v>8.017012814847547</v>
      </c>
      <c r="M13" s="21">
        <f t="shared" si="2"/>
        <v>0</v>
      </c>
      <c r="N13" s="34">
        <v>0</v>
      </c>
      <c r="O13" s="35">
        <v>0.45716443308480331</v>
      </c>
      <c r="P13" s="142">
        <v>1.5131629350136944</v>
      </c>
      <c r="Q13" s="35">
        <v>0.18521126039405228</v>
      </c>
      <c r="R13" s="35">
        <v>1.1378436369485994</v>
      </c>
      <c r="S13" s="35">
        <v>0.62694569740513939</v>
      </c>
      <c r="T13" s="18">
        <f t="shared" si="0"/>
        <v>0.10105591980271617</v>
      </c>
      <c r="U13" s="19">
        <f t="shared" si="0"/>
        <v>0</v>
      </c>
      <c r="V13" s="19">
        <f t="shared" si="0"/>
        <v>0</v>
      </c>
      <c r="W13" s="125">
        <f t="shared" si="0"/>
        <v>0.37434875020913583</v>
      </c>
      <c r="X13" s="19">
        <f t="shared" si="0"/>
        <v>2.3955648474302285</v>
      </c>
      <c r="Y13" s="18">
        <f t="shared" si="1"/>
        <v>0</v>
      </c>
      <c r="Z13" s="19">
        <f t="shared" si="1"/>
        <v>0.13660537542924575</v>
      </c>
      <c r="AA13" s="125">
        <f t="shared" si="1"/>
        <v>0.45214845220652033</v>
      </c>
      <c r="AB13" s="19">
        <f t="shared" si="1"/>
        <v>5.5343005555202579E-2</v>
      </c>
      <c r="AC13" s="19">
        <f t="shared" si="1"/>
        <v>0.33999923431556361</v>
      </c>
      <c r="AD13" s="19">
        <f t="shared" si="1"/>
        <v>0.18733774145525559</v>
      </c>
      <c r="AE13" s="22">
        <f t="shared" si="3"/>
        <v>1.0236395520941992</v>
      </c>
      <c r="AF13" s="165" t="s">
        <v>6</v>
      </c>
    </row>
    <row r="14" spans="1:32">
      <c r="A14" s="81">
        <v>129</v>
      </c>
      <c r="B14" s="1" t="s">
        <v>66</v>
      </c>
      <c r="C14" s="75">
        <v>45121</v>
      </c>
      <c r="D14" s="131">
        <v>45532</v>
      </c>
      <c r="E14" s="16">
        <v>1440</v>
      </c>
      <c r="F14" s="3">
        <v>3</v>
      </c>
      <c r="G14" s="17">
        <v>30</v>
      </c>
      <c r="H14" s="18">
        <v>0.52762699999999996</v>
      </c>
      <c r="I14" s="19">
        <v>0</v>
      </c>
      <c r="J14" s="19">
        <v>0</v>
      </c>
      <c r="K14" s="125">
        <v>1.223433</v>
      </c>
      <c r="L14" s="20">
        <v>4.7995530000000004</v>
      </c>
      <c r="M14" s="21">
        <f t="shared" si="2"/>
        <v>0</v>
      </c>
      <c r="N14" s="34">
        <v>0</v>
      </c>
      <c r="O14" s="35">
        <v>0.34385399999999999</v>
      </c>
      <c r="P14" s="142">
        <v>1.0808770000000001</v>
      </c>
      <c r="Q14" s="35">
        <v>4.9463E-2</v>
      </c>
      <c r="R14" s="35">
        <v>0.99355499999999997</v>
      </c>
      <c r="S14" s="35">
        <v>0.41435</v>
      </c>
      <c r="T14" s="18">
        <f t="shared" si="0"/>
        <v>0.21021374135999052</v>
      </c>
      <c r="U14" s="19">
        <f t="shared" si="0"/>
        <v>0</v>
      </c>
      <c r="V14" s="19">
        <f t="shared" si="0"/>
        <v>0</v>
      </c>
      <c r="W14" s="125">
        <f t="shared" si="0"/>
        <v>0.48743227361995745</v>
      </c>
      <c r="X14" s="19">
        <f t="shared" si="0"/>
        <v>1.9122069056086342</v>
      </c>
      <c r="Y14" s="18">
        <f t="shared" si="1"/>
        <v>0</v>
      </c>
      <c r="Z14" s="19">
        <f t="shared" si="1"/>
        <v>0.13699608970276006</v>
      </c>
      <c r="AA14" s="125">
        <f t="shared" si="1"/>
        <v>0.43063603287921676</v>
      </c>
      <c r="AB14" s="19">
        <f t="shared" si="1"/>
        <v>1.9706728974994099E-2</v>
      </c>
      <c r="AC14" s="19">
        <f t="shared" si="1"/>
        <v>0.39584576565817403</v>
      </c>
      <c r="AD14" s="19">
        <f t="shared" si="1"/>
        <v>0.16508265068412359</v>
      </c>
      <c r="AE14" s="22">
        <f t="shared" si="3"/>
        <v>0.96683194734454414</v>
      </c>
      <c r="AF14" s="165" t="s">
        <v>6</v>
      </c>
    </row>
    <row r="15" spans="1:32">
      <c r="A15" s="81">
        <v>130</v>
      </c>
      <c r="B15" s="1" t="s">
        <v>67</v>
      </c>
      <c r="C15" s="75">
        <v>45129</v>
      </c>
      <c r="D15" s="131">
        <v>45567</v>
      </c>
      <c r="E15" s="16">
        <v>1440</v>
      </c>
      <c r="F15" s="3">
        <v>4</v>
      </c>
      <c r="G15" s="17">
        <v>30</v>
      </c>
      <c r="H15" s="18">
        <v>0.12429134528820653</v>
      </c>
      <c r="I15" s="19">
        <v>0</v>
      </c>
      <c r="J15" s="19">
        <v>0</v>
      </c>
      <c r="K15" s="125">
        <v>0.94978622700469395</v>
      </c>
      <c r="L15" s="20">
        <v>13.150997942958803</v>
      </c>
      <c r="M15" s="21">
        <f t="shared" si="2"/>
        <v>0</v>
      </c>
      <c r="N15" s="34">
        <v>0</v>
      </c>
      <c r="O15" s="35">
        <v>0.26025903946911222</v>
      </c>
      <c r="P15" s="142">
        <v>3.5933739040040598</v>
      </c>
      <c r="Q15" s="35">
        <v>0.10723601584387982</v>
      </c>
      <c r="R15" s="35">
        <v>0.33702973087219945</v>
      </c>
      <c r="S15" s="35">
        <v>0.65627888551432711</v>
      </c>
      <c r="T15" s="18">
        <f t="shared" si="0"/>
        <v>3.7139516237370801E-2</v>
      </c>
      <c r="U15" s="19">
        <f t="shared" si="0"/>
        <v>0</v>
      </c>
      <c r="V15" s="19">
        <f t="shared" si="0"/>
        <v>0</v>
      </c>
      <c r="W15" s="125">
        <f t="shared" si="0"/>
        <v>0.28380577037023219</v>
      </c>
      <c r="X15" s="19">
        <f t="shared" si="0"/>
        <v>3.92965174290774</v>
      </c>
      <c r="Y15" s="18">
        <f t="shared" si="1"/>
        <v>0</v>
      </c>
      <c r="Z15" s="19">
        <f t="shared" si="1"/>
        <v>7.7768044105342687E-2</v>
      </c>
      <c r="AA15" s="125">
        <f t="shared" si="1"/>
        <v>1.0737366157333432</v>
      </c>
      <c r="AB15" s="19">
        <f t="shared" si="1"/>
        <v>3.2043210590646229E-2</v>
      </c>
      <c r="AC15" s="19">
        <f t="shared" si="1"/>
        <v>0.10070790635647306</v>
      </c>
      <c r="AD15" s="19">
        <f t="shared" si="1"/>
        <v>0.19610279596125429</v>
      </c>
      <c r="AE15" s="22">
        <f t="shared" si="3"/>
        <v>1.1549376769211293</v>
      </c>
      <c r="AF15" s="165" t="s">
        <v>6</v>
      </c>
    </row>
    <row r="16" spans="1:32">
      <c r="A16" s="81">
        <v>131</v>
      </c>
      <c r="B16" s="1" t="s">
        <v>68</v>
      </c>
      <c r="C16" s="75">
        <v>45137</v>
      </c>
      <c r="D16" s="131">
        <v>45567</v>
      </c>
      <c r="E16" s="16">
        <v>1440</v>
      </c>
      <c r="F16" s="3">
        <v>4</v>
      </c>
      <c r="G16" s="17">
        <v>30</v>
      </c>
      <c r="H16" s="18">
        <v>0.98245091121438477</v>
      </c>
      <c r="I16" s="19">
        <v>0</v>
      </c>
      <c r="J16" s="19">
        <v>0</v>
      </c>
      <c r="K16" s="125">
        <v>3.0301178039564354</v>
      </c>
      <c r="L16" s="20">
        <v>4.659531884138544</v>
      </c>
      <c r="M16" s="21">
        <f t="shared" si="2"/>
        <v>0</v>
      </c>
      <c r="N16" s="34">
        <v>0</v>
      </c>
      <c r="O16" s="35">
        <v>0.34710743801652905</v>
      </c>
      <c r="P16" s="142">
        <v>1.5778164852639982</v>
      </c>
      <c r="Q16" s="35">
        <v>0.12054171314146198</v>
      </c>
      <c r="R16" s="35">
        <v>1.2224461039876002</v>
      </c>
      <c r="S16" s="35">
        <v>0.33602348902059165</v>
      </c>
      <c r="T16" s="18">
        <f t="shared" si="0"/>
        <v>0.29356630974472642</v>
      </c>
      <c r="U16" s="19">
        <f t="shared" si="0"/>
        <v>0</v>
      </c>
      <c r="V16" s="19">
        <f t="shared" si="0"/>
        <v>0</v>
      </c>
      <c r="W16" s="125">
        <f t="shared" si="0"/>
        <v>0.90542997278077209</v>
      </c>
      <c r="X16" s="19">
        <f t="shared" si="0"/>
        <v>1.3923154477750324</v>
      </c>
      <c r="Y16" s="18">
        <f t="shared" si="1"/>
        <v>0</v>
      </c>
      <c r="Z16" s="19">
        <f t="shared" si="1"/>
        <v>0.10371922759733995</v>
      </c>
      <c r="AA16" s="125">
        <f t="shared" si="1"/>
        <v>0.47146758962318369</v>
      </c>
      <c r="AB16" s="19">
        <f t="shared" si="1"/>
        <v>3.601908807179522E-2</v>
      </c>
      <c r="AC16" s="19">
        <f t="shared" si="1"/>
        <v>0.36527931066384611</v>
      </c>
      <c r="AD16" s="19">
        <f t="shared" si="1"/>
        <v>0.10040723107212521</v>
      </c>
      <c r="AE16" s="22">
        <f>(W16/62+X16/96*2+T16/35+U16/46)/(AA16/18+AD16/39+Z16/23+AB16/24*2+AC16/40*2)</f>
        <v>0.95335020171133866</v>
      </c>
      <c r="AF16" s="165" t="s">
        <v>6</v>
      </c>
    </row>
    <row r="17" spans="1:32">
      <c r="A17" s="81">
        <v>132</v>
      </c>
      <c r="B17" s="1" t="s">
        <v>69</v>
      </c>
      <c r="C17" s="75">
        <v>45145</v>
      </c>
      <c r="D17" s="131">
        <v>45567</v>
      </c>
      <c r="E17" s="16">
        <v>1440</v>
      </c>
      <c r="F17" s="3">
        <v>4</v>
      </c>
      <c r="G17" s="17">
        <v>30</v>
      </c>
      <c r="H17" s="18">
        <v>1.8997542519282709</v>
      </c>
      <c r="I17" s="19">
        <v>0</v>
      </c>
      <c r="J17" s="19">
        <v>0</v>
      </c>
      <c r="K17" s="125">
        <v>2.730149183478682</v>
      </c>
      <c r="L17" s="20">
        <v>2.3380219047089561</v>
      </c>
      <c r="M17" s="21">
        <f t="shared" si="2"/>
        <v>0</v>
      </c>
      <c r="N17" s="34">
        <v>0</v>
      </c>
      <c r="O17" s="35">
        <v>0.28980466434562224</v>
      </c>
      <c r="P17" s="142">
        <v>0.96652223549139604</v>
      </c>
      <c r="Q17" s="35">
        <v>6.1127163822555577E-2</v>
      </c>
      <c r="R17" s="35">
        <v>0.55202198111878253</v>
      </c>
      <c r="S17" s="35">
        <v>0.50906471131962616</v>
      </c>
      <c r="T17" s="18">
        <f>(H17/1000*$G17)*(1000/$E17)*($B$1/($B$2*$F17))</f>
        <v>0.56766586380491113</v>
      </c>
      <c r="U17" s="19">
        <f t="shared" si="0"/>
        <v>0</v>
      </c>
      <c r="V17" s="19">
        <f t="shared" si="0"/>
        <v>0</v>
      </c>
      <c r="W17" s="125">
        <f t="shared" si="0"/>
        <v>0.81579630259157077</v>
      </c>
      <c r="X17" s="19">
        <f t="shared" si="0"/>
        <v>0.69862468936930955</v>
      </c>
      <c r="Y17" s="18">
        <f t="shared" si="1"/>
        <v>0</v>
      </c>
      <c r="Z17" s="19">
        <f t="shared" si="1"/>
        <v>8.6596576874860706E-2</v>
      </c>
      <c r="AA17" s="125">
        <f t="shared" si="1"/>
        <v>0.28880665967189156</v>
      </c>
      <c r="AB17" s="19">
        <f t="shared" si="1"/>
        <v>1.8265417339139868E-2</v>
      </c>
      <c r="AC17" s="19">
        <f t="shared" si="1"/>
        <v>0.16494977412632408</v>
      </c>
      <c r="AD17" s="19">
        <f t="shared" si="1"/>
        <v>0.15211370564931589</v>
      </c>
      <c r="AE17" s="22">
        <f t="shared" si="3"/>
        <v>1.3121839582903727</v>
      </c>
      <c r="AF17" s="165" t="s">
        <v>6</v>
      </c>
    </row>
    <row r="18" spans="1:32">
      <c r="A18" s="81">
        <v>133</v>
      </c>
      <c r="B18" s="1" t="s">
        <v>70</v>
      </c>
      <c r="C18" s="75">
        <v>45153</v>
      </c>
      <c r="D18" s="131">
        <v>45567</v>
      </c>
      <c r="E18" s="16">
        <v>1440</v>
      </c>
      <c r="F18" s="3">
        <v>4</v>
      </c>
      <c r="G18" s="17">
        <v>30</v>
      </c>
      <c r="H18" s="18">
        <v>1.5038869558870045</v>
      </c>
      <c r="I18" s="19">
        <v>0</v>
      </c>
      <c r="J18" s="19">
        <v>0</v>
      </c>
      <c r="K18" s="125">
        <v>2.7880378646235116</v>
      </c>
      <c r="L18" s="20">
        <v>3.9483515872574628</v>
      </c>
      <c r="M18" s="21">
        <f t="shared" si="2"/>
        <v>0</v>
      </c>
      <c r="N18" s="34">
        <v>0</v>
      </c>
      <c r="O18" s="35">
        <v>0.2872292587873792</v>
      </c>
      <c r="P18" s="142">
        <v>1.3193138152724755</v>
      </c>
      <c r="Q18" s="35">
        <v>8.74750792633123E-2</v>
      </c>
      <c r="R18" s="35">
        <v>1.0343807242496827</v>
      </c>
      <c r="S18" s="35">
        <v>0.41404836066210443</v>
      </c>
      <c r="T18" s="18">
        <f t="shared" si="0"/>
        <v>0.4493766954394311</v>
      </c>
      <c r="U18" s="19">
        <f t="shared" si="0"/>
        <v>0</v>
      </c>
      <c r="V18" s="19">
        <f t="shared" si="0"/>
        <v>0</v>
      </c>
      <c r="W18" s="125">
        <f t="shared" si="0"/>
        <v>0.83309402841755698</v>
      </c>
      <c r="X18" s="19">
        <f t="shared" si="0"/>
        <v>1.1798075525352878</v>
      </c>
      <c r="Y18" s="18">
        <f t="shared" si="1"/>
        <v>0</v>
      </c>
      <c r="Z18" s="19">
        <f t="shared" si="1"/>
        <v>8.5827019539018917E-2</v>
      </c>
      <c r="AA18" s="125">
        <f t="shared" si="1"/>
        <v>0.39422436655490123</v>
      </c>
      <c r="AB18" s="19">
        <f t="shared" si="1"/>
        <v>2.6138442054286365E-2</v>
      </c>
      <c r="AC18" s="19">
        <f t="shared" si="1"/>
        <v>0.30908346526312508</v>
      </c>
      <c r="AD18" s="19">
        <f t="shared" si="1"/>
        <v>0.12372185511557175</v>
      </c>
      <c r="AE18" s="22">
        <f t="shared" si="3"/>
        <v>1.0951374380129779</v>
      </c>
      <c r="AF18" s="165" t="s">
        <v>6</v>
      </c>
    </row>
    <row r="19" spans="1:32">
      <c r="A19" s="81">
        <v>135</v>
      </c>
      <c r="B19" s="1" t="s">
        <v>71</v>
      </c>
      <c r="C19" s="75">
        <v>45170</v>
      </c>
      <c r="D19" s="131">
        <v>45532</v>
      </c>
      <c r="E19" s="16">
        <v>1440</v>
      </c>
      <c r="F19" s="3">
        <v>2</v>
      </c>
      <c r="G19" s="17">
        <v>30</v>
      </c>
      <c r="H19" s="18">
        <v>0.81664199999999998</v>
      </c>
      <c r="I19" s="19">
        <v>7.9856999999999997E-2</v>
      </c>
      <c r="J19" s="19">
        <v>0</v>
      </c>
      <c r="K19" s="125">
        <v>2.938768</v>
      </c>
      <c r="L19" s="20">
        <v>4.4396069999999996</v>
      </c>
      <c r="M19" s="21">
        <f t="shared" si="2"/>
        <v>2.7173631943726077E-2</v>
      </c>
      <c r="N19" s="34">
        <v>0</v>
      </c>
      <c r="O19" s="35">
        <v>0.244841</v>
      </c>
      <c r="P19" s="142">
        <v>1.657213</v>
      </c>
      <c r="Q19" s="35">
        <v>4.2813999999999998E-2</v>
      </c>
      <c r="R19" s="35">
        <v>1.244707</v>
      </c>
      <c r="S19" s="35">
        <v>0.23507500000000001</v>
      </c>
      <c r="T19" s="18">
        <f t="shared" si="0"/>
        <v>0.48804184633757958</v>
      </c>
      <c r="U19" s="19">
        <f t="shared" si="0"/>
        <v>4.7724165207006362E-2</v>
      </c>
      <c r="V19" s="19">
        <f t="shared" si="0"/>
        <v>0</v>
      </c>
      <c r="W19" s="125">
        <f t="shared" si="0"/>
        <v>1.7562674472753006</v>
      </c>
      <c r="X19" s="19">
        <f t="shared" si="0"/>
        <v>2.653199317807855</v>
      </c>
      <c r="Y19" s="18">
        <f t="shared" si="1"/>
        <v>0</v>
      </c>
      <c r="Z19" s="19">
        <f t="shared" si="1"/>
        <v>0.14632195466206649</v>
      </c>
      <c r="AA19" s="125">
        <f t="shared" si="1"/>
        <v>0.99038414910651074</v>
      </c>
      <c r="AB19" s="19">
        <f t="shared" si="1"/>
        <v>2.5586516012031137E-2</v>
      </c>
      <c r="AC19" s="19">
        <f t="shared" si="1"/>
        <v>0.74386218493453637</v>
      </c>
      <c r="AD19" s="19">
        <f t="shared" si="1"/>
        <v>0.14048559470099078</v>
      </c>
      <c r="AE19" s="22">
        <f t="shared" si="3"/>
        <v>0.94509416760031462</v>
      </c>
      <c r="AF19" s="165" t="s">
        <v>6</v>
      </c>
    </row>
    <row r="20" spans="1:32">
      <c r="A20" s="81">
        <v>136</v>
      </c>
      <c r="B20" s="1" t="s">
        <v>72</v>
      </c>
      <c r="C20" s="75">
        <v>45178</v>
      </c>
      <c r="D20" s="131">
        <v>45532</v>
      </c>
      <c r="E20" s="16">
        <v>1440</v>
      </c>
      <c r="F20" s="3">
        <v>2</v>
      </c>
      <c r="G20" s="17">
        <v>30</v>
      </c>
      <c r="H20" s="18">
        <v>0.55648900000000001</v>
      </c>
      <c r="I20" s="19">
        <v>8.1266000000000005E-2</v>
      </c>
      <c r="J20" s="19">
        <v>0</v>
      </c>
      <c r="K20" s="125">
        <v>2.725333</v>
      </c>
      <c r="L20" s="20">
        <v>3.4040300000000001</v>
      </c>
      <c r="M20" s="21">
        <f t="shared" si="2"/>
        <v>2.9818741416186574E-2</v>
      </c>
      <c r="N20" s="34">
        <v>0</v>
      </c>
      <c r="O20" s="35">
        <v>0.126804</v>
      </c>
      <c r="P20" s="142">
        <v>1.683182</v>
      </c>
      <c r="Q20" s="35">
        <v>4.8625000000000002E-2</v>
      </c>
      <c r="R20" s="35">
        <v>1.17899</v>
      </c>
      <c r="S20" s="35">
        <v>0.38411099999999998</v>
      </c>
      <c r="T20" s="18">
        <f t="shared" si="0"/>
        <v>0.3325691294674451</v>
      </c>
      <c r="U20" s="19">
        <f t="shared" si="0"/>
        <v>4.856621222576079E-2</v>
      </c>
      <c r="V20" s="19">
        <f t="shared" si="0"/>
        <v>0</v>
      </c>
      <c r="W20" s="125">
        <f t="shared" si="0"/>
        <v>1.6287143561128803</v>
      </c>
      <c r="X20" s="19">
        <f t="shared" si="0"/>
        <v>2.0343174685951873</v>
      </c>
      <c r="Y20" s="18">
        <f t="shared" si="1"/>
        <v>0</v>
      </c>
      <c r="Z20" s="19">
        <f t="shared" si="1"/>
        <v>7.5780645966029722E-2</v>
      </c>
      <c r="AA20" s="125">
        <f t="shared" si="1"/>
        <v>1.0059037509731068</v>
      </c>
      <c r="AB20" s="19">
        <f t="shared" si="1"/>
        <v>2.9059287641542812E-2</v>
      </c>
      <c r="AC20" s="19">
        <f t="shared" si="1"/>
        <v>0.70458837093064386</v>
      </c>
      <c r="AD20" s="19">
        <f t="shared" si="1"/>
        <v>0.22955253542993626</v>
      </c>
      <c r="AE20" s="22">
        <f t="shared" si="3"/>
        <v>0.77115026946320719</v>
      </c>
      <c r="AF20" s="165" t="s">
        <v>6</v>
      </c>
    </row>
    <row r="21" spans="1:32">
      <c r="A21" s="81">
        <v>137</v>
      </c>
      <c r="B21" s="1" t="s">
        <v>73</v>
      </c>
      <c r="C21" s="75">
        <v>45186</v>
      </c>
      <c r="D21" s="131">
        <v>45567</v>
      </c>
      <c r="E21" s="16">
        <v>1440</v>
      </c>
      <c r="F21" s="3">
        <v>4</v>
      </c>
      <c r="G21" s="17">
        <v>30</v>
      </c>
      <c r="H21" s="18">
        <v>0.72607606024477489</v>
      </c>
      <c r="I21" s="19">
        <v>0</v>
      </c>
      <c r="J21" s="19">
        <v>0</v>
      </c>
      <c r="K21" s="125">
        <v>4.7436685276466672</v>
      </c>
      <c r="L21" s="20">
        <v>40.611830766664809</v>
      </c>
      <c r="M21" s="21">
        <f t="shared" si="2"/>
        <v>0</v>
      </c>
      <c r="N21" s="34">
        <v>0</v>
      </c>
      <c r="O21" s="35">
        <v>0.44146743610882122</v>
      </c>
      <c r="P21" s="142">
        <v>8.0379468291143557</v>
      </c>
      <c r="Q21" s="35">
        <v>0.40951247573796123</v>
      </c>
      <c r="R21" s="35">
        <v>2.6246723967873749</v>
      </c>
      <c r="S21" s="35">
        <v>0.7981917182560333</v>
      </c>
      <c r="T21" s="18">
        <f t="shared" ref="T21:X34" si="4">(H21/1000*$G21)*(1000/$E21)*($B$1/($B$2*$F21))</f>
        <v>0.2169589006096769</v>
      </c>
      <c r="U21" s="19">
        <f t="shared" si="4"/>
        <v>0</v>
      </c>
      <c r="V21" s="19">
        <f t="shared" si="4"/>
        <v>0</v>
      </c>
      <c r="W21" s="125">
        <f t="shared" si="4"/>
        <v>1.4174563313215258</v>
      </c>
      <c r="X21" s="20">
        <f t="shared" si="4"/>
        <v>12.13522747453132</v>
      </c>
      <c r="Y21" s="18">
        <f t="shared" si="1"/>
        <v>0</v>
      </c>
      <c r="Z21" s="19">
        <f t="shared" si="1"/>
        <v>0.13191495331887568</v>
      </c>
      <c r="AA21" s="125">
        <f t="shared" si="1"/>
        <v>2.4018201434926585</v>
      </c>
      <c r="AB21" s="19">
        <f t="shared" si="1"/>
        <v>0.1223664866351644</v>
      </c>
      <c r="AC21" s="19">
        <f t="shared" si="1"/>
        <v>0.7842787675379117</v>
      </c>
      <c r="AD21" s="19">
        <f t="shared" si="1"/>
        <v>0.23850779160821975</v>
      </c>
      <c r="AE21" s="22">
        <f t="shared" si="3"/>
        <v>1.4477820450882228</v>
      </c>
      <c r="AF21" s="165" t="s">
        <v>6</v>
      </c>
    </row>
    <row r="22" spans="1:32">
      <c r="A22" s="135">
        <v>138</v>
      </c>
      <c r="B22" s="2" t="s">
        <v>74</v>
      </c>
      <c r="C22" s="76">
        <v>45202</v>
      </c>
      <c r="D22" s="138">
        <v>45526</v>
      </c>
      <c r="E22" s="24">
        <v>1440</v>
      </c>
      <c r="F22" s="25">
        <v>1</v>
      </c>
      <c r="G22" s="23">
        <v>50</v>
      </c>
      <c r="H22" s="26">
        <v>0.25542900000000002</v>
      </c>
      <c r="I22" s="27">
        <v>7.7132999999999993E-2</v>
      </c>
      <c r="J22" s="27">
        <v>0</v>
      </c>
      <c r="K22" s="28">
        <v>1.3725780000000001</v>
      </c>
      <c r="L22" s="29">
        <v>3.7135050000000001</v>
      </c>
      <c r="M22" s="30">
        <f t="shared" si="2"/>
        <v>5.619571346764992E-2</v>
      </c>
      <c r="N22" s="143">
        <v>0</v>
      </c>
      <c r="O22" s="144">
        <v>7.4899999999999994E-2</v>
      </c>
      <c r="P22" s="145">
        <v>1.7549920000000001</v>
      </c>
      <c r="Q22" s="144">
        <v>2.3921999999999999E-2</v>
      </c>
      <c r="R22" s="144">
        <v>0.68255900000000003</v>
      </c>
      <c r="S22" s="144">
        <v>0.163852</v>
      </c>
      <c r="T22" s="26">
        <f t="shared" si="4"/>
        <v>0.50883186173036088</v>
      </c>
      <c r="U22" s="27">
        <f t="shared" si="4"/>
        <v>0.1536541582625619</v>
      </c>
      <c r="V22" s="27">
        <f t="shared" si="4"/>
        <v>0</v>
      </c>
      <c r="W22" s="28">
        <f t="shared" si="4"/>
        <v>2.7342683059094126</v>
      </c>
      <c r="X22" s="29">
        <f t="shared" si="4"/>
        <v>7.3975533815463539</v>
      </c>
      <c r="Y22" s="26">
        <f t="shared" ref="Y22:AD38" si="5">(N22/1000*$G22)*(1000/$E22)*($B$1/($B$2*$F22))</f>
        <v>0</v>
      </c>
      <c r="Z22" s="27">
        <f t="shared" si="5"/>
        <v>0.14920587107808442</v>
      </c>
      <c r="AA22" s="28">
        <f>(P22/1000*$G22)*(1000/$E22)*($B$1/($B$2*$F22))</f>
        <v>3.4960628851144135</v>
      </c>
      <c r="AB22" s="27">
        <f t="shared" ref="AB22:AD35" si="6">(Q22/1000*$G22)*(1000/$E22)*($B$1/($B$2*$F22))</f>
        <v>4.7654243630573238E-2</v>
      </c>
      <c r="AC22" s="27">
        <f t="shared" si="6"/>
        <v>1.3597037404163717</v>
      </c>
      <c r="AD22" s="27">
        <f t="shared" si="6"/>
        <v>0.32640427754187301</v>
      </c>
      <c r="AE22" s="22">
        <f t="shared" si="3"/>
        <v>0.76891617661365397</v>
      </c>
      <c r="AF22" s="166" t="s">
        <v>6</v>
      </c>
    </row>
    <row r="23" spans="1:32">
      <c r="A23" s="81"/>
      <c r="B23" s="1"/>
      <c r="C23" s="75"/>
      <c r="D23" s="131"/>
      <c r="E23" s="16"/>
      <c r="G23" s="17"/>
      <c r="H23" s="18"/>
      <c r="I23" s="19"/>
      <c r="J23" s="19"/>
      <c r="K23" s="125"/>
      <c r="L23" s="19"/>
      <c r="M23" s="21"/>
      <c r="N23" s="34"/>
      <c r="O23" s="35"/>
      <c r="P23" s="142"/>
      <c r="Q23" s="35"/>
      <c r="R23" s="35"/>
      <c r="S23" s="35"/>
      <c r="T23" s="18"/>
      <c r="U23" s="19"/>
      <c r="V23" s="19"/>
      <c r="W23" s="125"/>
      <c r="X23" s="19"/>
      <c r="Y23" s="18"/>
      <c r="Z23" s="19"/>
      <c r="AA23" s="125"/>
      <c r="AB23" s="19"/>
      <c r="AC23" s="19"/>
      <c r="AD23" s="19"/>
      <c r="AE23" s="22"/>
      <c r="AF23" s="165"/>
    </row>
    <row r="24" spans="1:32">
      <c r="A24" s="81">
        <v>139</v>
      </c>
      <c r="B24" s="77" t="s">
        <v>23</v>
      </c>
      <c r="C24" s="75">
        <v>45293</v>
      </c>
      <c r="D24" s="131">
        <v>45555</v>
      </c>
      <c r="E24" s="16">
        <v>1440</v>
      </c>
      <c r="F24" s="3">
        <v>2</v>
      </c>
      <c r="G24" s="17">
        <v>30</v>
      </c>
      <c r="H24" s="13">
        <v>2.3946598696306207</v>
      </c>
      <c r="I24" s="19">
        <v>0</v>
      </c>
      <c r="J24" s="19">
        <v>0</v>
      </c>
      <c r="K24" s="125">
        <v>8.5316745322953889</v>
      </c>
      <c r="L24" s="19">
        <v>12.479607239965526</v>
      </c>
      <c r="M24" s="160">
        <f t="shared" si="2"/>
        <v>0</v>
      </c>
      <c r="N24" s="13">
        <v>0</v>
      </c>
      <c r="O24" s="14">
        <v>0.32111084279159618</v>
      </c>
      <c r="P24" s="159">
        <v>5.1879786258718639</v>
      </c>
      <c r="Q24" s="14">
        <v>0.16045865924968472</v>
      </c>
      <c r="R24" s="14">
        <v>1.7467086417323969</v>
      </c>
      <c r="S24" s="15">
        <v>0.66196698762035766</v>
      </c>
      <c r="T24" s="18">
        <f>(H24/1000*$G24)*(1000/$E24)*($B$1/($B$2*$F24))</f>
        <v>1.4310973769718383</v>
      </c>
      <c r="U24" s="19">
        <f t="shared" si="4"/>
        <v>0</v>
      </c>
      <c r="V24" s="19">
        <f t="shared" si="4"/>
        <v>0</v>
      </c>
      <c r="W24" s="125">
        <f t="shared" si="4"/>
        <v>5.0987019907043081</v>
      </c>
      <c r="X24" s="19">
        <f t="shared" si="4"/>
        <v>7.4580667648254693</v>
      </c>
      <c r="Y24" s="18">
        <f t="shared" si="5"/>
        <v>0</v>
      </c>
      <c r="Z24" s="19">
        <f t="shared" si="5"/>
        <v>0.19190236186116663</v>
      </c>
      <c r="AA24" s="125">
        <f t="shared" si="5"/>
        <v>3.10044140189998</v>
      </c>
      <c r="AB24" s="19">
        <f t="shared" si="6"/>
        <v>9.5893353906691875E-2</v>
      </c>
      <c r="AC24" s="19">
        <f t="shared" si="6"/>
        <v>1.0438685623870494</v>
      </c>
      <c r="AD24" s="19">
        <f t="shared" si="6"/>
        <v>0.39560491727435648</v>
      </c>
      <c r="AE24" s="22">
        <f t="shared" si="3"/>
        <v>1.1099298177850956</v>
      </c>
      <c r="AF24" s="165" t="s">
        <v>6</v>
      </c>
    </row>
    <row r="25" spans="1:32">
      <c r="A25" s="81">
        <v>140</v>
      </c>
      <c r="B25" s="1" t="s">
        <v>7</v>
      </c>
      <c r="C25" s="75">
        <v>45300</v>
      </c>
      <c r="D25" s="131">
        <v>45568</v>
      </c>
      <c r="E25" s="16">
        <v>1440</v>
      </c>
      <c r="F25" s="3">
        <v>2</v>
      </c>
      <c r="G25" s="17">
        <v>30</v>
      </c>
      <c r="H25" s="18">
        <v>1.6701062636448067</v>
      </c>
      <c r="I25" s="19">
        <v>0</v>
      </c>
      <c r="J25" s="19">
        <v>0</v>
      </c>
      <c r="K25" s="125">
        <v>8.3196236279456901</v>
      </c>
      <c r="L25" s="19">
        <v>19.312838802163274</v>
      </c>
      <c r="M25" s="161">
        <f t="shared" si="2"/>
        <v>0</v>
      </c>
      <c r="N25" s="18">
        <v>0</v>
      </c>
      <c r="O25" s="19">
        <v>0.54929185220025567</v>
      </c>
      <c r="P25" s="125">
        <v>6.1694911698058901</v>
      </c>
      <c r="Q25" s="19">
        <v>0.33066572686666457</v>
      </c>
      <c r="R25" s="19">
        <v>1.458926420942491</v>
      </c>
      <c r="S25" s="20">
        <v>0.79860324495318757</v>
      </c>
      <c r="T25" s="18">
        <f t="shared" ref="T25:X40" si="7">(H25/1000*$G25)*(1000/$E25)*($B$1/($B$2*$F25))</f>
        <v>0.9980894253408078</v>
      </c>
      <c r="U25" s="19">
        <f t="shared" si="4"/>
        <v>0</v>
      </c>
      <c r="V25" s="19">
        <f t="shared" si="4"/>
        <v>0</v>
      </c>
      <c r="W25" s="125">
        <f t="shared" si="4"/>
        <v>4.9719760632154193</v>
      </c>
      <c r="X25" s="19">
        <f t="shared" si="4"/>
        <v>11.541744738854739</v>
      </c>
      <c r="Y25" s="18">
        <f t="shared" si="5"/>
        <v>0</v>
      </c>
      <c r="Z25" s="19">
        <f t="shared" si="5"/>
        <v>0.32826796775821188</v>
      </c>
      <c r="AA25" s="125">
        <f>(P25/1000*$G25)*(1000/$E25)*($B$1/($B$2*$F25))</f>
        <v>3.687013234043143</v>
      </c>
      <c r="AB25" s="19">
        <f t="shared" si="6"/>
        <v>0.19761255465744446</v>
      </c>
      <c r="AC25" s="19">
        <f t="shared" si="6"/>
        <v>0.87188406198487234</v>
      </c>
      <c r="AD25" s="19">
        <f t="shared" si="6"/>
        <v>0.47726151992933985</v>
      </c>
      <c r="AE25" s="22">
        <f t="shared" si="3"/>
        <v>1.1982012816729968</v>
      </c>
      <c r="AF25" s="165" t="s">
        <v>6</v>
      </c>
    </row>
    <row r="26" spans="1:32">
      <c r="A26" s="81">
        <v>141</v>
      </c>
      <c r="B26" s="1" t="s">
        <v>8</v>
      </c>
      <c r="C26" s="75">
        <v>45305</v>
      </c>
      <c r="D26" s="131">
        <v>45555</v>
      </c>
      <c r="E26" s="16">
        <v>1440</v>
      </c>
      <c r="F26" s="3">
        <v>2</v>
      </c>
      <c r="G26" s="17">
        <v>30</v>
      </c>
      <c r="H26" s="18">
        <v>2.1844392445261573</v>
      </c>
      <c r="I26" s="19">
        <v>5.0690600011183806E-2</v>
      </c>
      <c r="J26" s="19">
        <v>0</v>
      </c>
      <c r="K26" s="125">
        <v>6.0601557785235771</v>
      </c>
      <c r="L26" s="19">
        <v>12.917938486007211</v>
      </c>
      <c r="M26" s="161">
        <f t="shared" si="2"/>
        <v>8.3645704605193258E-3</v>
      </c>
      <c r="N26" s="18">
        <v>0</v>
      </c>
      <c r="O26" s="19">
        <v>0.94433228688722526</v>
      </c>
      <c r="P26" s="125">
        <v>4.7097235205292307</v>
      </c>
      <c r="Q26" s="19">
        <v>0.30927881883916641</v>
      </c>
      <c r="R26" s="19">
        <v>1.4223042690725167</v>
      </c>
      <c r="S26" s="20">
        <v>0.64045863263538638</v>
      </c>
      <c r="T26" s="18">
        <f t="shared" si="7"/>
        <v>1.3054652615354256</v>
      </c>
      <c r="U26" s="19">
        <f t="shared" si="4"/>
        <v>3.0293732163442333E-2</v>
      </c>
      <c r="V26" s="19">
        <f t="shared" si="4"/>
        <v>0</v>
      </c>
      <c r="W26" s="125">
        <f t="shared" si="4"/>
        <v>3.6216721834586005</v>
      </c>
      <c r="X26" s="19">
        <f t="shared" si="4"/>
        <v>7.7200224205787062</v>
      </c>
      <c r="Y26" s="18">
        <f t="shared" si="5"/>
        <v>0</v>
      </c>
      <c r="Z26" s="19">
        <f t="shared" si="5"/>
        <v>0.56435215534913741</v>
      </c>
      <c r="AA26" s="125">
        <f t="shared" si="5"/>
        <v>2.8146264369192511</v>
      </c>
      <c r="AB26" s="19">
        <f t="shared" si="6"/>
        <v>0.18483130402229198</v>
      </c>
      <c r="AC26" s="19">
        <f t="shared" si="6"/>
        <v>0.84999792018041276</v>
      </c>
      <c r="AD26" s="19">
        <f t="shared" si="6"/>
        <v>0.38275108747066094</v>
      </c>
      <c r="AE26" s="22">
        <f t="shared" si="3"/>
        <v>1.0345247814654446</v>
      </c>
      <c r="AF26" s="165" t="s">
        <v>6</v>
      </c>
    </row>
    <row r="27" spans="1:32">
      <c r="A27" s="81">
        <v>142</v>
      </c>
      <c r="B27" s="1" t="s">
        <v>9</v>
      </c>
      <c r="C27" s="75">
        <v>45310</v>
      </c>
      <c r="D27" s="131">
        <v>45568</v>
      </c>
      <c r="E27" s="16">
        <v>1440</v>
      </c>
      <c r="F27" s="3">
        <v>3</v>
      </c>
      <c r="G27" s="17">
        <v>30</v>
      </c>
      <c r="H27" s="18">
        <v>2.3631237410592592</v>
      </c>
      <c r="I27" s="19">
        <v>0</v>
      </c>
      <c r="J27" s="19">
        <v>0</v>
      </c>
      <c r="K27" s="125">
        <v>7.8662604692295695</v>
      </c>
      <c r="L27" s="19">
        <v>13.741246127410184</v>
      </c>
      <c r="M27" s="161">
        <f t="shared" si="2"/>
        <v>0</v>
      </c>
      <c r="N27" s="18">
        <v>0</v>
      </c>
      <c r="O27" s="19">
        <v>0.36532814303440642</v>
      </c>
      <c r="P27" s="125">
        <v>5.3062093109691002</v>
      </c>
      <c r="Q27" s="19">
        <v>0.21983004403332593</v>
      </c>
      <c r="R27" s="19">
        <v>1.2438256371784493</v>
      </c>
      <c r="S27" s="20">
        <v>0.76778792884004665</v>
      </c>
      <c r="T27" s="18">
        <f t="shared" si="7"/>
        <v>0.94150049732990226</v>
      </c>
      <c r="U27" s="19">
        <f t="shared" si="4"/>
        <v>0</v>
      </c>
      <c r="V27" s="19">
        <f t="shared" si="4"/>
        <v>0</v>
      </c>
      <c r="W27" s="125">
        <f t="shared" si="4"/>
        <v>3.1340246874192235</v>
      </c>
      <c r="X27" s="19">
        <f t="shared" si="4"/>
        <v>5.4746985264047821</v>
      </c>
      <c r="Y27" s="18">
        <f t="shared" si="5"/>
        <v>0</v>
      </c>
      <c r="Z27" s="19">
        <f t="shared" si="5"/>
        <v>0.14555167906752373</v>
      </c>
      <c r="AA27" s="125">
        <f t="shared" si="5"/>
        <v>2.1140656404960931</v>
      </c>
      <c r="AB27" s="19">
        <f t="shared" si="6"/>
        <v>8.7583266245997465E-2</v>
      </c>
      <c r="AC27" s="19">
        <f t="shared" si="6"/>
        <v>0.49555697640711338</v>
      </c>
      <c r="AD27" s="19">
        <f t="shared" si="6"/>
        <v>0.30589710741206266</v>
      </c>
      <c r="AE27" s="22">
        <f t="shared" si="3"/>
        <v>1.1698792687293862</v>
      </c>
      <c r="AF27" s="165" t="s">
        <v>6</v>
      </c>
    </row>
    <row r="28" spans="1:32">
      <c r="A28" s="81">
        <v>143</v>
      </c>
      <c r="B28" s="1" t="s">
        <v>10</v>
      </c>
      <c r="C28" s="75">
        <v>45315</v>
      </c>
      <c r="D28" s="131">
        <v>45555</v>
      </c>
      <c r="E28" s="16">
        <v>1440</v>
      </c>
      <c r="F28" s="3">
        <v>2</v>
      </c>
      <c r="G28" s="17">
        <v>30</v>
      </c>
      <c r="H28" s="18">
        <v>5.0613404646498417</v>
      </c>
      <c r="I28" s="19">
        <v>0.13837163786836659</v>
      </c>
      <c r="J28" s="19">
        <v>0</v>
      </c>
      <c r="K28" s="125">
        <v>26.971761886361563</v>
      </c>
      <c r="L28" s="19">
        <v>19.894905262355898</v>
      </c>
      <c r="M28" s="161">
        <f t="shared" si="2"/>
        <v>5.1302409702176357E-3</v>
      </c>
      <c r="N28" s="18">
        <v>0</v>
      </c>
      <c r="O28" s="19">
        <v>1.3637575464863561</v>
      </c>
      <c r="P28" s="125">
        <v>8.6015136262313945</v>
      </c>
      <c r="Q28" s="19">
        <v>0.23016246049330519</v>
      </c>
      <c r="R28" s="19">
        <v>1.8455466114200725</v>
      </c>
      <c r="S28" s="20">
        <v>1.9850094248306078</v>
      </c>
      <c r="T28" s="18">
        <f t="shared" si="7"/>
        <v>3.0247598645560863</v>
      </c>
      <c r="U28" s="19">
        <f t="shared" si="4"/>
        <v>8.2693701311018261E-2</v>
      </c>
      <c r="V28" s="19">
        <f t="shared" si="4"/>
        <v>0</v>
      </c>
      <c r="W28" s="125">
        <f t="shared" si="4"/>
        <v>16.118872737377526</v>
      </c>
      <c r="X28" s="19">
        <f t="shared" si="4"/>
        <v>11.889599478047176</v>
      </c>
      <c r="Y28" s="18">
        <f t="shared" si="5"/>
        <v>0</v>
      </c>
      <c r="Z28" s="19">
        <f t="shared" si="5"/>
        <v>0.81500920959736178</v>
      </c>
      <c r="AA28" s="125">
        <f t="shared" si="5"/>
        <v>5.1404392517698314</v>
      </c>
      <c r="AB28" s="19">
        <f t="shared" si="6"/>
        <v>0.13754976131126354</v>
      </c>
      <c r="AC28" s="19">
        <f t="shared" si="6"/>
        <v>1.1029361406093683</v>
      </c>
      <c r="AD28" s="19">
        <f t="shared" si="6"/>
        <v>1.1862819505876832</v>
      </c>
      <c r="AE28" s="22">
        <f t="shared" si="3"/>
        <v>1.4254580374895138</v>
      </c>
      <c r="AF28" s="165" t="s">
        <v>6</v>
      </c>
    </row>
    <row r="29" spans="1:32">
      <c r="A29" s="81">
        <v>144</v>
      </c>
      <c r="B29" s="1" t="s">
        <v>11</v>
      </c>
      <c r="C29" s="75">
        <v>45320</v>
      </c>
      <c r="D29" s="131">
        <v>45568</v>
      </c>
      <c r="E29" s="16">
        <v>1440</v>
      </c>
      <c r="F29" s="3">
        <v>3</v>
      </c>
      <c r="G29" s="17">
        <v>30</v>
      </c>
      <c r="H29" s="18">
        <v>2.8248820968072659</v>
      </c>
      <c r="I29" s="19">
        <v>0</v>
      </c>
      <c r="J29" s="19">
        <v>0</v>
      </c>
      <c r="K29" s="125">
        <v>9.1353131665192748</v>
      </c>
      <c r="L29" s="19">
        <v>16.504946155574473</v>
      </c>
      <c r="M29" s="161">
        <f t="shared" si="2"/>
        <v>0</v>
      </c>
      <c r="N29" s="18">
        <v>0</v>
      </c>
      <c r="O29" s="19">
        <v>0.41205011650323214</v>
      </c>
      <c r="P29" s="125">
        <v>5.6047229249343573</v>
      </c>
      <c r="Q29" s="19">
        <v>0.29336411442329013</v>
      </c>
      <c r="R29" s="19">
        <v>2.6118196355595913</v>
      </c>
      <c r="S29" s="20">
        <v>0.90575404589396868</v>
      </c>
      <c r="T29" s="18">
        <f t="shared" si="7"/>
        <v>1.125471278897233</v>
      </c>
      <c r="U29" s="19">
        <f t="shared" si="4"/>
        <v>0</v>
      </c>
      <c r="V29" s="19">
        <f t="shared" si="4"/>
        <v>0</v>
      </c>
      <c r="W29" s="125">
        <f t="shared" si="4"/>
        <v>3.6396324661725021</v>
      </c>
      <c r="X29" s="19">
        <f t="shared" si="4"/>
        <v>6.5757940406925766</v>
      </c>
      <c r="Y29" s="18">
        <f t="shared" si="5"/>
        <v>0</v>
      </c>
      <c r="Z29" s="19">
        <f t="shared" si="5"/>
        <v>0.16416634595645108</v>
      </c>
      <c r="AA29" s="125">
        <f t="shared" si="5"/>
        <v>2.2329975064516421</v>
      </c>
      <c r="AB29" s="19">
        <f t="shared" si="6"/>
        <v>0.11688023560901958</v>
      </c>
      <c r="AC29" s="19">
        <f t="shared" si="6"/>
        <v>1.0405843092724001</v>
      </c>
      <c r="AD29" s="19">
        <f t="shared" si="6"/>
        <v>0.36086467663580474</v>
      </c>
      <c r="AE29" s="22">
        <f t="shared" si="3"/>
        <v>1.1267981514088514</v>
      </c>
      <c r="AF29" s="165" t="s">
        <v>6</v>
      </c>
    </row>
    <row r="30" spans="1:32">
      <c r="A30" s="81">
        <v>145</v>
      </c>
      <c r="B30" s="1" t="s">
        <v>12</v>
      </c>
      <c r="C30" s="75">
        <v>45327</v>
      </c>
      <c r="D30" s="131">
        <v>45555</v>
      </c>
      <c r="E30" s="16">
        <v>1440</v>
      </c>
      <c r="F30" s="3">
        <v>2</v>
      </c>
      <c r="G30" s="17">
        <v>30</v>
      </c>
      <c r="H30" s="18">
        <v>3.7219204412502092</v>
      </c>
      <c r="I30" s="19">
        <v>0</v>
      </c>
      <c r="J30" s="19">
        <v>0</v>
      </c>
      <c r="K30" s="125">
        <v>10.424233806718274</v>
      </c>
      <c r="L30" s="19">
        <v>12.172942033609365</v>
      </c>
      <c r="M30" s="161">
        <f t="shared" si="2"/>
        <v>0</v>
      </c>
      <c r="N30" s="18">
        <v>0</v>
      </c>
      <c r="O30" s="19">
        <v>0.49360057957015213</v>
      </c>
      <c r="P30" s="125">
        <v>5.4276960343711806</v>
      </c>
      <c r="Q30" s="19">
        <v>0.25642858267726071</v>
      </c>
      <c r="R30" s="19">
        <v>2.0648057592259299</v>
      </c>
      <c r="S30" s="20">
        <v>1.6082231647052829</v>
      </c>
      <c r="T30" s="18">
        <f t="shared" si="7"/>
        <v>2.2242952530843758</v>
      </c>
      <c r="U30" s="19">
        <f t="shared" si="4"/>
        <v>0</v>
      </c>
      <c r="V30" s="19">
        <f t="shared" si="4"/>
        <v>0</v>
      </c>
      <c r="W30" s="125">
        <f t="shared" si="4"/>
        <v>6.2297338536168869</v>
      </c>
      <c r="X30" s="19">
        <f t="shared" si="4"/>
        <v>7.2747974087091345</v>
      </c>
      <c r="Y30" s="18">
        <f t="shared" si="5"/>
        <v>0</v>
      </c>
      <c r="Z30" s="19">
        <f t="shared" si="5"/>
        <v>0.29498573206707029</v>
      </c>
      <c r="AA30" s="125">
        <f t="shared" si="5"/>
        <v>3.2437013942139514</v>
      </c>
      <c r="AB30" s="19">
        <f t="shared" si="6"/>
        <v>0.15324692942995707</v>
      </c>
      <c r="AC30" s="19">
        <f t="shared" si="6"/>
        <v>1.233969860797131</v>
      </c>
      <c r="AD30" s="19">
        <f t="shared" si="6"/>
        <v>0.96110682848253148</v>
      </c>
      <c r="AE30" s="22">
        <f t="shared" si="3"/>
        <v>1.0802522757588513</v>
      </c>
      <c r="AF30" s="165" t="s">
        <v>6</v>
      </c>
    </row>
    <row r="31" spans="1:32">
      <c r="A31" s="1">
        <v>146</v>
      </c>
      <c r="B31" s="163" t="s">
        <v>13</v>
      </c>
      <c r="C31" s="131">
        <v>45337</v>
      </c>
      <c r="D31" s="131">
        <v>45604</v>
      </c>
      <c r="E31" s="16">
        <v>1440</v>
      </c>
      <c r="F31" s="33">
        <v>2</v>
      </c>
      <c r="G31" s="33">
        <v>30</v>
      </c>
      <c r="H31" s="19">
        <v>4.4502742820264594</v>
      </c>
      <c r="I31" s="19">
        <v>0</v>
      </c>
      <c r="J31" s="19">
        <v>0</v>
      </c>
      <c r="K31" s="125">
        <v>18.228510450397408</v>
      </c>
      <c r="L31" s="20">
        <v>17.611207773874792</v>
      </c>
      <c r="M31" s="161">
        <f t="shared" si="2"/>
        <v>0</v>
      </c>
      <c r="N31" s="19">
        <v>0</v>
      </c>
      <c r="O31" s="19">
        <v>0.75041104899704036</v>
      </c>
      <c r="P31" s="125">
        <v>6.2242893810374431</v>
      </c>
      <c r="Q31" s="19">
        <v>0.38199880330811542</v>
      </c>
      <c r="R31" s="19">
        <v>2.608183768601454</v>
      </c>
      <c r="S31" s="20">
        <v>2.174244650088033</v>
      </c>
      <c r="T31" s="19">
        <f t="shared" si="7"/>
        <v>2.6595743022142373</v>
      </c>
      <c r="U31" s="19">
        <f t="shared" si="7"/>
        <v>0</v>
      </c>
      <c r="V31" s="19">
        <f t="shared" si="7"/>
        <v>0</v>
      </c>
      <c r="W31" s="125">
        <f t="shared" si="7"/>
        <v>10.893728091618867</v>
      </c>
      <c r="X31" s="20">
        <f t="shared" si="7"/>
        <v>10.52481547385095</v>
      </c>
      <c r="Y31" s="19">
        <f t="shared" si="5"/>
        <v>0</v>
      </c>
      <c r="Z31" s="19">
        <f t="shared" si="5"/>
        <v>0.44846088477525697</v>
      </c>
      <c r="AA31" s="125">
        <f t="shared" si="5"/>
        <v>3.7197617581031883</v>
      </c>
      <c r="AB31" s="19">
        <f t="shared" si="6"/>
        <v>0.22829024378520646</v>
      </c>
      <c r="AC31" s="19">
        <f t="shared" si="6"/>
        <v>1.5587035959648901</v>
      </c>
      <c r="AD31" s="19">
        <f t="shared" si="6"/>
        <v>1.2993727648327764</v>
      </c>
      <c r="AE31" s="22">
        <f t="shared" si="3"/>
        <v>1.3213318226297748</v>
      </c>
      <c r="AF31" s="165" t="s">
        <v>6</v>
      </c>
    </row>
    <row r="32" spans="1:32">
      <c r="A32" s="1">
        <v>147</v>
      </c>
      <c r="B32" s="163" t="s">
        <v>14</v>
      </c>
      <c r="C32" s="131">
        <v>45340</v>
      </c>
      <c r="D32" s="131">
        <v>45555</v>
      </c>
      <c r="E32" s="16">
        <v>1440</v>
      </c>
      <c r="F32" s="33">
        <v>3</v>
      </c>
      <c r="G32" s="33">
        <v>30</v>
      </c>
      <c r="H32" s="19">
        <v>5.6683102122680937</v>
      </c>
      <c r="I32" s="19">
        <v>0</v>
      </c>
      <c r="J32" s="19">
        <v>0</v>
      </c>
      <c r="K32" s="125">
        <v>23.219694173935316</v>
      </c>
      <c r="L32" s="20">
        <v>22.53439269336813</v>
      </c>
      <c r="M32" s="161">
        <f t="shared" si="2"/>
        <v>0</v>
      </c>
      <c r="N32" s="19">
        <v>0</v>
      </c>
      <c r="O32" s="19">
        <v>0.73695242695001195</v>
      </c>
      <c r="P32" s="125">
        <v>8.17382882720932</v>
      </c>
      <c r="Q32" s="19">
        <v>0.4308788808627087</v>
      </c>
      <c r="R32" s="19">
        <v>3.4014698989010475</v>
      </c>
      <c r="S32" s="20">
        <v>2.4761354373630851</v>
      </c>
      <c r="T32" s="19">
        <f t="shared" si="7"/>
        <v>2.2583315427563759</v>
      </c>
      <c r="U32" s="19">
        <f t="shared" si="4"/>
        <v>0</v>
      </c>
      <c r="V32" s="19">
        <f t="shared" si="4"/>
        <v>0</v>
      </c>
      <c r="W32" s="125">
        <f t="shared" si="4"/>
        <v>9.251040575136825</v>
      </c>
      <c r="X32" s="20">
        <f t="shared" si="4"/>
        <v>8.9780071856598482</v>
      </c>
      <c r="Y32" s="19">
        <f t="shared" si="5"/>
        <v>0</v>
      </c>
      <c r="Z32" s="19">
        <f t="shared" si="5"/>
        <v>0.29361182591771673</v>
      </c>
      <c r="AA32" s="125">
        <f t="shared" si="5"/>
        <v>3.2565640859997962</v>
      </c>
      <c r="AB32" s="19">
        <f t="shared" si="6"/>
        <v>0.17166798063623664</v>
      </c>
      <c r="AC32" s="19">
        <f t="shared" si="6"/>
        <v>1.3551916667861539</v>
      </c>
      <c r="AD32" s="19">
        <f t="shared" si="6"/>
        <v>0.98652588742075475</v>
      </c>
      <c r="AE32" s="22">
        <f t="shared" si="3"/>
        <v>1.3312746825387876</v>
      </c>
      <c r="AF32" s="165" t="s">
        <v>6</v>
      </c>
    </row>
    <row r="33" spans="1:32">
      <c r="A33" s="1">
        <v>148</v>
      </c>
      <c r="B33" s="163" t="s">
        <v>15</v>
      </c>
      <c r="C33" s="131">
        <v>45347</v>
      </c>
      <c r="D33" s="131">
        <v>45604</v>
      </c>
      <c r="E33" s="16">
        <v>1440</v>
      </c>
      <c r="F33" s="33">
        <v>2</v>
      </c>
      <c r="G33" s="33">
        <v>30</v>
      </c>
      <c r="H33" s="19">
        <v>3.2866569861245556</v>
      </c>
      <c r="I33" s="19">
        <v>0</v>
      </c>
      <c r="J33" s="19">
        <v>0</v>
      </c>
      <c r="K33" s="125">
        <v>14.990947895201648</v>
      </c>
      <c r="L33" s="20">
        <v>14.781195627195432</v>
      </c>
      <c r="M33" s="161">
        <f t="shared" si="2"/>
        <v>0</v>
      </c>
      <c r="N33" s="19">
        <v>0</v>
      </c>
      <c r="O33" s="19">
        <v>0.4061821769154883</v>
      </c>
      <c r="P33" s="125">
        <v>5.7641863651341456</v>
      </c>
      <c r="Q33" s="19">
        <v>0.31695941903067959</v>
      </c>
      <c r="R33" s="19">
        <v>2.2356958578768173</v>
      </c>
      <c r="S33" s="20">
        <v>1.2940855499910531</v>
      </c>
      <c r="T33" s="19">
        <f t="shared" si="7"/>
        <v>1.9641729714936689</v>
      </c>
      <c r="U33" s="19">
        <f t="shared" si="7"/>
        <v>0</v>
      </c>
      <c r="V33" s="19">
        <f t="shared" si="7"/>
        <v>0</v>
      </c>
      <c r="W33" s="125">
        <f t="shared" si="7"/>
        <v>8.9588949492245877</v>
      </c>
      <c r="X33" s="20">
        <f t="shared" si="7"/>
        <v>8.8335427335030712</v>
      </c>
      <c r="Y33" s="19">
        <f t="shared" si="5"/>
        <v>0</v>
      </c>
      <c r="Z33" s="19">
        <f t="shared" si="5"/>
        <v>0.24274271905100681</v>
      </c>
      <c r="AA33" s="125">
        <f t="shared" si="5"/>
        <v>3.4447948504656503</v>
      </c>
      <c r="AB33" s="19">
        <f t="shared" si="6"/>
        <v>0.1894213867004384</v>
      </c>
      <c r="AC33" s="19">
        <f t="shared" si="6"/>
        <v>1.3360972547670591</v>
      </c>
      <c r="AD33" s="19">
        <f t="shared" si="6"/>
        <v>0.77337180935638339</v>
      </c>
      <c r="AE33" s="22">
        <f t="shared" si="3"/>
        <v>1.2638334736454233</v>
      </c>
      <c r="AF33" s="165" t="s">
        <v>6</v>
      </c>
    </row>
    <row r="34" spans="1:32">
      <c r="A34" s="1">
        <v>149</v>
      </c>
      <c r="B34" s="163" t="s">
        <v>16</v>
      </c>
      <c r="C34" s="131">
        <v>45356</v>
      </c>
      <c r="D34" s="131">
        <v>45555</v>
      </c>
      <c r="E34" s="16">
        <v>1440</v>
      </c>
      <c r="F34" s="33">
        <v>2</v>
      </c>
      <c r="G34" s="33">
        <v>30</v>
      </c>
      <c r="H34" s="19">
        <v>4.3528330269095772</v>
      </c>
      <c r="I34" s="19">
        <v>0</v>
      </c>
      <c r="J34" s="19">
        <v>0</v>
      </c>
      <c r="K34" s="125">
        <v>7.5412891237240967</v>
      </c>
      <c r="L34" s="20">
        <v>10.900614758977339</v>
      </c>
      <c r="M34" s="161">
        <f t="shared" si="2"/>
        <v>0</v>
      </c>
      <c r="N34" s="19">
        <v>0</v>
      </c>
      <c r="O34" s="19">
        <v>0.64255976817193916</v>
      </c>
      <c r="P34" s="125">
        <v>4.3782245451930688</v>
      </c>
      <c r="Q34" s="19">
        <v>0.32168049880495653</v>
      </c>
      <c r="R34" s="19">
        <v>2.1417323973819591</v>
      </c>
      <c r="S34" s="20">
        <v>1.2691043863671099</v>
      </c>
      <c r="T34" s="19">
        <f t="shared" si="7"/>
        <v>2.6013414289886452</v>
      </c>
      <c r="U34" s="19">
        <f t="shared" si="4"/>
        <v>0</v>
      </c>
      <c r="V34" s="19">
        <f t="shared" si="4"/>
        <v>0</v>
      </c>
      <c r="W34" s="125">
        <f t="shared" si="4"/>
        <v>4.5068275544336629</v>
      </c>
      <c r="X34" s="20">
        <f t="shared" si="4"/>
        <v>6.5144287866482138</v>
      </c>
      <c r="Y34" s="19">
        <f t="shared" si="5"/>
        <v>0</v>
      </c>
      <c r="Z34" s="19">
        <f t="shared" si="5"/>
        <v>0.38400676874429712</v>
      </c>
      <c r="AA34" s="125">
        <f t="shared" si="5"/>
        <v>2.6165159160519966</v>
      </c>
      <c r="AB34" s="19">
        <f t="shared" si="6"/>
        <v>0.19224279986525861</v>
      </c>
      <c r="AC34" s="19">
        <f t="shared" si="6"/>
        <v>1.2799427822464458</v>
      </c>
      <c r="AD34" s="19">
        <f t="shared" si="6"/>
        <v>0.75844255857245313</v>
      </c>
      <c r="AE34" s="22">
        <f t="shared" si="3"/>
        <v>1.0811001351039784</v>
      </c>
      <c r="AF34" s="165" t="s">
        <v>6</v>
      </c>
    </row>
    <row r="35" spans="1:32">
      <c r="A35" s="1">
        <v>150</v>
      </c>
      <c r="B35" s="163" t="s">
        <v>17</v>
      </c>
      <c r="C35" s="131">
        <v>45361</v>
      </c>
      <c r="D35" s="131">
        <v>45604</v>
      </c>
      <c r="E35" s="16">
        <v>1440</v>
      </c>
      <c r="F35" s="33">
        <v>2</v>
      </c>
      <c r="G35" s="33">
        <v>30</v>
      </c>
      <c r="H35" s="19">
        <v>3.448160696999031</v>
      </c>
      <c r="I35" s="19">
        <v>0</v>
      </c>
      <c r="J35" s="19">
        <v>0</v>
      </c>
      <c r="K35" s="125">
        <v>12.9955107447748</v>
      </c>
      <c r="L35" s="20">
        <v>11.654902990709434</v>
      </c>
      <c r="M35" s="161">
        <f t="shared" si="2"/>
        <v>0</v>
      </c>
      <c r="N35" s="19">
        <v>0</v>
      </c>
      <c r="O35" s="19">
        <v>0.48924695823742187</v>
      </c>
      <c r="P35" s="125">
        <v>5.1397391651202708</v>
      </c>
      <c r="Q35" s="19">
        <v>0.34738899863118122</v>
      </c>
      <c r="R35" s="19">
        <v>2.1898117871451186</v>
      </c>
      <c r="S35" s="20">
        <v>2.393907495730895</v>
      </c>
      <c r="T35" s="19">
        <f t="shared" si="7"/>
        <v>2.0606908694777912</v>
      </c>
      <c r="U35" s="19">
        <f t="shared" si="7"/>
        <v>0</v>
      </c>
      <c r="V35" s="19">
        <f t="shared" si="7"/>
        <v>0</v>
      </c>
      <c r="W35" s="125">
        <f t="shared" si="7"/>
        <v>7.7663811780189445</v>
      </c>
      <c r="X35" s="20">
        <f t="shared" si="7"/>
        <v>6.9652067545769265</v>
      </c>
      <c r="Y35" s="19">
        <f t="shared" si="5"/>
        <v>0</v>
      </c>
      <c r="Z35" s="19">
        <f t="shared" si="5"/>
        <v>0.29238391953051157</v>
      </c>
      <c r="AA35" s="125">
        <f t="shared" si="5"/>
        <v>3.0716125203441247</v>
      </c>
      <c r="AB35" s="19">
        <f t="shared" si="6"/>
        <v>0.2076067215368847</v>
      </c>
      <c r="AC35" s="19">
        <f t="shared" si="6"/>
        <v>1.3086760021283479</v>
      </c>
      <c r="AD35" s="19">
        <f t="shared" si="6"/>
        <v>1.430647743047599</v>
      </c>
      <c r="AE35" s="22">
        <f t="shared" si="3"/>
        <v>1.0874393131768831</v>
      </c>
      <c r="AF35" s="165" t="s">
        <v>6</v>
      </c>
    </row>
    <row r="36" spans="1:32">
      <c r="A36" s="1">
        <v>151</v>
      </c>
      <c r="B36" s="163" t="s">
        <v>18</v>
      </c>
      <c r="C36" s="131">
        <v>45369</v>
      </c>
      <c r="D36" s="131">
        <v>45555</v>
      </c>
      <c r="E36" s="16">
        <v>1440</v>
      </c>
      <c r="F36" s="33">
        <v>2</v>
      </c>
      <c r="G36" s="33">
        <v>30</v>
      </c>
      <c r="H36" s="19">
        <v>3.0095269931472508</v>
      </c>
      <c r="I36" s="19">
        <v>0</v>
      </c>
      <c r="J36" s="19">
        <v>0</v>
      </c>
      <c r="K36" s="125">
        <v>7.9027968931128347</v>
      </c>
      <c r="L36" s="20">
        <v>20.88990052428322</v>
      </c>
      <c r="M36" s="161">
        <f t="shared" si="2"/>
        <v>0</v>
      </c>
      <c r="N36" s="19">
        <v>0</v>
      </c>
      <c r="O36" s="19">
        <v>1.3889108910891088</v>
      </c>
      <c r="P36" s="125">
        <v>5.3014668871791191</v>
      </c>
      <c r="Q36" s="19">
        <v>0.52163373886877284</v>
      </c>
      <c r="R36" s="19">
        <v>2.108737796656269</v>
      </c>
      <c r="S36" s="20">
        <v>1.352240307707983</v>
      </c>
      <c r="T36" s="19">
        <f t="shared" si="7"/>
        <v>1.7985544587939006</v>
      </c>
      <c r="U36" s="19">
        <f t="shared" si="7"/>
        <v>0</v>
      </c>
      <c r="V36" s="19">
        <f t="shared" si="7"/>
        <v>0</v>
      </c>
      <c r="W36" s="125">
        <f t="shared" si="7"/>
        <v>4.7228719401471828</v>
      </c>
      <c r="X36" s="20">
        <f t="shared" si="7"/>
        <v>12.48422885631593</v>
      </c>
      <c r="Y36" s="19">
        <f t="shared" si="5"/>
        <v>0</v>
      </c>
      <c r="Z36" s="19">
        <f t="shared" si="5"/>
        <v>0.83004135923146438</v>
      </c>
      <c r="AA36" s="125">
        <f t="shared" si="5"/>
        <v>3.1682642919620077</v>
      </c>
      <c r="AB36" s="19">
        <f t="shared" si="5"/>
        <v>0.31173891745647514</v>
      </c>
      <c r="AC36" s="19">
        <f t="shared" si="5"/>
        <v>1.2602245386864317</v>
      </c>
      <c r="AD36" s="19">
        <f t="shared" si="5"/>
        <v>0.80812627377222912</v>
      </c>
      <c r="AE36" s="22">
        <f t="shared" si="3"/>
        <v>1.2045797007838888</v>
      </c>
      <c r="AF36" s="165" t="s">
        <v>6</v>
      </c>
    </row>
    <row r="37" spans="1:32">
      <c r="A37" s="1">
        <v>152</v>
      </c>
      <c r="B37" s="163" t="s">
        <v>19</v>
      </c>
      <c r="C37" s="131">
        <v>45376</v>
      </c>
      <c r="D37" s="131">
        <v>45604</v>
      </c>
      <c r="E37" s="16">
        <v>1440</v>
      </c>
      <c r="F37" s="33">
        <v>3</v>
      </c>
      <c r="G37" s="33">
        <v>30</v>
      </c>
      <c r="H37" s="19">
        <v>1.8501774766053565</v>
      </c>
      <c r="I37" s="19">
        <v>0.12234409904817756</v>
      </c>
      <c r="J37" s="19">
        <v>0</v>
      </c>
      <c r="K37" s="125">
        <v>3.4360465116279069</v>
      </c>
      <c r="L37" s="20">
        <v>13.523029447490236</v>
      </c>
      <c r="M37" s="161">
        <f t="shared" si="2"/>
        <v>3.5606066051246263E-2</v>
      </c>
      <c r="N37" s="19">
        <v>0</v>
      </c>
      <c r="O37" s="19">
        <v>0.26747780335415999</v>
      </c>
      <c r="P37" s="125">
        <v>2.8758714729193038</v>
      </c>
      <c r="Q37" s="19">
        <v>0.12171831840200652</v>
      </c>
      <c r="R37" s="19">
        <v>1.0909724505074414</v>
      </c>
      <c r="S37" s="20">
        <v>0.53593559119095335</v>
      </c>
      <c r="T37" s="19">
        <f t="shared" si="7"/>
        <v>0.73713575980228141</v>
      </c>
      <c r="U37" s="19">
        <f t="shared" si="7"/>
        <v>4.8743545713609539E-2</v>
      </c>
      <c r="V37" s="19">
        <f t="shared" si="7"/>
        <v>0</v>
      </c>
      <c r="W37" s="125">
        <f t="shared" si="7"/>
        <v>1.3689674574960087</v>
      </c>
      <c r="X37" s="20">
        <f t="shared" si="7"/>
        <v>5.3877580462680044</v>
      </c>
      <c r="Y37" s="19">
        <f t="shared" si="5"/>
        <v>0</v>
      </c>
      <c r="Z37" s="19">
        <f t="shared" si="5"/>
        <v>0.10656677875436589</v>
      </c>
      <c r="AA37" s="125">
        <f t="shared" si="5"/>
        <v>1.1457861367838142</v>
      </c>
      <c r="AB37" s="19">
        <f t="shared" si="5"/>
        <v>4.8494226230523414E-2</v>
      </c>
      <c r="AC37" s="19">
        <f t="shared" si="5"/>
        <v>0.43465819706316461</v>
      </c>
      <c r="AD37" s="19">
        <f t="shared" si="5"/>
        <v>0.21352399659651364</v>
      </c>
      <c r="AE37" s="22">
        <f t="shared" si="3"/>
        <v>1.571731515759897</v>
      </c>
      <c r="AF37" s="165" t="s">
        <v>6</v>
      </c>
    </row>
    <row r="38" spans="1:32">
      <c r="A38" s="1">
        <v>153</v>
      </c>
      <c r="B38" s="163" t="s">
        <v>20</v>
      </c>
      <c r="C38" s="131">
        <v>45384</v>
      </c>
      <c r="D38" s="131">
        <v>45568</v>
      </c>
      <c r="E38" s="16">
        <v>1440</v>
      </c>
      <c r="F38" s="33">
        <v>4</v>
      </c>
      <c r="G38" s="33">
        <v>30</v>
      </c>
      <c r="H38" s="19">
        <v>1.3726102741626158</v>
      </c>
      <c r="I38" s="19">
        <v>0</v>
      </c>
      <c r="J38" s="19">
        <v>0</v>
      </c>
      <c r="K38" s="125">
        <v>3.641926338240649</v>
      </c>
      <c r="L38" s="20">
        <v>26.017158064955083</v>
      </c>
      <c r="M38" s="161">
        <f t="shared" si="2"/>
        <v>0</v>
      </c>
      <c r="N38" s="19">
        <v>0</v>
      </c>
      <c r="O38" s="19">
        <v>1.2490817441137247</v>
      </c>
      <c r="P38" s="125">
        <v>5.6047229249343573</v>
      </c>
      <c r="Q38" s="19">
        <v>0.59551905470903155</v>
      </c>
      <c r="R38" s="19">
        <v>2.3785461868003868</v>
      </c>
      <c r="S38" s="20">
        <v>1.1759557124439299</v>
      </c>
      <c r="T38" s="19">
        <f t="shared" si="7"/>
        <v>0.41014988973396804</v>
      </c>
      <c r="U38" s="19">
        <f t="shared" si="7"/>
        <v>0</v>
      </c>
      <c r="V38" s="19">
        <f t="shared" si="7"/>
        <v>0</v>
      </c>
      <c r="W38" s="125">
        <f t="shared" si="7"/>
        <v>1.0882445761670516</v>
      </c>
      <c r="X38" s="20">
        <f t="shared" si="7"/>
        <v>7.7741910521852473</v>
      </c>
      <c r="Y38" s="19">
        <f t="shared" si="5"/>
        <v>0</v>
      </c>
      <c r="Z38" s="19">
        <f t="shared" si="5"/>
        <v>0.37323831043702527</v>
      </c>
      <c r="AA38" s="125">
        <f t="shared" si="5"/>
        <v>1.6747481298387314</v>
      </c>
      <c r="AB38" s="19">
        <f t="shared" si="5"/>
        <v>0.17794714145819454</v>
      </c>
      <c r="AC38" s="19">
        <f t="shared" si="5"/>
        <v>0.71073375641056302</v>
      </c>
      <c r="AD38" s="19">
        <f t="shared" si="5"/>
        <v>0.35138750952826298</v>
      </c>
      <c r="AE38" s="22">
        <f t="shared" si="3"/>
        <v>1.1339403102991881</v>
      </c>
      <c r="AF38" s="165" t="s">
        <v>6</v>
      </c>
    </row>
    <row r="39" spans="1:32">
      <c r="A39" s="1">
        <v>154</v>
      </c>
      <c r="B39" s="163" t="s">
        <v>21</v>
      </c>
      <c r="C39" s="131">
        <v>45398</v>
      </c>
      <c r="D39" s="131">
        <v>45604</v>
      </c>
      <c r="E39" s="16">
        <v>1440</v>
      </c>
      <c r="F39" s="33">
        <v>4</v>
      </c>
      <c r="G39" s="33">
        <v>30</v>
      </c>
      <c r="H39" s="19">
        <v>1.6466602129719261</v>
      </c>
      <c r="I39" s="19">
        <v>5.8538815604177667E-2</v>
      </c>
      <c r="J39" s="19">
        <v>0</v>
      </c>
      <c r="K39" s="125">
        <v>4.5496761848690017</v>
      </c>
      <c r="L39" s="20">
        <v>23.718853616099278</v>
      </c>
      <c r="M39" s="161">
        <f t="shared" si="2"/>
        <v>1.2866589450665085E-2</v>
      </c>
      <c r="N39" s="19">
        <v>0</v>
      </c>
      <c r="O39" s="19">
        <v>0.71673791515948693</v>
      </c>
      <c r="P39" s="125">
        <v>4.2051169768127501</v>
      </c>
      <c r="Q39" s="19">
        <v>0.26396891879707879</v>
      </c>
      <c r="R39" s="19">
        <v>2.1329872561671852</v>
      </c>
      <c r="S39" s="20">
        <v>0.98558334861301033</v>
      </c>
      <c r="T39" s="19">
        <f t="shared" si="7"/>
        <v>0.49203879461835842</v>
      </c>
      <c r="U39" s="19">
        <f t="shared" si="7"/>
        <v>1.7491992605008059E-2</v>
      </c>
      <c r="V39" s="19">
        <f t="shared" si="7"/>
        <v>0</v>
      </c>
      <c r="W39" s="125">
        <f t="shared" si="7"/>
        <v>1.3594894491720868</v>
      </c>
      <c r="X39" s="20">
        <f t="shared" si="7"/>
        <v>7.0874343419833092</v>
      </c>
      <c r="Y39" s="19">
        <f t="shared" ref="Y39:AD40" si="8">(N39/1000*$G39)*(1000/$E39)*($B$1/($B$2*$F39))</f>
        <v>0</v>
      </c>
      <c r="Z39" s="19">
        <f t="shared" si="8"/>
        <v>0.21416856802281994</v>
      </c>
      <c r="AA39" s="125">
        <f t="shared" si="8"/>
        <v>1.2565316585659292</v>
      </c>
      <c r="AB39" s="19">
        <f t="shared" si="8"/>
        <v>7.8876593724949817E-2</v>
      </c>
      <c r="AC39" s="19">
        <f t="shared" si="8"/>
        <v>0.63735825411524316</v>
      </c>
      <c r="AD39" s="19">
        <f t="shared" si="8"/>
        <v>0.29450231385152115</v>
      </c>
      <c r="AE39" s="22">
        <f t="shared" si="3"/>
        <v>1.4708555577186875</v>
      </c>
      <c r="AF39" s="165" t="s">
        <v>6</v>
      </c>
    </row>
    <row r="40" spans="1:32" ht="14.5" thickBot="1">
      <c r="A40" s="82">
        <v>155</v>
      </c>
      <c r="B40" s="83" t="s">
        <v>22</v>
      </c>
      <c r="C40" s="126">
        <v>45406</v>
      </c>
      <c r="D40" s="139">
        <v>45568</v>
      </c>
      <c r="E40" s="127">
        <v>1440</v>
      </c>
      <c r="F40" s="72">
        <v>4</v>
      </c>
      <c r="G40" s="128">
        <v>30</v>
      </c>
      <c r="H40" s="74">
        <v>1.7747174544972075</v>
      </c>
      <c r="I40" s="73">
        <v>0</v>
      </c>
      <c r="J40" s="73">
        <v>0</v>
      </c>
      <c r="K40" s="129">
        <v>4.8401979399677471</v>
      </c>
      <c r="L40" s="73">
        <v>28.820897269962632</v>
      </c>
      <c r="M40" s="162">
        <f t="shared" si="2"/>
        <v>0</v>
      </c>
      <c r="N40" s="74">
        <v>0</v>
      </c>
      <c r="O40" s="73">
        <v>0.59341455037178925</v>
      </c>
      <c r="P40" s="129">
        <v>7.0647172899157145</v>
      </c>
      <c r="Q40" s="73">
        <v>0.36268096429815944</v>
      </c>
      <c r="R40" s="73">
        <v>2.0138491303575305</v>
      </c>
      <c r="S40" s="130">
        <v>1.2448306470547046</v>
      </c>
      <c r="T40" s="74">
        <f t="shared" si="7"/>
        <v>0.53030359889666867</v>
      </c>
      <c r="U40" s="73">
        <f t="shared" si="7"/>
        <v>0</v>
      </c>
      <c r="V40" s="73">
        <f t="shared" si="7"/>
        <v>0</v>
      </c>
      <c r="W40" s="129">
        <f t="shared" si="7"/>
        <v>1.4463003000465371</v>
      </c>
      <c r="X40" s="73">
        <f t="shared" si="7"/>
        <v>8.6119768005676125</v>
      </c>
      <c r="Y40" s="74">
        <f t="shared" si="8"/>
        <v>0</v>
      </c>
      <c r="Z40" s="73">
        <f t="shared" si="8"/>
        <v>0.17731829418951797</v>
      </c>
      <c r="AA40" s="129">
        <f t="shared" si="8"/>
        <v>2.1110092733556973</v>
      </c>
      <c r="AB40" s="73">
        <f t="shared" si="8"/>
        <v>0.10837275541030679</v>
      </c>
      <c r="AC40" s="73">
        <f t="shared" si="8"/>
        <v>0.60175857219259976</v>
      </c>
      <c r="AD40" s="73">
        <f t="shared" si="8"/>
        <v>0.371968039462936</v>
      </c>
      <c r="AE40" s="22">
        <f t="shared" si="3"/>
        <v>1.2548352658302409</v>
      </c>
      <c r="AF40" s="167" t="s">
        <v>6</v>
      </c>
    </row>
    <row r="41" spans="1:32">
      <c r="AE41" s="19">
        <f>AVERAGE(AE6:AE40)</f>
        <v>1.151623285051663</v>
      </c>
    </row>
    <row r="42" spans="1:32" ht="16.5">
      <c r="A42" s="3">
        <f>COUNT(A6:A40)</f>
        <v>34</v>
      </c>
      <c r="T42" s="4" t="s">
        <v>32</v>
      </c>
      <c r="U42" s="5" t="s">
        <v>33</v>
      </c>
      <c r="V42" s="5" t="s">
        <v>34</v>
      </c>
      <c r="W42" s="6" t="s">
        <v>35</v>
      </c>
      <c r="X42" s="7" t="s">
        <v>36</v>
      </c>
      <c r="Y42" s="8" t="s">
        <v>38</v>
      </c>
      <c r="Z42" s="9" t="s">
        <v>39</v>
      </c>
      <c r="AA42" s="10" t="s">
        <v>40</v>
      </c>
      <c r="AB42" s="9" t="s">
        <v>41</v>
      </c>
      <c r="AC42" s="9" t="s">
        <v>42</v>
      </c>
      <c r="AD42" s="11" t="s">
        <v>43</v>
      </c>
    </row>
    <row r="43" spans="1:32">
      <c r="S43" s="31" t="s">
        <v>45</v>
      </c>
      <c r="T43" s="13">
        <f t="shared" ref="T43:AD43" si="9">AVERAGE(T6:T40)</f>
        <v>0.9437266573588744</v>
      </c>
      <c r="U43" s="14">
        <f t="shared" si="9"/>
        <v>1.2622573749659038E-2</v>
      </c>
      <c r="V43" s="14">
        <f t="shared" si="9"/>
        <v>0</v>
      </c>
      <c r="W43" s="14">
        <f t="shared" si="9"/>
        <v>3.2774494086251917</v>
      </c>
      <c r="X43" s="15">
        <f t="shared" si="9"/>
        <v>6.4609135831965485</v>
      </c>
      <c r="Y43" s="14">
        <f t="shared" si="9"/>
        <v>0</v>
      </c>
      <c r="Z43" s="14">
        <f t="shared" si="9"/>
        <v>0.24583404063669215</v>
      </c>
      <c r="AA43" s="14">
        <f t="shared" si="9"/>
        <v>2.0250684114358783</v>
      </c>
      <c r="AB43" s="14">
        <f t="shared" si="9"/>
        <v>0.10615058936150831</v>
      </c>
      <c r="AC43" s="14">
        <f t="shared" si="9"/>
        <v>0.79548378497597561</v>
      </c>
      <c r="AD43" s="15">
        <f t="shared" si="9"/>
        <v>0.46002269399151502</v>
      </c>
      <c r="AE43" s="32">
        <f>AVERAGE(AE6:AE41)</f>
        <v>1.151623285051663</v>
      </c>
    </row>
    <row r="44" spans="1:32">
      <c r="S44" s="33" t="s">
        <v>46</v>
      </c>
      <c r="T44" s="34">
        <f t="shared" ref="T44:AD44" si="10">STDEV(T6:T40)</f>
        <v>0.86379158882251816</v>
      </c>
      <c r="U44" s="35">
        <f t="shared" si="10"/>
        <v>3.1750226079245006E-2</v>
      </c>
      <c r="V44" s="35">
        <f t="shared" si="10"/>
        <v>0</v>
      </c>
      <c r="W44" s="35">
        <f t="shared" si="10"/>
        <v>3.6449640751064116</v>
      </c>
      <c r="X44" s="36">
        <f t="shared" si="10"/>
        <v>3.352070497078484</v>
      </c>
      <c r="Y44" s="35">
        <f t="shared" si="10"/>
        <v>0</v>
      </c>
      <c r="Z44" s="35">
        <f t="shared" si="10"/>
        <v>0.18558736233302947</v>
      </c>
      <c r="AA44" s="35">
        <f t="shared" si="10"/>
        <v>1.2395970560702778</v>
      </c>
      <c r="AB44" s="35">
        <f t="shared" si="10"/>
        <v>7.4496856924558527E-2</v>
      </c>
      <c r="AC44" s="35">
        <f t="shared" si="10"/>
        <v>0.39108640731806599</v>
      </c>
      <c r="AD44" s="36">
        <f t="shared" si="10"/>
        <v>0.35106289146846792</v>
      </c>
      <c r="AE44" s="37">
        <f>STDEV(AE6:AE41)</f>
        <v>0.20116621069740184</v>
      </c>
    </row>
    <row r="45" spans="1:32">
      <c r="S45" s="33" t="s">
        <v>47</v>
      </c>
      <c r="T45" s="18">
        <f t="shared" ref="T45:AD45" si="11">MIN(T6:T40)</f>
        <v>3.7139516237370801E-2</v>
      </c>
      <c r="U45" s="19">
        <f t="shared" si="11"/>
        <v>0</v>
      </c>
      <c r="V45" s="19">
        <f t="shared" si="11"/>
        <v>0</v>
      </c>
      <c r="W45" s="19">
        <f t="shared" si="11"/>
        <v>0.28380577037023219</v>
      </c>
      <c r="X45" s="20">
        <f t="shared" si="11"/>
        <v>0.69862468936930955</v>
      </c>
      <c r="Y45" s="19">
        <f t="shared" si="11"/>
        <v>0</v>
      </c>
      <c r="Z45" s="19">
        <f t="shared" si="11"/>
        <v>7.5780645966029722E-2</v>
      </c>
      <c r="AA45" s="19">
        <f t="shared" si="11"/>
        <v>0.28880665967189156</v>
      </c>
      <c r="AB45" s="19">
        <f t="shared" si="11"/>
        <v>1.8265417339139868E-2</v>
      </c>
      <c r="AC45" s="19">
        <f t="shared" si="11"/>
        <v>0.10070790635647306</v>
      </c>
      <c r="AD45" s="20">
        <f t="shared" si="11"/>
        <v>0.10040723107212521</v>
      </c>
      <c r="AE45" s="37">
        <f>MIN(AE6:AE41)</f>
        <v>0.76859127471505251</v>
      </c>
    </row>
    <row r="46" spans="1:32">
      <c r="S46" s="38" t="s">
        <v>48</v>
      </c>
      <c r="T46" s="26">
        <f t="shared" ref="T46:AD46" si="12">MAX(T6:T40)</f>
        <v>3.0247598645560863</v>
      </c>
      <c r="U46" s="27">
        <f t="shared" si="12"/>
        <v>0.1536541582625619</v>
      </c>
      <c r="V46" s="27">
        <f t="shared" si="12"/>
        <v>0</v>
      </c>
      <c r="W46" s="27">
        <f t="shared" si="12"/>
        <v>16.118872737377526</v>
      </c>
      <c r="X46" s="29">
        <f t="shared" si="12"/>
        <v>12.48422885631593</v>
      </c>
      <c r="Y46" s="27">
        <f t="shared" si="12"/>
        <v>0</v>
      </c>
      <c r="Z46" s="27">
        <f t="shared" si="12"/>
        <v>0.83004135923146438</v>
      </c>
      <c r="AA46" s="27">
        <f t="shared" si="12"/>
        <v>5.1404392517698314</v>
      </c>
      <c r="AB46" s="27">
        <f t="shared" si="12"/>
        <v>0.31173891745647514</v>
      </c>
      <c r="AC46" s="27">
        <f t="shared" si="12"/>
        <v>1.5587035959648901</v>
      </c>
      <c r="AD46" s="29">
        <f t="shared" si="12"/>
        <v>1.430647743047599</v>
      </c>
      <c r="AE46" s="39">
        <f>MAX(AE6:AE41)</f>
        <v>1.571731515759897</v>
      </c>
    </row>
  </sheetData>
  <mergeCells count="4">
    <mergeCell ref="H4:L4"/>
    <mergeCell ref="N4:S4"/>
    <mergeCell ref="T4:X4"/>
    <mergeCell ref="Y4:AD4"/>
  </mergeCells>
  <phoneticPr fontId="13"/>
  <conditionalFormatting sqref="AE6:AE40">
    <cfRule type="cellIs" dxfId="16" priority="1" operator="notBetween">
      <formula>0.7</formula>
      <formula>1.3</formula>
    </cfRule>
  </conditionalFormatting>
  <pageMargins left="0.7" right="0.7" top="0.7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14B-2D78-419A-8937-5E91BF79DFC3}">
  <dimension ref="A1:AM40"/>
  <sheetViews>
    <sheetView zoomScale="70" zoomScaleNormal="70" workbookViewId="0">
      <selection activeCell="G28" sqref="G28"/>
    </sheetView>
  </sheetViews>
  <sheetFormatPr defaultColWidth="8.25" defaultRowHeight="14"/>
  <cols>
    <col min="1" max="1" width="8.4140625" style="3" bestFit="1" customWidth="1"/>
    <col min="2" max="2" width="12.1640625" style="3" bestFit="1" customWidth="1"/>
    <col min="3" max="3" width="11.1640625" style="3" bestFit="1" customWidth="1"/>
    <col min="4" max="4" width="11.08203125" style="19" bestFit="1" customWidth="1"/>
    <col min="5" max="5" width="8.33203125" style="19" customWidth="1"/>
    <col min="6" max="6" width="8.25" style="19" customWidth="1"/>
    <col min="7" max="7" width="8.4140625" style="19" bestFit="1" customWidth="1"/>
    <col min="8" max="8" width="8.4140625" style="43" bestFit="1" customWidth="1"/>
    <col min="9" max="9" width="8.4140625" style="3" bestFit="1" customWidth="1"/>
    <col min="10" max="10" width="9.33203125" style="19" bestFit="1" customWidth="1"/>
    <col min="11" max="12" width="8.4140625" style="19" bestFit="1" customWidth="1"/>
    <col min="13" max="13" width="8.4140625" style="3" bestFit="1" customWidth="1"/>
    <col min="14" max="14" width="9.1640625" style="19" bestFit="1" customWidth="1"/>
    <col min="15" max="15" width="8.4140625" style="19" bestFit="1" customWidth="1"/>
    <col min="16" max="17" width="8.33203125" style="19" customWidth="1"/>
    <col min="18" max="18" width="8.4140625" style="19" bestFit="1" customWidth="1"/>
    <col min="19" max="19" width="8.4140625" style="3" bestFit="1" customWidth="1"/>
    <col min="20" max="20" width="8.33203125" style="3" customWidth="1"/>
    <col min="21" max="21" width="11" style="19" bestFit="1" customWidth="1"/>
    <col min="22" max="23" width="8.33203125" style="19" bestFit="1" customWidth="1"/>
    <col min="24" max="24" width="8.33203125" style="3" bestFit="1" customWidth="1"/>
    <col min="25" max="25" width="8.6640625" style="3" bestFit="1" customWidth="1"/>
    <col min="26" max="26" width="8.25" style="3"/>
    <col min="27" max="27" width="9.58203125" style="3" bestFit="1" customWidth="1"/>
    <col min="28" max="28" width="8.4140625" style="3" bestFit="1" customWidth="1"/>
    <col min="29" max="29" width="8.75" style="3" bestFit="1" customWidth="1"/>
    <col min="30" max="30" width="8.4140625" style="3" bestFit="1" customWidth="1"/>
    <col min="31" max="31" width="9.58203125" style="3" bestFit="1" customWidth="1"/>
    <col min="32" max="36" width="8.4140625" style="3" bestFit="1" customWidth="1"/>
    <col min="37" max="16384" width="8.25" style="3"/>
  </cols>
  <sheetData>
    <row r="1" spans="1:39">
      <c r="A1" s="40" t="s">
        <v>49</v>
      </c>
      <c r="B1" s="41" t="s">
        <v>46</v>
      </c>
      <c r="C1" s="42" t="s">
        <v>50</v>
      </c>
      <c r="E1" s="554"/>
      <c r="F1" s="325" t="s">
        <v>245</v>
      </c>
      <c r="G1" s="555"/>
      <c r="H1" s="551" t="s">
        <v>246</v>
      </c>
      <c r="I1" s="556"/>
      <c r="J1" s="325" t="s">
        <v>247</v>
      </c>
      <c r="K1" s="557"/>
      <c r="L1" s="325" t="s">
        <v>242</v>
      </c>
    </row>
    <row r="2" spans="1:39" ht="14.5" thickBot="1"/>
    <row r="3" spans="1:39" ht="16.5">
      <c r="A3" s="44"/>
      <c r="B3" s="78"/>
      <c r="C3" s="79"/>
      <c r="D3" s="45" t="s">
        <v>51</v>
      </c>
      <c r="E3" s="46"/>
      <c r="F3" s="47"/>
      <c r="G3" s="48"/>
      <c r="H3" s="48"/>
      <c r="I3" s="49"/>
      <c r="J3" s="50" t="s">
        <v>40</v>
      </c>
      <c r="K3" s="51"/>
      <c r="L3" s="51"/>
      <c r="M3" s="52"/>
      <c r="N3" s="53" t="s">
        <v>52</v>
      </c>
      <c r="O3" s="54"/>
      <c r="P3" s="55"/>
      <c r="Q3" s="54"/>
      <c r="R3" s="48"/>
      <c r="S3" s="56"/>
      <c r="T3" s="146"/>
      <c r="U3" s="45" t="s">
        <v>51</v>
      </c>
      <c r="V3" s="46"/>
      <c r="W3" s="47"/>
      <c r="X3" s="54" t="s">
        <v>53</v>
      </c>
      <c r="Y3" s="48"/>
      <c r="Z3" s="49"/>
      <c r="AA3" s="50" t="s">
        <v>40</v>
      </c>
      <c r="AB3" s="51"/>
      <c r="AC3" s="51" t="s">
        <v>53</v>
      </c>
      <c r="AD3" s="52"/>
      <c r="AE3" s="53" t="s">
        <v>52</v>
      </c>
      <c r="AF3" s="54"/>
      <c r="AG3" s="55"/>
      <c r="AH3" s="54" t="s">
        <v>53</v>
      </c>
      <c r="AI3" s="48"/>
      <c r="AJ3" s="57"/>
    </row>
    <row r="4" spans="1:39">
      <c r="A4" s="148" t="s">
        <v>0</v>
      </c>
      <c r="B4" s="149" t="s">
        <v>28</v>
      </c>
      <c r="C4" s="80" t="s">
        <v>1</v>
      </c>
      <c r="D4" s="58" t="s">
        <v>54</v>
      </c>
      <c r="E4" s="59" t="s">
        <v>55</v>
      </c>
      <c r="F4" s="60" t="s">
        <v>46</v>
      </c>
      <c r="G4" s="59" t="s">
        <v>56</v>
      </c>
      <c r="H4" s="59" t="s">
        <v>46</v>
      </c>
      <c r="I4" s="61" t="s">
        <v>57</v>
      </c>
      <c r="J4" s="62" t="s">
        <v>54</v>
      </c>
      <c r="K4" s="63" t="s">
        <v>56</v>
      </c>
      <c r="L4" s="64" t="s">
        <v>46</v>
      </c>
      <c r="M4" s="65" t="s">
        <v>57</v>
      </c>
      <c r="N4" s="66" t="s">
        <v>54</v>
      </c>
      <c r="O4" s="67" t="s">
        <v>55</v>
      </c>
      <c r="P4" s="60" t="s">
        <v>46</v>
      </c>
      <c r="Q4" s="59" t="s">
        <v>56</v>
      </c>
      <c r="R4" s="59" t="s">
        <v>46</v>
      </c>
      <c r="S4" s="68" t="s">
        <v>57</v>
      </c>
      <c r="T4" s="147"/>
      <c r="U4" s="58" t="s">
        <v>54</v>
      </c>
      <c r="V4" s="59" t="s">
        <v>55</v>
      </c>
      <c r="W4" s="60" t="s">
        <v>46</v>
      </c>
      <c r="X4" s="59" t="s">
        <v>56</v>
      </c>
      <c r="Y4" s="59" t="s">
        <v>46</v>
      </c>
      <c r="Z4" s="61" t="s">
        <v>57</v>
      </c>
      <c r="AA4" s="62" t="s">
        <v>54</v>
      </c>
      <c r="AB4" s="63" t="s">
        <v>56</v>
      </c>
      <c r="AC4" s="64" t="s">
        <v>46</v>
      </c>
      <c r="AD4" s="65" t="s">
        <v>57</v>
      </c>
      <c r="AE4" s="66" t="s">
        <v>54</v>
      </c>
      <c r="AF4" s="67" t="s">
        <v>55</v>
      </c>
      <c r="AG4" s="60" t="s">
        <v>46</v>
      </c>
      <c r="AH4" s="59" t="s">
        <v>56</v>
      </c>
      <c r="AI4" s="59" t="s">
        <v>46</v>
      </c>
      <c r="AJ4" s="69" t="s">
        <v>57</v>
      </c>
    </row>
    <row r="5" spans="1:39">
      <c r="A5" s="81">
        <v>121</v>
      </c>
      <c r="B5" s="1" t="s">
        <v>58</v>
      </c>
      <c r="C5" s="558">
        <v>45050</v>
      </c>
      <c r="D5" s="85"/>
      <c r="E5" s="86"/>
      <c r="F5" s="87"/>
      <c r="G5" s="88"/>
      <c r="H5" s="88"/>
      <c r="I5" s="89"/>
      <c r="J5" s="90">
        <v>45553</v>
      </c>
      <c r="K5" s="91">
        <v>15.510879545193626</v>
      </c>
      <c r="L5" s="88">
        <v>9.637035441246776E-2</v>
      </c>
      <c r="M5" s="89">
        <v>5.0123333333333333</v>
      </c>
      <c r="N5" s="539">
        <v>45820</v>
      </c>
      <c r="O5" s="540">
        <v>65.432964497012179</v>
      </c>
      <c r="P5" s="541">
        <v>0.24458619968908363</v>
      </c>
      <c r="Q5" s="541">
        <v>0.99546345953839432</v>
      </c>
      <c r="R5" s="541">
        <v>0.34468114288467888</v>
      </c>
      <c r="S5" s="542">
        <v>21.483333333333334</v>
      </c>
      <c r="T5" s="89"/>
      <c r="U5" s="92"/>
      <c r="V5" s="86"/>
      <c r="W5" s="87"/>
      <c r="X5" s="88"/>
      <c r="Y5" s="88"/>
      <c r="Z5" s="89"/>
      <c r="AA5" s="90"/>
      <c r="AB5" s="91"/>
      <c r="AC5" s="88"/>
      <c r="AD5" s="89"/>
      <c r="AE5" s="93"/>
      <c r="AF5" s="91"/>
      <c r="AG5" s="88"/>
      <c r="AH5" s="88"/>
      <c r="AI5" s="88"/>
      <c r="AJ5" s="94"/>
      <c r="AM5" s="19"/>
    </row>
    <row r="6" spans="1:39">
      <c r="A6" s="81">
        <v>122</v>
      </c>
      <c r="B6" s="1" t="s">
        <v>59</v>
      </c>
      <c r="C6" s="559">
        <v>45058</v>
      </c>
      <c r="D6" s="85"/>
      <c r="E6" s="86"/>
      <c r="F6" s="86"/>
      <c r="G6" s="88"/>
      <c r="H6" s="88"/>
      <c r="I6" s="89"/>
      <c r="J6" s="90">
        <v>45555</v>
      </c>
      <c r="K6" s="91">
        <v>14.936614246103128</v>
      </c>
      <c r="L6" s="88">
        <v>0.12588952559324748</v>
      </c>
      <c r="M6" s="89">
        <v>8.5533333333333346</v>
      </c>
      <c r="N6" s="543">
        <v>45813</v>
      </c>
      <c r="O6" s="541">
        <v>62.159851211644224</v>
      </c>
      <c r="P6" s="541">
        <v>0.23027863856660286</v>
      </c>
      <c r="Q6" s="541">
        <v>1.0137764960030671</v>
      </c>
      <c r="R6" s="541">
        <v>0.29312727599153982</v>
      </c>
      <c r="S6" s="542">
        <v>19.952999999999999</v>
      </c>
      <c r="T6" s="89"/>
      <c r="U6" s="92"/>
      <c r="V6" s="86"/>
      <c r="W6" s="86"/>
      <c r="X6" s="88"/>
      <c r="Y6" s="88"/>
      <c r="Z6" s="89"/>
      <c r="AA6" s="90"/>
      <c r="AB6" s="91"/>
      <c r="AC6" s="88"/>
      <c r="AD6" s="89"/>
      <c r="AE6" s="93"/>
      <c r="AF6" s="91"/>
      <c r="AG6" s="88"/>
      <c r="AH6" s="88"/>
      <c r="AI6" s="88"/>
      <c r="AJ6" s="94"/>
      <c r="AM6" s="19"/>
    </row>
    <row r="7" spans="1:39">
      <c r="A7" s="81">
        <v>123</v>
      </c>
      <c r="B7" s="1" t="s">
        <v>60</v>
      </c>
      <c r="C7" s="559">
        <v>45066</v>
      </c>
      <c r="D7" s="85"/>
      <c r="E7" s="86"/>
      <c r="F7" s="86"/>
      <c r="G7" s="88"/>
      <c r="H7" s="88"/>
      <c r="I7" s="89"/>
      <c r="J7" s="90">
        <v>45583</v>
      </c>
      <c r="K7" s="91">
        <v>16.128707629492784</v>
      </c>
      <c r="L7" s="88">
        <v>7.8699631032389444E-2</v>
      </c>
      <c r="M7" s="89">
        <v>15.950333333333333</v>
      </c>
      <c r="N7" s="543">
        <v>45813</v>
      </c>
      <c r="O7" s="541">
        <v>62.153994863548157</v>
      </c>
      <c r="P7" s="541">
        <v>0.75685092820273325</v>
      </c>
      <c r="Q7" s="541">
        <v>1.153695413110184</v>
      </c>
      <c r="R7" s="541">
        <v>0.10777542957424513</v>
      </c>
      <c r="S7" s="542">
        <v>20.718333333333334</v>
      </c>
      <c r="T7" s="89"/>
      <c r="U7" s="92"/>
      <c r="V7" s="86"/>
      <c r="W7" s="86"/>
      <c r="X7" s="88"/>
      <c r="Y7" s="88"/>
      <c r="Z7" s="89"/>
      <c r="AA7" s="90"/>
      <c r="AB7" s="91"/>
      <c r="AC7" s="88"/>
      <c r="AD7" s="89"/>
      <c r="AE7" s="93"/>
      <c r="AF7" s="91"/>
      <c r="AG7" s="88"/>
      <c r="AH7" s="88"/>
      <c r="AI7" s="88"/>
      <c r="AJ7" s="94"/>
      <c r="AM7" s="19"/>
    </row>
    <row r="8" spans="1:39">
      <c r="A8" s="81">
        <v>124</v>
      </c>
      <c r="B8" s="1" t="s">
        <v>61</v>
      </c>
      <c r="C8" s="559">
        <v>45074</v>
      </c>
      <c r="D8" s="85"/>
      <c r="E8" s="86"/>
      <c r="F8" s="86"/>
      <c r="G8" s="88"/>
      <c r="H8" s="88"/>
      <c r="I8" s="89"/>
      <c r="J8" s="90">
        <v>45553</v>
      </c>
      <c r="K8" s="91">
        <v>15.132033548628074</v>
      </c>
      <c r="L8" s="88">
        <v>5.3777518525457556E-2</v>
      </c>
      <c r="M8" s="89">
        <v>3.407</v>
      </c>
      <c r="N8" s="543">
        <v>45813</v>
      </c>
      <c r="O8" s="541">
        <v>53.500117717950239</v>
      </c>
      <c r="P8" s="541">
        <v>0.17619249282631302</v>
      </c>
      <c r="Q8" s="541">
        <v>-1.4839086571454863</v>
      </c>
      <c r="R8" s="541">
        <v>0.19928260761615538</v>
      </c>
      <c r="S8" s="542">
        <v>13.451666666666668</v>
      </c>
      <c r="T8" s="89"/>
      <c r="U8" s="92"/>
      <c r="V8" s="86"/>
      <c r="W8" s="86"/>
      <c r="X8" s="88"/>
      <c r="Y8" s="88"/>
      <c r="Z8" s="89"/>
      <c r="AA8" s="90"/>
      <c r="AB8" s="91"/>
      <c r="AC8" s="88"/>
      <c r="AD8" s="89"/>
      <c r="AE8" s="93"/>
      <c r="AF8" s="91"/>
      <c r="AG8" s="88"/>
      <c r="AH8" s="88"/>
      <c r="AI8" s="88"/>
      <c r="AJ8" s="94"/>
      <c r="AM8" s="19"/>
    </row>
    <row r="9" spans="1:39">
      <c r="A9" s="81">
        <v>125</v>
      </c>
      <c r="B9" s="1" t="s">
        <v>62</v>
      </c>
      <c r="C9" s="562">
        <v>45082</v>
      </c>
      <c r="D9" s="85"/>
      <c r="E9" s="86"/>
      <c r="F9" s="86"/>
      <c r="G9" s="88"/>
      <c r="H9" s="88"/>
      <c r="I9" s="89"/>
      <c r="J9" s="90">
        <v>45555</v>
      </c>
      <c r="K9" s="91">
        <v>15.704066983066696</v>
      </c>
      <c r="L9" s="88">
        <v>0.16981227158876205</v>
      </c>
      <c r="M9" s="89">
        <v>10.383333333333333</v>
      </c>
      <c r="N9" s="543">
        <v>45813</v>
      </c>
      <c r="O9" s="541">
        <v>67.823908539775871</v>
      </c>
      <c r="P9" s="541">
        <v>0.40285365697838471</v>
      </c>
      <c r="Q9" s="541">
        <v>0.13776612249613601</v>
      </c>
      <c r="R9" s="541">
        <v>0.16995356202092105</v>
      </c>
      <c r="S9" s="542">
        <v>20.406666666666666</v>
      </c>
      <c r="T9" s="89"/>
      <c r="U9" s="92"/>
      <c r="V9" s="86"/>
      <c r="W9" s="86"/>
      <c r="X9" s="88"/>
      <c r="Y9" s="88"/>
      <c r="Z9" s="89"/>
      <c r="AA9" s="90"/>
      <c r="AB9" s="91"/>
      <c r="AC9" s="88"/>
      <c r="AD9" s="89"/>
      <c r="AE9" s="93"/>
      <c r="AF9" s="91"/>
      <c r="AG9" s="88"/>
      <c r="AH9" s="88"/>
      <c r="AI9" s="88"/>
      <c r="AJ9" s="94"/>
      <c r="AM9" s="19"/>
    </row>
    <row r="10" spans="1:39">
      <c r="A10" s="81">
        <v>126</v>
      </c>
      <c r="B10" s="1" t="s">
        <v>63</v>
      </c>
      <c r="C10" s="562">
        <v>45090</v>
      </c>
      <c r="D10" s="85"/>
      <c r="E10" s="86"/>
      <c r="F10" s="86"/>
      <c r="G10" s="88"/>
      <c r="H10" s="88"/>
      <c r="I10" s="89"/>
      <c r="J10" s="90">
        <v>45553</v>
      </c>
      <c r="K10" s="91">
        <v>18.409629890042012</v>
      </c>
      <c r="L10" s="88">
        <v>8.3390562717865685E-2</v>
      </c>
      <c r="M10" s="89">
        <v>3.8059999999999996</v>
      </c>
      <c r="N10" s="539">
        <v>45820</v>
      </c>
      <c r="O10" s="541">
        <v>63.346680105379029</v>
      </c>
      <c r="P10" s="541">
        <v>4.0281773102889024E-2</v>
      </c>
      <c r="Q10" s="541">
        <v>2.4996648668851162</v>
      </c>
      <c r="R10" s="541">
        <v>0.43463806238392289</v>
      </c>
      <c r="S10" s="542">
        <v>26.221</v>
      </c>
      <c r="T10" s="89"/>
      <c r="U10" s="92"/>
      <c r="V10" s="86"/>
      <c r="W10" s="86"/>
      <c r="X10" s="88"/>
      <c r="Y10" s="88"/>
      <c r="Z10" s="89"/>
      <c r="AA10" s="90"/>
      <c r="AB10" s="91"/>
      <c r="AC10" s="88"/>
      <c r="AD10" s="89"/>
      <c r="AE10" s="93"/>
      <c r="AF10" s="91"/>
      <c r="AG10" s="88"/>
      <c r="AH10" s="88"/>
      <c r="AI10" s="88"/>
      <c r="AJ10" s="94"/>
      <c r="AM10" s="19"/>
    </row>
    <row r="11" spans="1:39">
      <c r="A11" s="81">
        <v>127</v>
      </c>
      <c r="B11" s="1" t="s">
        <v>64</v>
      </c>
      <c r="C11" s="562">
        <v>45098</v>
      </c>
      <c r="D11" s="85"/>
      <c r="E11" s="86"/>
      <c r="F11" s="86"/>
      <c r="G11" s="88"/>
      <c r="H11" s="88"/>
      <c r="I11" s="89"/>
      <c r="J11" s="90">
        <v>45583</v>
      </c>
      <c r="K11" s="91">
        <v>18.401943391380762</v>
      </c>
      <c r="L11" s="88">
        <v>0.15021446710954264</v>
      </c>
      <c r="M11" s="89">
        <v>12.303666666666667</v>
      </c>
      <c r="N11" s="543">
        <v>45813</v>
      </c>
      <c r="O11" s="541">
        <v>56.410062231309233</v>
      </c>
      <c r="P11" s="541">
        <v>0.12942951373383624</v>
      </c>
      <c r="Q11" s="541">
        <v>1.8049124133784336</v>
      </c>
      <c r="R11" s="541">
        <v>0.15033140882992599</v>
      </c>
      <c r="S11" s="542">
        <v>20.089666666666663</v>
      </c>
      <c r="T11" s="89"/>
      <c r="U11" s="92"/>
      <c r="V11" s="86"/>
      <c r="W11" s="86"/>
      <c r="X11" s="88"/>
      <c r="Y11" s="88"/>
      <c r="Z11" s="89"/>
      <c r="AA11" s="90"/>
      <c r="AB11" s="91"/>
      <c r="AC11" s="88"/>
      <c r="AD11" s="89"/>
      <c r="AE11" s="93"/>
      <c r="AF11" s="91"/>
      <c r="AG11" s="88"/>
      <c r="AH11" s="88"/>
      <c r="AI11" s="88"/>
      <c r="AJ11" s="94"/>
      <c r="AM11" s="19"/>
    </row>
    <row r="12" spans="1:39">
      <c r="A12" s="81">
        <v>128</v>
      </c>
      <c r="B12" s="1" t="s">
        <v>65</v>
      </c>
      <c r="C12" s="562">
        <v>45113</v>
      </c>
      <c r="D12" s="85"/>
      <c r="E12" s="86"/>
      <c r="F12" s="86"/>
      <c r="G12" s="88"/>
      <c r="H12" s="88"/>
      <c r="I12" s="89"/>
      <c r="J12" s="90">
        <v>45555</v>
      </c>
      <c r="K12" s="91">
        <v>24.180939873001932</v>
      </c>
      <c r="L12" s="88">
        <v>9.5604785141620546E-2</v>
      </c>
      <c r="M12" s="89">
        <v>7.1026666666666669</v>
      </c>
      <c r="N12" s="543">
        <v>45813</v>
      </c>
      <c r="O12" s="541">
        <v>54.222297906849576</v>
      </c>
      <c r="P12" s="541">
        <v>0.43470890209672325</v>
      </c>
      <c r="Q12" s="541">
        <v>1.228227664617455</v>
      </c>
      <c r="R12" s="541">
        <v>7.9912601996119909E-2</v>
      </c>
      <c r="S12" s="542">
        <v>20.646000000000001</v>
      </c>
      <c r="T12" s="89"/>
      <c r="U12" s="92"/>
      <c r="V12" s="86"/>
      <c r="W12" s="86"/>
      <c r="X12" s="88"/>
      <c r="Y12" s="88"/>
      <c r="Z12" s="89"/>
      <c r="AA12" s="90"/>
      <c r="AB12" s="91"/>
      <c r="AC12" s="88"/>
      <c r="AD12" s="89"/>
      <c r="AE12" s="93"/>
      <c r="AF12" s="91"/>
      <c r="AG12" s="88"/>
      <c r="AH12" s="88"/>
      <c r="AI12" s="88"/>
      <c r="AJ12" s="94"/>
      <c r="AM12" s="19"/>
    </row>
    <row r="13" spans="1:39">
      <c r="A13" s="81">
        <v>129</v>
      </c>
      <c r="B13" s="1" t="s">
        <v>66</v>
      </c>
      <c r="C13" s="562">
        <v>45121</v>
      </c>
      <c r="D13" s="85"/>
      <c r="E13" s="86"/>
      <c r="F13" s="86"/>
      <c r="G13" s="88"/>
      <c r="H13" s="88"/>
      <c r="I13" s="89"/>
      <c r="J13" s="90">
        <v>45553</v>
      </c>
      <c r="K13" s="91">
        <v>19.872131098105118</v>
      </c>
      <c r="L13" s="88">
        <v>0.12758466847666694</v>
      </c>
      <c r="M13" s="89">
        <v>3.1616666666666671</v>
      </c>
      <c r="N13" s="543">
        <v>45813</v>
      </c>
      <c r="O13" s="541">
        <v>61.648807783050508</v>
      </c>
      <c r="P13" s="541">
        <v>0.34296867136363601</v>
      </c>
      <c r="Q13" s="541">
        <v>1.8115792890866518</v>
      </c>
      <c r="R13" s="541">
        <v>0.1937445698630447</v>
      </c>
      <c r="S13" s="542">
        <v>21.061333333333334</v>
      </c>
      <c r="T13" s="89"/>
      <c r="U13" s="92"/>
      <c r="V13" s="86"/>
      <c r="W13" s="86"/>
      <c r="X13" s="88"/>
      <c r="Y13" s="88"/>
      <c r="Z13" s="89"/>
      <c r="AA13" s="90"/>
      <c r="AB13" s="91"/>
      <c r="AC13" s="88"/>
      <c r="AD13" s="89"/>
      <c r="AE13" s="93"/>
      <c r="AF13" s="91"/>
      <c r="AG13" s="88"/>
      <c r="AH13" s="88"/>
      <c r="AI13" s="88"/>
      <c r="AJ13" s="94"/>
      <c r="AM13" s="19"/>
    </row>
    <row r="14" spans="1:39">
      <c r="A14" s="81">
        <v>130</v>
      </c>
      <c r="B14" s="1" t="s">
        <v>67</v>
      </c>
      <c r="C14" s="562">
        <v>45129</v>
      </c>
      <c r="D14" s="85"/>
      <c r="E14" s="86"/>
      <c r="F14" s="86"/>
      <c r="G14" s="88"/>
      <c r="H14" s="88"/>
      <c r="I14" s="89"/>
      <c r="J14" s="90">
        <v>45572</v>
      </c>
      <c r="K14" s="91">
        <v>19.576658926918689</v>
      </c>
      <c r="L14" s="88">
        <v>0.14864756378165525</v>
      </c>
      <c r="M14" s="89">
        <v>14.218999999999999</v>
      </c>
      <c r="N14" s="539">
        <v>45820</v>
      </c>
      <c r="O14" s="541">
        <v>61.721109489645897</v>
      </c>
      <c r="P14" s="541">
        <v>0.12752171591563341</v>
      </c>
      <c r="Q14" s="541">
        <v>7.5130021387892754</v>
      </c>
      <c r="R14" s="541">
        <v>0.43122398120719929</v>
      </c>
      <c r="S14" s="542">
        <v>12.059666666666667</v>
      </c>
      <c r="T14" s="89"/>
      <c r="U14" s="92"/>
      <c r="V14" s="86"/>
      <c r="W14" s="86"/>
      <c r="X14" s="88"/>
      <c r="Y14" s="88"/>
      <c r="Z14" s="89"/>
      <c r="AA14" s="90"/>
      <c r="AB14" s="91"/>
      <c r="AC14" s="88"/>
      <c r="AD14" s="89"/>
      <c r="AE14" s="93"/>
      <c r="AF14" s="91"/>
      <c r="AG14" s="88"/>
      <c r="AH14" s="88"/>
      <c r="AI14" s="88"/>
      <c r="AJ14" s="94"/>
      <c r="AM14" s="19"/>
    </row>
    <row r="15" spans="1:39">
      <c r="A15" s="81">
        <v>131</v>
      </c>
      <c r="B15" s="1" t="s">
        <v>68</v>
      </c>
      <c r="C15" s="562">
        <v>45137</v>
      </c>
      <c r="D15" s="85"/>
      <c r="E15" s="86"/>
      <c r="F15" s="86"/>
      <c r="G15" s="88"/>
      <c r="H15" s="88"/>
      <c r="I15" s="89"/>
      <c r="J15" s="90">
        <v>45572</v>
      </c>
      <c r="K15" s="91">
        <v>21.733005329399177</v>
      </c>
      <c r="L15" s="88">
        <v>0.10366133845873926</v>
      </c>
      <c r="M15" s="89">
        <v>13.751333333333335</v>
      </c>
      <c r="N15" s="543">
        <v>45818</v>
      </c>
      <c r="O15" s="541">
        <v>51.420623025157958</v>
      </c>
      <c r="P15" s="541">
        <v>0.30291492247597651</v>
      </c>
      <c r="Q15" s="541">
        <v>3.6837692202390344</v>
      </c>
      <c r="R15" s="541">
        <v>0.14882868984466846</v>
      </c>
      <c r="S15" s="542">
        <v>20.46466666666667</v>
      </c>
      <c r="T15" s="89"/>
      <c r="U15" s="92"/>
      <c r="V15" s="86"/>
      <c r="W15" s="86"/>
      <c r="X15" s="88"/>
      <c r="Y15" s="88"/>
      <c r="Z15" s="89"/>
      <c r="AA15" s="90"/>
      <c r="AB15" s="91"/>
      <c r="AC15" s="88"/>
      <c r="AD15" s="89"/>
      <c r="AE15" s="93"/>
      <c r="AF15" s="91"/>
      <c r="AG15" s="88"/>
      <c r="AH15" s="88"/>
      <c r="AI15" s="88"/>
      <c r="AJ15" s="94"/>
      <c r="AM15" s="19"/>
    </row>
    <row r="16" spans="1:39">
      <c r="A16" s="81">
        <v>132</v>
      </c>
      <c r="B16" s="1" t="s">
        <v>69</v>
      </c>
      <c r="C16" s="562">
        <v>45145</v>
      </c>
      <c r="D16" s="85"/>
      <c r="E16" s="86"/>
      <c r="F16" s="86"/>
      <c r="G16" s="88"/>
      <c r="H16" s="88"/>
      <c r="I16" s="89"/>
      <c r="J16" s="90">
        <v>45572</v>
      </c>
      <c r="K16" s="91">
        <v>16.115807375763833</v>
      </c>
      <c r="L16" s="88">
        <v>0.12897354766798111</v>
      </c>
      <c r="M16" s="89">
        <v>12.238999999999999</v>
      </c>
      <c r="N16" s="543">
        <v>45813</v>
      </c>
      <c r="O16" s="541">
        <v>54.305695826352974</v>
      </c>
      <c r="P16" s="541">
        <v>0.48473373435859818</v>
      </c>
      <c r="Q16" s="541">
        <v>2.6301519641843067</v>
      </c>
      <c r="R16" s="541">
        <v>9.0772559846070494E-2</v>
      </c>
      <c r="S16" s="542">
        <v>19.928000000000001</v>
      </c>
      <c r="T16" s="89"/>
      <c r="U16" s="92"/>
      <c r="V16" s="86"/>
      <c r="W16" s="86"/>
      <c r="X16" s="88"/>
      <c r="Y16" s="88"/>
      <c r="Z16" s="89"/>
      <c r="AA16" s="90"/>
      <c r="AB16" s="91"/>
      <c r="AC16" s="88"/>
      <c r="AD16" s="89"/>
      <c r="AE16" s="93"/>
      <c r="AF16" s="91"/>
      <c r="AG16" s="88"/>
      <c r="AH16" s="88"/>
      <c r="AI16" s="88"/>
      <c r="AJ16" s="94"/>
      <c r="AM16" s="19"/>
    </row>
    <row r="17" spans="1:39">
      <c r="A17" s="81">
        <v>133</v>
      </c>
      <c r="B17" s="1" t="s">
        <v>70</v>
      </c>
      <c r="C17" s="562">
        <v>45153</v>
      </c>
      <c r="D17" s="85"/>
      <c r="E17" s="86"/>
      <c r="F17" s="86"/>
      <c r="G17" s="88"/>
      <c r="H17" s="88"/>
      <c r="I17" s="89"/>
      <c r="J17" s="90">
        <v>45572</v>
      </c>
      <c r="K17" s="91">
        <v>16.85020897675648</v>
      </c>
      <c r="L17" s="88">
        <v>0.13487458348169057</v>
      </c>
      <c r="M17" s="89">
        <v>10.990333333333334</v>
      </c>
      <c r="N17" s="543">
        <v>45821</v>
      </c>
      <c r="O17" s="541">
        <v>55.399235490324429</v>
      </c>
      <c r="P17" s="541">
        <v>0.11666032917481084</v>
      </c>
      <c r="Q17" s="541">
        <v>3.6301885047635802</v>
      </c>
      <c r="R17" s="541">
        <v>0.24641724812095245</v>
      </c>
      <c r="S17" s="542">
        <v>19.818666666666665</v>
      </c>
      <c r="T17" s="89"/>
      <c r="U17" s="92"/>
      <c r="V17" s="86"/>
      <c r="W17" s="86"/>
      <c r="X17" s="88"/>
      <c r="Y17" s="88"/>
      <c r="Z17" s="89"/>
      <c r="AA17" s="90"/>
      <c r="AB17" s="91"/>
      <c r="AC17" s="88"/>
      <c r="AD17" s="89"/>
      <c r="AE17" s="93"/>
      <c r="AF17" s="91"/>
      <c r="AG17" s="88"/>
      <c r="AH17" s="88"/>
      <c r="AI17" s="88"/>
      <c r="AJ17" s="94"/>
      <c r="AM17" s="19"/>
    </row>
    <row r="18" spans="1:39">
      <c r="A18" s="81">
        <v>135</v>
      </c>
      <c r="B18" s="1" t="s">
        <v>71</v>
      </c>
      <c r="C18" s="562">
        <v>45170</v>
      </c>
      <c r="D18" s="85"/>
      <c r="E18" s="86"/>
      <c r="F18" s="86"/>
      <c r="G18" s="88"/>
      <c r="H18" s="88"/>
      <c r="I18" s="89"/>
      <c r="J18" s="90">
        <v>45553</v>
      </c>
      <c r="K18" s="91">
        <v>17.118818910961025</v>
      </c>
      <c r="L18" s="88">
        <v>7.6734055880877464E-2</v>
      </c>
      <c r="M18" s="89">
        <v>3.702666666666667</v>
      </c>
      <c r="N18" s="543">
        <v>45821</v>
      </c>
      <c r="O18" s="541">
        <v>58.180910915838446</v>
      </c>
      <c r="P18" s="541">
        <v>9.5421844566330752E-2</v>
      </c>
      <c r="Q18" s="541">
        <v>1.4153981207297379</v>
      </c>
      <c r="R18" s="541">
        <v>0.22302363666022693</v>
      </c>
      <c r="S18" s="542">
        <v>19.842333333333332</v>
      </c>
      <c r="T18" s="89"/>
      <c r="U18" s="92"/>
      <c r="V18" s="86"/>
      <c r="W18" s="86"/>
      <c r="X18" s="88"/>
      <c r="Y18" s="88"/>
      <c r="Z18" s="89"/>
      <c r="AA18" s="90"/>
      <c r="AB18" s="91"/>
      <c r="AC18" s="88"/>
      <c r="AD18" s="89"/>
      <c r="AE18" s="93"/>
      <c r="AF18" s="91"/>
      <c r="AG18" s="88"/>
      <c r="AH18" s="88"/>
      <c r="AI18" s="88"/>
      <c r="AJ18" s="94"/>
      <c r="AM18" s="19"/>
    </row>
    <row r="19" spans="1:39">
      <c r="A19" s="81">
        <v>136</v>
      </c>
      <c r="B19" s="1" t="s">
        <v>72</v>
      </c>
      <c r="C19" s="562">
        <v>45178</v>
      </c>
      <c r="D19" s="85"/>
      <c r="E19" s="86"/>
      <c r="F19" s="86"/>
      <c r="G19" s="88"/>
      <c r="H19" s="88"/>
      <c r="I19" s="89"/>
      <c r="J19" s="90">
        <v>45555</v>
      </c>
      <c r="K19" s="91">
        <v>17.295605161760069</v>
      </c>
      <c r="L19" s="88">
        <v>0.15810751300853473</v>
      </c>
      <c r="M19" s="89">
        <v>8.408666666666667</v>
      </c>
      <c r="N19" s="543">
        <v>45821</v>
      </c>
      <c r="O19" s="541">
        <v>59.766431218126378</v>
      </c>
      <c r="P19" s="541">
        <v>0.4697829219170227</v>
      </c>
      <c r="Q19" s="541">
        <v>-0.12320603561242099</v>
      </c>
      <c r="R19" s="541">
        <v>0.21671166698578689</v>
      </c>
      <c r="S19" s="542">
        <v>20.395666666666667</v>
      </c>
      <c r="T19" s="89"/>
      <c r="U19" s="92"/>
      <c r="V19" s="86"/>
      <c r="W19" s="86"/>
      <c r="X19" s="88"/>
      <c r="Y19" s="88"/>
      <c r="Z19" s="89"/>
      <c r="AA19" s="90"/>
      <c r="AB19" s="91"/>
      <c r="AC19" s="88"/>
      <c r="AD19" s="89"/>
      <c r="AE19" s="93"/>
      <c r="AF19" s="91"/>
      <c r="AG19" s="88"/>
      <c r="AH19" s="88"/>
      <c r="AI19" s="88"/>
      <c r="AJ19" s="94"/>
      <c r="AM19" s="19"/>
    </row>
    <row r="20" spans="1:39">
      <c r="A20" s="81">
        <v>137</v>
      </c>
      <c r="B20" s="1" t="s">
        <v>73</v>
      </c>
      <c r="C20" s="562">
        <v>45186</v>
      </c>
      <c r="D20" s="85"/>
      <c r="E20" s="86"/>
      <c r="F20" s="86"/>
      <c r="G20" s="88"/>
      <c r="H20" s="88"/>
      <c r="I20" s="89"/>
      <c r="J20" s="90">
        <v>45572</v>
      </c>
      <c r="K20" s="91">
        <v>14.27524128639403</v>
      </c>
      <c r="L20" s="88">
        <v>0.1448166704756956</v>
      </c>
      <c r="M20" s="89">
        <v>20.491666666666664</v>
      </c>
      <c r="N20" s="543">
        <v>45818</v>
      </c>
      <c r="O20" s="541">
        <v>63.786249862118986</v>
      </c>
      <c r="P20" s="541">
        <v>0.20772842103606082</v>
      </c>
      <c r="Q20" s="541">
        <v>3.9702824435006359</v>
      </c>
      <c r="R20" s="541">
        <v>0.12121381520247168</v>
      </c>
      <c r="S20" s="542">
        <v>19.349</v>
      </c>
      <c r="T20" s="89"/>
      <c r="U20" s="92"/>
      <c r="V20" s="86"/>
      <c r="W20" s="86"/>
      <c r="X20" s="88"/>
      <c r="Y20" s="88"/>
      <c r="Z20" s="89"/>
      <c r="AA20" s="90"/>
      <c r="AB20" s="91"/>
      <c r="AC20" s="88"/>
      <c r="AD20" s="89"/>
      <c r="AE20" s="93"/>
      <c r="AF20" s="91"/>
      <c r="AG20" s="88"/>
      <c r="AH20" s="88"/>
      <c r="AI20" s="88"/>
      <c r="AJ20" s="94"/>
      <c r="AM20" s="19"/>
    </row>
    <row r="21" spans="1:39">
      <c r="A21" s="135">
        <v>138</v>
      </c>
      <c r="B21" s="2" t="s">
        <v>74</v>
      </c>
      <c r="C21" s="563">
        <v>45202</v>
      </c>
      <c r="D21" s="150"/>
      <c r="E21" s="151"/>
      <c r="F21" s="151"/>
      <c r="G21" s="152"/>
      <c r="H21" s="152"/>
      <c r="I21" s="153"/>
      <c r="J21" s="157">
        <v>45555</v>
      </c>
      <c r="K21" s="155">
        <v>13.52775005075708</v>
      </c>
      <c r="L21" s="152">
        <v>0.10804390887182103</v>
      </c>
      <c r="M21" s="153">
        <v>7.9163333333333332</v>
      </c>
      <c r="N21" s="543">
        <v>45821</v>
      </c>
      <c r="O21" s="544">
        <v>61.005224616853639</v>
      </c>
      <c r="P21" s="544">
        <v>0.101373197653712</v>
      </c>
      <c r="Q21" s="544">
        <v>1.040590338626987</v>
      </c>
      <c r="R21" s="544">
        <v>0.17021841754006997</v>
      </c>
      <c r="S21" s="545">
        <v>21.412333333333333</v>
      </c>
      <c r="T21" s="153"/>
      <c r="U21" s="156"/>
      <c r="V21" s="151"/>
      <c r="W21" s="151"/>
      <c r="X21" s="152"/>
      <c r="Y21" s="152"/>
      <c r="Z21" s="153"/>
      <c r="AA21" s="154"/>
      <c r="AB21" s="155"/>
      <c r="AC21" s="152"/>
      <c r="AD21" s="153"/>
      <c r="AE21" s="157"/>
      <c r="AF21" s="155"/>
      <c r="AG21" s="152"/>
      <c r="AH21" s="152"/>
      <c r="AI21" s="152"/>
      <c r="AJ21" s="158"/>
      <c r="AM21" s="19"/>
    </row>
    <row r="22" spans="1:39">
      <c r="A22" s="81"/>
      <c r="B22" s="1"/>
      <c r="C22" s="334"/>
      <c r="D22" s="85"/>
      <c r="E22" s="86"/>
      <c r="F22" s="86"/>
      <c r="G22" s="88"/>
      <c r="H22" s="88"/>
      <c r="I22" s="89"/>
      <c r="J22" s="90"/>
      <c r="K22" s="91"/>
      <c r="L22" s="88"/>
      <c r="M22" s="89"/>
      <c r="N22" s="543"/>
      <c r="O22" s="541"/>
      <c r="P22" s="541"/>
      <c r="Q22" s="541"/>
      <c r="R22" s="541"/>
      <c r="S22" s="542"/>
      <c r="T22" s="89"/>
      <c r="U22" s="92"/>
      <c r="V22" s="86"/>
      <c r="W22" s="86"/>
      <c r="X22" s="88"/>
      <c r="Y22" s="88"/>
      <c r="Z22" s="89"/>
      <c r="AA22" s="90"/>
      <c r="AB22" s="91"/>
      <c r="AC22" s="88"/>
      <c r="AD22" s="89"/>
      <c r="AE22" s="93"/>
      <c r="AF22" s="91"/>
      <c r="AG22" s="88"/>
      <c r="AH22" s="88"/>
      <c r="AI22" s="88"/>
      <c r="AJ22" s="94"/>
      <c r="AM22" s="19"/>
    </row>
    <row r="23" spans="1:39">
      <c r="A23" s="81">
        <v>139</v>
      </c>
      <c r="B23" s="77" t="s">
        <v>23</v>
      </c>
      <c r="C23" s="564">
        <v>45293</v>
      </c>
      <c r="D23" s="85"/>
      <c r="E23" s="86"/>
      <c r="F23" s="86"/>
      <c r="G23" s="88"/>
      <c r="H23" s="88"/>
      <c r="I23" s="89"/>
      <c r="J23" s="90">
        <v>45583</v>
      </c>
      <c r="K23" s="91">
        <v>11.530807126863506</v>
      </c>
      <c r="L23" s="88">
        <v>5.9956772631975352E-2</v>
      </c>
      <c r="M23" s="89">
        <v>16.596666666666668</v>
      </c>
      <c r="N23" s="543">
        <v>45818</v>
      </c>
      <c r="O23" s="541">
        <v>77.837576945246909</v>
      </c>
      <c r="P23" s="541">
        <v>4.6124507737198991E-2</v>
      </c>
      <c r="Q23" s="541">
        <v>0.61846332549642435</v>
      </c>
      <c r="R23" s="541">
        <v>0.13410922810607098</v>
      </c>
      <c r="S23" s="542">
        <v>20.72</v>
      </c>
      <c r="T23" s="89"/>
      <c r="U23" s="92"/>
      <c r="V23" s="86"/>
      <c r="W23" s="86"/>
      <c r="X23" s="88"/>
      <c r="Y23" s="88"/>
      <c r="Z23" s="89"/>
      <c r="AA23" s="90"/>
      <c r="AB23" s="91"/>
      <c r="AC23" s="88"/>
      <c r="AD23" s="89"/>
      <c r="AE23" s="93"/>
      <c r="AF23" s="91"/>
      <c r="AG23" s="88"/>
      <c r="AH23" s="88"/>
      <c r="AI23" s="88"/>
      <c r="AJ23" s="94"/>
      <c r="AM23" s="19"/>
    </row>
    <row r="24" spans="1:39">
      <c r="A24" s="81">
        <v>140</v>
      </c>
      <c r="B24" s="1" t="s">
        <v>7</v>
      </c>
      <c r="C24" s="564">
        <v>45300</v>
      </c>
      <c r="D24" s="85"/>
      <c r="E24" s="86"/>
      <c r="F24" s="86"/>
      <c r="G24" s="88"/>
      <c r="H24" s="88"/>
      <c r="I24" s="89"/>
      <c r="J24" s="90">
        <v>45596</v>
      </c>
      <c r="K24" s="91">
        <v>10.191756720401537</v>
      </c>
      <c r="L24" s="88">
        <v>0.22439581608231401</v>
      </c>
      <c r="M24" s="89">
        <v>13.815</v>
      </c>
      <c r="N24" s="539">
        <v>45845</v>
      </c>
      <c r="O24" s="546">
        <v>74.811846849122162</v>
      </c>
      <c r="P24" s="546">
        <v>0.43314041657062669</v>
      </c>
      <c r="Q24" s="541">
        <v>-0.78536871165145961</v>
      </c>
      <c r="R24" s="541">
        <v>0.17813564120452255</v>
      </c>
      <c r="S24" s="542">
        <v>15.42</v>
      </c>
      <c r="T24" s="89"/>
      <c r="U24" s="92"/>
      <c r="V24" s="86"/>
      <c r="W24" s="86"/>
      <c r="X24" s="88"/>
      <c r="Y24" s="88"/>
      <c r="Z24" s="89"/>
      <c r="AA24" s="90"/>
      <c r="AB24" s="91"/>
      <c r="AC24" s="88"/>
      <c r="AD24" s="89"/>
      <c r="AE24" s="93"/>
      <c r="AF24" s="91"/>
      <c r="AG24" s="88"/>
      <c r="AH24" s="88"/>
      <c r="AI24" s="88"/>
      <c r="AJ24" s="94"/>
      <c r="AM24" s="70"/>
    </row>
    <row r="25" spans="1:39">
      <c r="A25" s="81">
        <v>141</v>
      </c>
      <c r="B25" s="1" t="s">
        <v>8</v>
      </c>
      <c r="C25" s="564">
        <v>45305</v>
      </c>
      <c r="D25" s="85"/>
      <c r="E25" s="86"/>
      <c r="F25" s="86"/>
      <c r="G25" s="88"/>
      <c r="H25" s="88"/>
      <c r="I25" s="89"/>
      <c r="J25" s="90">
        <v>45653</v>
      </c>
      <c r="K25" s="91">
        <v>10.189272528411665</v>
      </c>
      <c r="L25" s="88">
        <v>0.44315680505703903</v>
      </c>
      <c r="M25" s="89">
        <v>11.496</v>
      </c>
      <c r="N25" s="539">
        <v>45845</v>
      </c>
      <c r="O25" s="540">
        <v>79.833314291734041</v>
      </c>
      <c r="P25" s="541">
        <v>0.32939332874581129</v>
      </c>
      <c r="Q25" s="541">
        <v>2.7290422021467342</v>
      </c>
      <c r="R25" s="541">
        <v>0.20998326492142635</v>
      </c>
      <c r="S25" s="542">
        <v>15.827</v>
      </c>
      <c r="T25" s="89"/>
      <c r="U25" s="92"/>
      <c r="V25" s="86"/>
      <c r="W25" s="86"/>
      <c r="X25" s="88"/>
      <c r="Y25" s="88"/>
      <c r="Z25" s="89"/>
      <c r="AA25" s="90"/>
      <c r="AB25" s="91"/>
      <c r="AC25" s="88"/>
      <c r="AD25" s="89"/>
      <c r="AE25" s="93"/>
      <c r="AF25" s="91"/>
      <c r="AG25" s="88"/>
      <c r="AH25" s="88"/>
      <c r="AI25" s="88"/>
      <c r="AJ25" s="94"/>
      <c r="AL25" s="19"/>
      <c r="AM25" s="19"/>
    </row>
    <row r="26" spans="1:39">
      <c r="A26" s="81">
        <v>142</v>
      </c>
      <c r="B26" s="1" t="s">
        <v>9</v>
      </c>
      <c r="C26" s="564">
        <v>45310</v>
      </c>
      <c r="D26" s="85"/>
      <c r="E26" s="86"/>
      <c r="F26" s="86"/>
      <c r="G26" s="88"/>
      <c r="H26" s="88"/>
      <c r="I26" s="89"/>
      <c r="J26" s="90">
        <v>45651</v>
      </c>
      <c r="K26" s="91">
        <v>10.26411735102309</v>
      </c>
      <c r="L26" s="88">
        <v>0.24966383645461671</v>
      </c>
      <c r="M26" s="89">
        <v>14.469000000000001</v>
      </c>
      <c r="N26" s="543">
        <v>45891</v>
      </c>
      <c r="O26" s="540">
        <v>77.838942203538309</v>
      </c>
      <c r="P26" s="541">
        <v>1.6412796270204793E-2</v>
      </c>
      <c r="Q26" s="541">
        <v>-1.0908188424083727</v>
      </c>
      <c r="R26" s="541">
        <v>0.39633173279394096</v>
      </c>
      <c r="S26" s="542">
        <v>11.002000000000001</v>
      </c>
      <c r="T26" s="89"/>
      <c r="U26" s="92"/>
      <c r="V26" s="86"/>
      <c r="W26" s="86"/>
      <c r="X26" s="88"/>
      <c r="Y26" s="88"/>
      <c r="Z26" s="89"/>
      <c r="AA26" s="90">
        <v>45651</v>
      </c>
      <c r="AB26" s="91">
        <v>10.26411735102309</v>
      </c>
      <c r="AC26" s="88">
        <v>0.24966383645461671</v>
      </c>
      <c r="AD26" s="89">
        <v>14.469000000000001</v>
      </c>
      <c r="AE26" s="93"/>
      <c r="AF26" s="91"/>
      <c r="AG26" s="88"/>
      <c r="AH26" s="88"/>
      <c r="AI26" s="88"/>
      <c r="AJ26" s="94"/>
      <c r="AL26" s="19"/>
      <c r="AM26" s="19"/>
    </row>
    <row r="27" spans="1:39">
      <c r="A27" s="81">
        <v>143</v>
      </c>
      <c r="B27" s="1" t="s">
        <v>10</v>
      </c>
      <c r="C27" s="564">
        <v>45315</v>
      </c>
      <c r="D27" s="85"/>
      <c r="E27" s="86"/>
      <c r="F27" s="86"/>
      <c r="G27" s="88"/>
      <c r="H27" s="88"/>
      <c r="I27" s="89"/>
      <c r="J27" s="90">
        <v>45655</v>
      </c>
      <c r="K27" s="91">
        <v>10.130501055480954</v>
      </c>
      <c r="L27" s="88">
        <v>0.21779828584560035</v>
      </c>
      <c r="M27" s="89">
        <v>11.286000000000001</v>
      </c>
      <c r="N27" s="539">
        <v>45845</v>
      </c>
      <c r="O27" s="541">
        <v>79.7052078558891</v>
      </c>
      <c r="P27" s="541">
        <v>0.17937617671260511</v>
      </c>
      <c r="Q27" s="541">
        <v>-1.3627068629431756</v>
      </c>
      <c r="R27" s="325">
        <v>0.15052864244978692</v>
      </c>
      <c r="S27" s="542">
        <v>15.117666666666665</v>
      </c>
      <c r="T27" s="89"/>
      <c r="U27" s="92"/>
      <c r="V27" s="86"/>
      <c r="W27" s="86"/>
      <c r="X27" s="88"/>
      <c r="Y27" s="88"/>
      <c r="Z27" s="89"/>
      <c r="AA27" s="90"/>
      <c r="AB27" s="91"/>
      <c r="AC27" s="88"/>
      <c r="AD27" s="89"/>
      <c r="AE27" s="93"/>
      <c r="AF27" s="88"/>
      <c r="AG27" s="88"/>
      <c r="AH27" s="88"/>
      <c r="AI27" s="88"/>
      <c r="AJ27" s="94"/>
      <c r="AL27" s="19"/>
      <c r="AM27" s="19"/>
    </row>
    <row r="28" spans="1:39">
      <c r="A28" s="81">
        <v>144</v>
      </c>
      <c r="B28" s="1" t="s">
        <v>11</v>
      </c>
      <c r="C28" s="564">
        <v>45320</v>
      </c>
      <c r="D28" s="85"/>
      <c r="E28" s="88"/>
      <c r="F28" s="88"/>
      <c r="G28" s="88"/>
      <c r="H28" s="88"/>
      <c r="I28" s="95"/>
      <c r="J28" s="93">
        <v>45653</v>
      </c>
      <c r="K28" s="91">
        <v>12.469819133382408</v>
      </c>
      <c r="L28" s="88">
        <v>0.2196948561200941</v>
      </c>
      <c r="M28" s="89">
        <v>12.978333333333333</v>
      </c>
      <c r="N28" s="539">
        <v>45845</v>
      </c>
      <c r="O28" s="540">
        <v>74.18853101357017</v>
      </c>
      <c r="P28" s="541">
        <v>0.22850554757284361</v>
      </c>
      <c r="Q28" s="541">
        <v>1.5395261686730377</v>
      </c>
      <c r="R28" s="325">
        <v>0.15004211293003017</v>
      </c>
      <c r="S28" s="542">
        <v>15.256</v>
      </c>
      <c r="T28" s="89"/>
      <c r="U28" s="92"/>
      <c r="V28" s="96"/>
      <c r="W28" s="96"/>
      <c r="X28" s="88"/>
      <c r="Y28" s="88"/>
      <c r="Z28" s="89"/>
      <c r="AA28" s="90"/>
      <c r="AB28" s="91"/>
      <c r="AC28" s="88"/>
      <c r="AD28" s="89"/>
      <c r="AE28" s="93"/>
      <c r="AF28" s="91"/>
      <c r="AG28" s="88"/>
      <c r="AH28" s="88"/>
      <c r="AI28" s="88"/>
      <c r="AJ28" s="94"/>
      <c r="AL28" s="19"/>
      <c r="AM28" s="19"/>
    </row>
    <row r="29" spans="1:39">
      <c r="A29" s="81">
        <v>145</v>
      </c>
      <c r="B29" s="1" t="s">
        <v>12</v>
      </c>
      <c r="C29" s="564">
        <v>45327</v>
      </c>
      <c r="D29" s="85"/>
      <c r="E29" s="86"/>
      <c r="F29" s="86"/>
      <c r="G29" s="86"/>
      <c r="H29" s="86"/>
      <c r="I29" s="97"/>
      <c r="J29" s="90">
        <v>45583</v>
      </c>
      <c r="K29" s="91">
        <v>11.72258395820247</v>
      </c>
      <c r="L29" s="88">
        <v>0.14008336074800565</v>
      </c>
      <c r="M29" s="89">
        <v>19.123666666666669</v>
      </c>
      <c r="N29" s="543">
        <v>45818</v>
      </c>
      <c r="O29" s="540">
        <v>69.207516980966673</v>
      </c>
      <c r="P29" s="541">
        <v>0.17934865553837492</v>
      </c>
      <c r="Q29" s="541">
        <v>-2.0818693176133554</v>
      </c>
      <c r="R29" s="325">
        <v>0.20826700379902227</v>
      </c>
      <c r="S29" s="542">
        <v>21.612333333333336</v>
      </c>
      <c r="T29" s="89"/>
      <c r="U29" s="92"/>
      <c r="V29" s="96"/>
      <c r="W29" s="96"/>
      <c r="X29" s="88"/>
      <c r="Y29" s="88"/>
      <c r="Z29" s="89"/>
      <c r="AA29" s="90"/>
      <c r="AB29" s="91"/>
      <c r="AC29" s="88"/>
      <c r="AD29" s="89"/>
      <c r="AE29" s="93"/>
      <c r="AF29" s="91"/>
      <c r="AG29" s="88"/>
      <c r="AH29" s="88"/>
      <c r="AI29" s="88"/>
      <c r="AJ29" s="94"/>
      <c r="AL29" s="19"/>
      <c r="AM29" s="19"/>
    </row>
    <row r="30" spans="1:39">
      <c r="A30" s="81">
        <v>146</v>
      </c>
      <c r="B30" s="1" t="s">
        <v>13</v>
      </c>
      <c r="C30" s="564">
        <v>45337</v>
      </c>
      <c r="D30" s="85"/>
      <c r="E30" s="86"/>
      <c r="F30" s="86"/>
      <c r="G30" s="86"/>
      <c r="H30" s="86"/>
      <c r="I30" s="97"/>
      <c r="J30" s="90">
        <v>45596</v>
      </c>
      <c r="K30" s="91">
        <v>11.894188479362873</v>
      </c>
      <c r="L30" s="88">
        <v>0.15601288208051456</v>
      </c>
      <c r="M30" s="89">
        <v>11.717000000000001</v>
      </c>
      <c r="N30" s="543">
        <v>45891</v>
      </c>
      <c r="O30" s="540">
        <v>74.162029480007504</v>
      </c>
      <c r="P30" s="541">
        <v>0.42821557432966678</v>
      </c>
      <c r="Q30" s="541">
        <v>1.1250760814075207</v>
      </c>
      <c r="R30" s="325">
        <v>0.38224296352648213</v>
      </c>
      <c r="S30" s="542">
        <v>8.9673333333333343</v>
      </c>
      <c r="T30" s="89"/>
      <c r="U30" s="92"/>
      <c r="V30" s="96"/>
      <c r="W30" s="96"/>
      <c r="X30" s="88"/>
      <c r="Y30" s="88"/>
      <c r="Z30" s="89"/>
      <c r="AA30" s="90"/>
      <c r="AB30" s="91"/>
      <c r="AC30" s="88"/>
      <c r="AD30" s="89"/>
      <c r="AE30" s="93"/>
      <c r="AF30" s="91"/>
      <c r="AG30" s="88"/>
      <c r="AH30" s="88"/>
      <c r="AI30" s="88"/>
      <c r="AJ30" s="94"/>
      <c r="AL30" s="19"/>
      <c r="AM30" s="19"/>
    </row>
    <row r="31" spans="1:39">
      <c r="A31" s="81">
        <v>147</v>
      </c>
      <c r="B31" s="1" t="s">
        <v>14</v>
      </c>
      <c r="C31" s="564">
        <v>45340</v>
      </c>
      <c r="D31" s="85"/>
      <c r="E31" s="86"/>
      <c r="F31" s="86"/>
      <c r="G31" s="86"/>
      <c r="H31" s="86"/>
      <c r="I31" s="97"/>
      <c r="J31" s="90">
        <v>45655</v>
      </c>
      <c r="K31" s="91">
        <v>12.9157218419671</v>
      </c>
      <c r="L31" s="88">
        <v>0.18264447554974506</v>
      </c>
      <c r="M31" s="89">
        <v>15.093999999999999</v>
      </c>
      <c r="N31" s="539">
        <v>45845</v>
      </c>
      <c r="O31" s="541">
        <v>74.29349845125796</v>
      </c>
      <c r="P31" s="541">
        <v>0.21643991720078262</v>
      </c>
      <c r="Q31" s="541">
        <v>1.3508283447793623</v>
      </c>
      <c r="R31" s="325">
        <v>0.10983354571830806</v>
      </c>
      <c r="S31" s="547">
        <v>15.624333333333334</v>
      </c>
      <c r="T31" s="89"/>
      <c r="U31" s="92"/>
      <c r="V31" s="96"/>
      <c r="W31" s="96"/>
      <c r="X31" s="88"/>
      <c r="Y31" s="88"/>
      <c r="Z31" s="89"/>
      <c r="AA31" s="90"/>
      <c r="AB31" s="91"/>
      <c r="AC31" s="88"/>
      <c r="AD31" s="89"/>
      <c r="AE31" s="93"/>
      <c r="AF31" s="88"/>
      <c r="AG31" s="88"/>
      <c r="AH31" s="88"/>
      <c r="AI31" s="88"/>
      <c r="AJ31" s="94"/>
      <c r="AL31" s="19"/>
      <c r="AM31" s="19"/>
    </row>
    <row r="32" spans="1:39">
      <c r="A32" s="81">
        <v>148</v>
      </c>
      <c r="B32" s="1" t="s">
        <v>15</v>
      </c>
      <c r="C32" s="564">
        <v>45347</v>
      </c>
      <c r="D32" s="85"/>
      <c r="E32" s="86"/>
      <c r="F32" s="86"/>
      <c r="G32" s="86"/>
      <c r="H32" s="86"/>
      <c r="I32" s="97"/>
      <c r="J32" s="90">
        <v>45653</v>
      </c>
      <c r="K32" s="91">
        <v>14.390228739826766</v>
      </c>
      <c r="L32" s="88">
        <v>0.11868015679459276</v>
      </c>
      <c r="M32" s="89">
        <v>12.664999999999999</v>
      </c>
      <c r="N32" s="539">
        <v>45845</v>
      </c>
      <c r="O32" s="540">
        <v>74.36745905076279</v>
      </c>
      <c r="P32" s="541">
        <v>0.10972104308162293</v>
      </c>
      <c r="Q32" s="541">
        <v>1.3954524072789287</v>
      </c>
      <c r="R32" s="325">
        <v>9.4334153354951586E-2</v>
      </c>
      <c r="S32" s="542">
        <v>16.061</v>
      </c>
      <c r="T32" s="89"/>
      <c r="U32" s="92"/>
      <c r="V32" s="96"/>
      <c r="W32" s="96"/>
      <c r="X32" s="88"/>
      <c r="Y32" s="88"/>
      <c r="Z32" s="89"/>
      <c r="AA32" s="90"/>
      <c r="AB32" s="91"/>
      <c r="AC32" s="88"/>
      <c r="AD32" s="89"/>
      <c r="AE32" s="98"/>
      <c r="AF32" s="91"/>
      <c r="AG32" s="88"/>
      <c r="AH32" s="88"/>
      <c r="AI32" s="88"/>
      <c r="AJ32" s="94"/>
      <c r="AL32" s="19"/>
      <c r="AM32" s="19"/>
    </row>
    <row r="33" spans="1:39">
      <c r="A33" s="81">
        <v>149</v>
      </c>
      <c r="B33" s="1" t="s">
        <v>16</v>
      </c>
      <c r="C33" s="560">
        <v>45356</v>
      </c>
      <c r="D33" s="85"/>
      <c r="E33" s="86"/>
      <c r="F33" s="86"/>
      <c r="G33" s="88"/>
      <c r="H33" s="88"/>
      <c r="I33" s="89"/>
      <c r="J33" s="90">
        <v>45651</v>
      </c>
      <c r="K33" s="91">
        <v>13.096569389965621</v>
      </c>
      <c r="L33" s="88">
        <v>0.13314047499038545</v>
      </c>
      <c r="M33" s="89">
        <v>11.768333333333333</v>
      </c>
      <c r="N33" s="543">
        <v>45891</v>
      </c>
      <c r="O33" s="540">
        <v>69.525457683538406</v>
      </c>
      <c r="P33" s="541">
        <v>0.13641992578496054</v>
      </c>
      <c r="Q33" s="541">
        <v>0.24004734273497283</v>
      </c>
      <c r="R33" s="325">
        <v>0.17837288846975483</v>
      </c>
      <c r="S33" s="542">
        <v>11.251333333333333</v>
      </c>
      <c r="T33" s="89"/>
      <c r="U33" s="92"/>
      <c r="V33" s="86"/>
      <c r="W33" s="86"/>
      <c r="X33" s="88"/>
      <c r="Y33" s="88"/>
      <c r="Z33" s="89"/>
      <c r="AA33" s="90">
        <v>45651</v>
      </c>
      <c r="AB33" s="91">
        <v>13.096569389965621</v>
      </c>
      <c r="AC33" s="88">
        <v>0.13314047499038545</v>
      </c>
      <c r="AD33" s="89">
        <v>11.768333333333333</v>
      </c>
      <c r="AE33" s="93"/>
      <c r="AF33" s="71"/>
      <c r="AG33" s="71"/>
      <c r="AH33" s="71"/>
      <c r="AI33" s="71"/>
      <c r="AJ33" s="84"/>
      <c r="AL33" s="71"/>
      <c r="AM33" s="71"/>
    </row>
    <row r="34" spans="1:39">
      <c r="A34" s="81">
        <v>150</v>
      </c>
      <c r="B34" s="1" t="s">
        <v>17</v>
      </c>
      <c r="C34" s="560">
        <v>45361</v>
      </c>
      <c r="D34" s="85"/>
      <c r="E34" s="86"/>
      <c r="F34" s="86"/>
      <c r="G34" s="88"/>
      <c r="H34" s="88"/>
      <c r="I34" s="89"/>
      <c r="J34" s="90">
        <v>45655</v>
      </c>
      <c r="K34" s="91">
        <v>12.7212744241846</v>
      </c>
      <c r="L34" s="88">
        <v>0.20233122295092631</v>
      </c>
      <c r="M34" s="89">
        <v>11.728999999999999</v>
      </c>
      <c r="N34" s="543">
        <v>45891</v>
      </c>
      <c r="O34" s="540">
        <v>72.308381434925067</v>
      </c>
      <c r="P34" s="541">
        <v>0.1377220436043764</v>
      </c>
      <c r="Q34" s="541">
        <v>0.99471082195981764</v>
      </c>
      <c r="R34" s="325">
        <v>0.43323980918107646</v>
      </c>
      <c r="S34" s="542">
        <v>10.013</v>
      </c>
      <c r="T34" s="89"/>
      <c r="U34" s="92"/>
      <c r="V34" s="86"/>
      <c r="W34" s="86"/>
      <c r="X34" s="88"/>
      <c r="Y34" s="88"/>
      <c r="Z34" s="89"/>
      <c r="AA34" s="90"/>
      <c r="AB34" s="91"/>
      <c r="AC34" s="88"/>
      <c r="AD34" s="89"/>
      <c r="AE34" s="93"/>
      <c r="AF34" s="71"/>
      <c r="AG34" s="71"/>
      <c r="AH34" s="71"/>
      <c r="AI34" s="71"/>
      <c r="AJ34" s="84"/>
      <c r="AL34" s="71"/>
      <c r="AM34" s="71"/>
    </row>
    <row r="35" spans="1:39">
      <c r="A35" s="81">
        <v>151</v>
      </c>
      <c r="B35" s="1" t="s">
        <v>18</v>
      </c>
      <c r="C35" s="560">
        <v>45369</v>
      </c>
      <c r="D35" s="85"/>
      <c r="E35" s="86"/>
      <c r="F35" s="86"/>
      <c r="G35" s="88"/>
      <c r="H35" s="88"/>
      <c r="I35" s="89"/>
      <c r="J35" s="90">
        <v>45583</v>
      </c>
      <c r="K35" s="91">
        <v>13.595039846049028</v>
      </c>
      <c r="L35" s="88">
        <v>0.16530595591788322</v>
      </c>
      <c r="M35" s="89">
        <v>18.374666666666666</v>
      </c>
      <c r="N35" s="543">
        <v>45818</v>
      </c>
      <c r="O35" s="541">
        <v>70.429862810061195</v>
      </c>
      <c r="P35" s="541">
        <v>0.39200864069863567</v>
      </c>
      <c r="Q35" s="541">
        <v>-0.61543797538443323</v>
      </c>
      <c r="R35" s="541">
        <v>0.10270507166606263</v>
      </c>
      <c r="S35" s="542">
        <v>18.554666666666666</v>
      </c>
      <c r="T35" s="89"/>
      <c r="U35" s="92"/>
      <c r="V35" s="86"/>
      <c r="W35" s="86"/>
      <c r="X35" s="88"/>
      <c r="Y35" s="88"/>
      <c r="Z35" s="89"/>
      <c r="AA35" s="90"/>
      <c r="AB35" s="91"/>
      <c r="AC35" s="88"/>
      <c r="AD35" s="89"/>
      <c r="AE35" s="93"/>
      <c r="AF35" s="88"/>
      <c r="AG35" s="88"/>
      <c r="AH35" s="88"/>
      <c r="AI35" s="88"/>
      <c r="AJ35" s="94"/>
      <c r="AL35" s="19"/>
      <c r="AM35" s="19"/>
    </row>
    <row r="36" spans="1:39">
      <c r="A36" s="81">
        <v>152</v>
      </c>
      <c r="B36" s="1" t="s">
        <v>19</v>
      </c>
      <c r="C36" s="560">
        <v>45376</v>
      </c>
      <c r="D36" s="85"/>
      <c r="E36" s="86"/>
      <c r="F36" s="86"/>
      <c r="G36" s="88"/>
      <c r="H36" s="88"/>
      <c r="I36" s="89"/>
      <c r="J36" s="90">
        <v>45653</v>
      </c>
      <c r="K36" s="91">
        <v>16.448997955937539</v>
      </c>
      <c r="L36" s="88">
        <v>0.39372403209094481</v>
      </c>
      <c r="M36" s="95">
        <v>10.759666666666668</v>
      </c>
      <c r="N36" s="539">
        <v>45845</v>
      </c>
      <c r="O36" s="541">
        <v>61.423773485018991</v>
      </c>
      <c r="P36" s="541">
        <v>0.53399239855516656</v>
      </c>
      <c r="Q36" s="541">
        <v>2.5579520027269411</v>
      </c>
      <c r="R36" s="541">
        <v>3.4820812435773556E-2</v>
      </c>
      <c r="S36" s="542">
        <v>16.225333333333335</v>
      </c>
      <c r="T36" s="89"/>
      <c r="U36" s="92"/>
      <c r="V36" s="86"/>
      <c r="W36" s="86"/>
      <c r="X36" s="88"/>
      <c r="Y36" s="88"/>
      <c r="Z36" s="89"/>
      <c r="AA36" s="90"/>
      <c r="AB36" s="91"/>
      <c r="AC36" s="88"/>
      <c r="AD36" s="89"/>
      <c r="AE36" s="99"/>
      <c r="AF36" s="91"/>
      <c r="AG36" s="88"/>
      <c r="AH36" s="88"/>
      <c r="AI36" s="88"/>
      <c r="AJ36" s="94"/>
      <c r="AL36" s="19"/>
      <c r="AM36" s="19"/>
    </row>
    <row r="37" spans="1:39">
      <c r="A37" s="81">
        <v>153</v>
      </c>
      <c r="B37" s="1" t="s">
        <v>20</v>
      </c>
      <c r="C37" s="560">
        <v>45384</v>
      </c>
      <c r="D37" s="85"/>
      <c r="E37" s="86"/>
      <c r="F37" s="86"/>
      <c r="G37" s="88"/>
      <c r="H37" s="88"/>
      <c r="I37" s="89"/>
      <c r="J37" s="90">
        <v>45655</v>
      </c>
      <c r="K37" s="91">
        <v>15.989856899554132</v>
      </c>
      <c r="L37" s="88">
        <v>0.16281203245446413</v>
      </c>
      <c r="M37" s="95">
        <v>12.627333333333334</v>
      </c>
      <c r="N37" s="539">
        <v>45845</v>
      </c>
      <c r="O37" s="541">
        <v>65.797929631631092</v>
      </c>
      <c r="P37" s="541">
        <v>0.46477073221480636</v>
      </c>
      <c r="Q37" s="541">
        <v>1.6949906444779772</v>
      </c>
      <c r="R37" s="541">
        <v>1.6236462337842792E-2</v>
      </c>
      <c r="S37" s="542">
        <v>15.247999999999999</v>
      </c>
      <c r="T37" s="89"/>
      <c r="U37" s="92"/>
      <c r="V37" s="86"/>
      <c r="W37" s="86"/>
      <c r="X37" s="88"/>
      <c r="Y37" s="88"/>
      <c r="Z37" s="89"/>
      <c r="AA37" s="90"/>
      <c r="AB37" s="91"/>
      <c r="AC37" s="88"/>
      <c r="AD37" s="89"/>
      <c r="AE37" s="98"/>
      <c r="AF37" s="91"/>
      <c r="AG37" s="88"/>
      <c r="AH37" s="88"/>
      <c r="AI37" s="88"/>
      <c r="AJ37" s="94"/>
      <c r="AL37" s="19"/>
      <c r="AM37" s="19"/>
    </row>
    <row r="38" spans="1:39">
      <c r="A38" s="81">
        <v>154</v>
      </c>
      <c r="B38" s="1" t="s">
        <v>21</v>
      </c>
      <c r="C38" s="560">
        <v>45398</v>
      </c>
      <c r="D38" s="85"/>
      <c r="E38" s="86"/>
      <c r="F38" s="86"/>
      <c r="G38" s="88"/>
      <c r="H38" s="88"/>
      <c r="I38" s="89"/>
      <c r="J38" s="90">
        <v>45651</v>
      </c>
      <c r="K38" s="91">
        <v>18.178674418165127</v>
      </c>
      <c r="L38" s="88">
        <v>0.2633109534343902</v>
      </c>
      <c r="M38" s="89">
        <v>13.727333333333334</v>
      </c>
      <c r="N38" s="543">
        <v>45891</v>
      </c>
      <c r="O38" s="541">
        <v>63.167015844247089</v>
      </c>
      <c r="P38" s="541">
        <v>0.19692646030666658</v>
      </c>
      <c r="Q38" s="541">
        <v>1.7906349686972198</v>
      </c>
      <c r="R38" s="541">
        <v>0.17599270002254166</v>
      </c>
      <c r="S38" s="542">
        <v>9.7700000000000014</v>
      </c>
      <c r="T38" s="89"/>
      <c r="U38" s="92"/>
      <c r="V38" s="86"/>
      <c r="W38" s="86"/>
      <c r="X38" s="88"/>
      <c r="Y38" s="88"/>
      <c r="Z38" s="89"/>
      <c r="AA38" s="90">
        <v>45651</v>
      </c>
      <c r="AB38" s="91">
        <v>18.178674418165127</v>
      </c>
      <c r="AC38" s="88">
        <v>0.2633109534343902</v>
      </c>
      <c r="AD38" s="89">
        <v>13.727333333333334</v>
      </c>
      <c r="AE38" s="98"/>
      <c r="AF38" s="91"/>
      <c r="AG38" s="88"/>
      <c r="AH38" s="88"/>
      <c r="AI38" s="88"/>
      <c r="AJ38" s="94"/>
      <c r="AL38" s="19"/>
      <c r="AM38" s="19"/>
    </row>
    <row r="39" spans="1:39" ht="14.5" thickBot="1">
      <c r="A39" s="81">
        <v>155</v>
      </c>
      <c r="B39" s="83" t="s">
        <v>22</v>
      </c>
      <c r="C39" s="561">
        <v>45406</v>
      </c>
      <c r="D39" s="100"/>
      <c r="E39" s="101"/>
      <c r="F39" s="101"/>
      <c r="G39" s="102"/>
      <c r="H39" s="102"/>
      <c r="I39" s="103"/>
      <c r="J39" s="168">
        <v>45651</v>
      </c>
      <c r="K39" s="104">
        <v>13.095394899294021</v>
      </c>
      <c r="L39" s="102">
        <v>0.2533668609306905</v>
      </c>
      <c r="M39" s="103">
        <v>16.663666666666668</v>
      </c>
      <c r="N39" s="543">
        <v>45891</v>
      </c>
      <c r="O39" s="548">
        <v>65.963598976598917</v>
      </c>
      <c r="P39" s="549">
        <v>0.23799791627399017</v>
      </c>
      <c r="Q39" s="549">
        <v>2.091766557865339</v>
      </c>
      <c r="R39" s="549">
        <v>0.12497513725103447</v>
      </c>
      <c r="S39" s="550">
        <v>11.305333333333332</v>
      </c>
      <c r="T39" s="103"/>
      <c r="U39" s="105"/>
      <c r="V39" s="101"/>
      <c r="W39" s="101"/>
      <c r="X39" s="102"/>
      <c r="Y39" s="102"/>
      <c r="Z39" s="103"/>
      <c r="AA39" s="168">
        <v>45651</v>
      </c>
      <c r="AB39" s="104">
        <v>13.095394899294021</v>
      </c>
      <c r="AC39" s="102">
        <v>0.2533668609306905</v>
      </c>
      <c r="AD39" s="103">
        <v>16.663666666666668</v>
      </c>
      <c r="AE39" s="106"/>
      <c r="AF39" s="104"/>
      <c r="AG39" s="102"/>
      <c r="AH39" s="102"/>
      <c r="AI39" s="102"/>
      <c r="AJ39" s="107"/>
      <c r="AL39" s="19"/>
      <c r="AM39" s="19"/>
    </row>
    <row r="40" spans="1:39">
      <c r="U40" s="3"/>
      <c r="V40" s="3"/>
      <c r="W40" s="3"/>
    </row>
  </sheetData>
  <phoneticPr fontId="13"/>
  <conditionalFormatting sqref="L5:L25 L27:L32 L34:L37">
    <cfRule type="cellIs" dxfId="15" priority="7" operator="greaterThan">
      <formula>0.5</formula>
    </cfRule>
  </conditionalFormatting>
  <conditionalFormatting sqref="R27">
    <cfRule type="cellIs" dxfId="14" priority="5" operator="greaterThan">
      <formula>0.51</formula>
    </cfRule>
  </conditionalFormatting>
  <conditionalFormatting sqref="R31">
    <cfRule type="cellIs" dxfId="13" priority="3" operator="greaterThan">
      <formula>0.51</formula>
    </cfRule>
  </conditionalFormatting>
  <conditionalFormatting sqref="R35">
    <cfRule type="cellIs" dxfId="12" priority="1" operator="greaterThan">
      <formula>0.51</formula>
    </cfRule>
  </conditionalFormatting>
  <conditionalFormatting sqref="S27">
    <cfRule type="cellIs" dxfId="11" priority="6" operator="lessThan">
      <formula>5.1</formula>
    </cfRule>
  </conditionalFormatting>
  <conditionalFormatting sqref="S31">
    <cfRule type="cellIs" dxfId="10" priority="4" operator="lessThan">
      <formula>5.1</formula>
    </cfRule>
  </conditionalFormatting>
  <conditionalFormatting sqref="S35">
    <cfRule type="cellIs" dxfId="9" priority="2" operator="lessThan">
      <formula>5.1</formula>
    </cfRule>
  </conditionalFormatting>
  <conditionalFormatting sqref="AI27">
    <cfRule type="cellIs" dxfId="8" priority="15" operator="greaterThan">
      <formula>0.51</formula>
    </cfRule>
  </conditionalFormatting>
  <conditionalFormatting sqref="AI31">
    <cfRule type="cellIs" dxfId="7" priority="13" operator="greaterThan">
      <formula>0.51</formula>
    </cfRule>
  </conditionalFormatting>
  <conditionalFormatting sqref="AI35">
    <cfRule type="cellIs" dxfId="6" priority="11" operator="greaterThan">
      <formula>0.51</formula>
    </cfRule>
  </conditionalFormatting>
  <conditionalFormatting sqref="AJ27">
    <cfRule type="cellIs" dxfId="5" priority="16" operator="lessThan">
      <formula>5.1</formula>
    </cfRule>
  </conditionalFormatting>
  <conditionalFormatting sqref="AJ31">
    <cfRule type="cellIs" dxfId="4" priority="14" operator="lessThan">
      <formula>5.1</formula>
    </cfRule>
  </conditionalFormatting>
  <conditionalFormatting sqref="AJ35">
    <cfRule type="cellIs" dxfId="3" priority="12" operator="lessThan">
      <formula>5.1</formula>
    </cfRule>
  </conditionalFormatting>
  <conditionalFormatting sqref="AL27">
    <cfRule type="cellIs" dxfId="2" priority="8" operator="greaterThan">
      <formula>0.51</formula>
    </cfRule>
  </conditionalFormatting>
  <conditionalFormatting sqref="AL31">
    <cfRule type="cellIs" dxfId="1" priority="10" operator="greaterThan">
      <formula>0.51</formula>
    </cfRule>
  </conditionalFormatting>
  <conditionalFormatting sqref="AL35">
    <cfRule type="cellIs" dxfId="0" priority="9" operator="greaterThan">
      <formula>0.51</formula>
    </cfRule>
  </conditionalFormatting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SampleInfo.</vt:lpstr>
      <vt:lpstr>Dhakaデータまとめ2026</vt:lpstr>
      <vt:lpstr>Dhaka IC(新)</vt:lpstr>
      <vt:lpstr>Bhola IC</vt:lpstr>
      <vt:lpstr>Bholaデータまとめ2026</vt:lpstr>
      <vt:lpstr>サンプル情報（旧）</vt:lpstr>
      <vt:lpstr>IC（旧）</vt:lpstr>
      <vt:lpstr>同位体（旧）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沢部麦</dc:creator>
  <cp:lastModifiedBy>Chise Yoshida</cp:lastModifiedBy>
  <cp:lastPrinted>2026-06-12T09:34:19Z</cp:lastPrinted>
  <dcterms:created xsi:type="dcterms:W3CDTF">2015-06-05T18:19:34Z</dcterms:created>
  <dcterms:modified xsi:type="dcterms:W3CDTF">2026-06-15T05:23:17Z</dcterms:modified>
</cp:coreProperties>
</file>
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kochise\Desktop\研究室関連\2026年版\同位体\"/>
    </mc:Choice>
  </mc:AlternateContent>
  <xr:revisionPtr revIDLastSave="0" documentId="13_ncr:1_{AA742D50-A9FD-48E3-B113-1AFD090D177A}" xr6:coauthVersionLast="47" xr6:coauthVersionMax="47" xr10:uidLastSave="{00000000-0000-0000-0000-000000000000}"/>
  <bookViews>
    <workbookView xWindow="-110" yWindow="-110" windowWidth="19420" windowHeight="11500" xr2:uid="{9D3C462A-8F1C-4F56-86DE-A73AE6A319A1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1" l="1"/>
  <c r="H17" i="1"/>
  <c r="H18" i="1"/>
  <c r="G15" i="1"/>
  <c r="H15" i="1"/>
  <c r="G16" i="1"/>
  <c r="G17" i="1"/>
  <c r="G18" i="1"/>
  <c r="H7" i="1"/>
  <c r="H8" i="1"/>
  <c r="H9" i="1"/>
  <c r="G7" i="1"/>
  <c r="G8" i="1"/>
  <c r="G9" i="1"/>
  <c r="H6" i="1"/>
  <c r="G6" i="1"/>
  <c r="AW6" i="2"/>
  <c r="AV6" i="2"/>
  <c r="AU6" i="2"/>
  <c r="AT6" i="2"/>
  <c r="AS6" i="2"/>
  <c r="AR6" i="2"/>
  <c r="AQ6" i="2"/>
  <c r="AP6" i="2"/>
  <c r="AO6" i="2"/>
  <c r="W6" i="2"/>
  <c r="V6" i="2"/>
  <c r="U6" i="2"/>
  <c r="T6" i="2"/>
  <c r="I6" i="2"/>
  <c r="AW5" i="2"/>
  <c r="AV5" i="2"/>
  <c r="AU5" i="2"/>
  <c r="AT5" i="2"/>
  <c r="AS5" i="2"/>
  <c r="AR5" i="2"/>
  <c r="AQ5" i="2"/>
  <c r="AP5" i="2"/>
  <c r="AO5" i="2"/>
  <c r="W5" i="2"/>
  <c r="V5" i="2"/>
  <c r="U5" i="2"/>
  <c r="T5" i="2"/>
  <c r="I5" i="2"/>
  <c r="AW4" i="2"/>
  <c r="AV4" i="2"/>
  <c r="AU4" i="2"/>
  <c r="AT4" i="2"/>
  <c r="AS4" i="2"/>
  <c r="AR4" i="2"/>
  <c r="AQ4" i="2"/>
  <c r="AP4" i="2"/>
  <c r="AO4" i="2"/>
  <c r="W4" i="2"/>
  <c r="V4" i="2"/>
  <c r="U4" i="2"/>
  <c r="T4" i="2"/>
  <c r="I4" i="2"/>
  <c r="AW3" i="2"/>
  <c r="AV3" i="2"/>
  <c r="AU3" i="2"/>
  <c r="AT3" i="2"/>
  <c r="AS3" i="2"/>
  <c r="AR3" i="2"/>
  <c r="AQ3" i="2"/>
  <c r="AP3" i="2"/>
  <c r="AO3" i="2"/>
  <c r="W3" i="2"/>
  <c r="V3" i="2"/>
  <c r="U3" i="2"/>
  <c r="T3" i="2"/>
  <c r="I3" i="2"/>
  <c r="X6" i="2" l="1"/>
  <c r="X5" i="2"/>
  <c r="X4" i="2"/>
  <c r="X3" i="2"/>
</calcChain>
</file>

<file path=xl/sharedStrings.xml><?xml version="1.0" encoding="utf-8"?>
<sst xmlns="http://schemas.openxmlformats.org/spreadsheetml/2006/main" count="111" uniqueCount="63">
  <si>
    <t>No.</t>
    <phoneticPr fontId="5"/>
  </si>
  <si>
    <t>date</t>
    <phoneticPr fontId="5"/>
  </si>
  <si>
    <r>
      <rPr>
        <sz val="11"/>
        <color theme="1"/>
        <rFont val="ＭＳ Ｐゴシック"/>
        <family val="3"/>
        <charset val="128"/>
      </rPr>
      <t xml:space="preserve">積算流量
</t>
    </r>
    <r>
      <rPr>
        <sz val="11"/>
        <color theme="1"/>
        <rFont val="Arial"/>
        <family val="2"/>
      </rPr>
      <t>(m3)</t>
    </r>
  </si>
  <si>
    <r>
      <rPr>
        <sz val="11"/>
        <color theme="1"/>
        <rFont val="ＭＳ Ｐゴシック"/>
        <family val="3"/>
        <charset val="128"/>
      </rPr>
      <t xml:space="preserve">抽出量
</t>
    </r>
    <r>
      <rPr>
        <sz val="11"/>
        <color theme="1"/>
        <rFont val="Arial"/>
        <family val="2"/>
      </rPr>
      <t>(mL)</t>
    </r>
    <rPh sb="0" eb="2">
      <t>チュウシュツ</t>
    </rPh>
    <rPh sb="2" eb="3">
      <t>リョウ</t>
    </rPh>
    <phoneticPr fontId="2"/>
  </si>
  <si>
    <t>PM2.5</t>
  </si>
  <si>
    <r>
      <rPr>
        <sz val="11"/>
        <color theme="1"/>
        <rFont val="ＭＳ Ｐゴシック"/>
        <family val="3"/>
        <charset val="128"/>
      </rPr>
      <t>湿度</t>
    </r>
    <rPh sb="0" eb="2">
      <t>シツド</t>
    </rPh>
    <phoneticPr fontId="2"/>
  </si>
  <si>
    <r>
      <rPr>
        <sz val="11"/>
        <color theme="1"/>
        <rFont val="ＭＳ Ｐゴシック"/>
        <family val="3"/>
        <charset val="128"/>
      </rPr>
      <t>温度</t>
    </r>
    <rPh sb="0" eb="2">
      <t>オンド</t>
    </rPh>
    <phoneticPr fontId="2"/>
  </si>
  <si>
    <r>
      <rPr>
        <sz val="11"/>
        <color theme="1"/>
        <rFont val="ＭＳ Ｐゴシック"/>
        <family val="3"/>
        <charset val="128"/>
      </rPr>
      <t>陰イオン</t>
    </r>
    <r>
      <rPr>
        <sz val="11"/>
        <color theme="1"/>
        <rFont val="Arial"/>
        <family val="2"/>
      </rPr>
      <t>(µg/m^3)</t>
    </r>
    <rPh sb="0" eb="1">
      <t>イン</t>
    </rPh>
    <phoneticPr fontId="5"/>
  </si>
  <si>
    <t>weather durting start time
of sampring</t>
  </si>
  <si>
    <r>
      <t>NO3</t>
    </r>
    <r>
      <rPr>
        <vertAlign val="superscript"/>
        <sz val="11"/>
        <color theme="1"/>
        <rFont val="Arial"/>
        <family val="2"/>
      </rPr>
      <t>-</t>
    </r>
    <phoneticPr fontId="5"/>
  </si>
  <si>
    <t>NH4+</t>
    <phoneticPr fontId="5"/>
  </si>
  <si>
    <r>
      <t>Isorropia</t>
    </r>
    <r>
      <rPr>
        <sz val="11"/>
        <color theme="1"/>
        <rFont val="ＭＳ Ｐゴシック"/>
        <family val="3"/>
        <charset val="128"/>
      </rPr>
      <t>計算</t>
    </r>
    <rPh sb="9" eb="11">
      <t>ケイサン</t>
    </rPh>
    <phoneticPr fontId="5"/>
  </si>
  <si>
    <t>μg/m^3</t>
  </si>
  <si>
    <t>%</t>
  </si>
  <si>
    <t>K</t>
    <phoneticPr fontId="5"/>
  </si>
  <si>
    <r>
      <rPr>
        <sz val="11"/>
        <color theme="1"/>
        <rFont val="ＭＳ Ｐゴシック"/>
        <family val="3"/>
        <charset val="128"/>
      </rPr>
      <t>℃</t>
    </r>
  </si>
  <si>
    <r>
      <t>Cl</t>
    </r>
    <r>
      <rPr>
        <vertAlign val="superscript"/>
        <sz val="11"/>
        <color theme="1"/>
        <rFont val="Arial"/>
        <family val="2"/>
      </rPr>
      <t>-</t>
    </r>
    <phoneticPr fontId="5"/>
  </si>
  <si>
    <r>
      <t>NO2</t>
    </r>
    <r>
      <rPr>
        <vertAlign val="superscript"/>
        <sz val="11"/>
        <color theme="1"/>
        <rFont val="Arial"/>
        <family val="2"/>
      </rPr>
      <t>-</t>
    </r>
    <phoneticPr fontId="5"/>
  </si>
  <si>
    <r>
      <t>NO3</t>
    </r>
    <r>
      <rPr>
        <vertAlign val="superscript"/>
        <sz val="11"/>
        <rFont val="Arial"/>
        <family val="2"/>
      </rPr>
      <t>-</t>
    </r>
    <phoneticPr fontId="5"/>
  </si>
  <si>
    <r>
      <t>SO4</t>
    </r>
    <r>
      <rPr>
        <vertAlign val="superscript"/>
        <sz val="11"/>
        <rFont val="Arial"/>
        <family val="2"/>
      </rPr>
      <t>2-</t>
    </r>
    <phoneticPr fontId="5"/>
  </si>
  <si>
    <t>Na+</t>
    <phoneticPr fontId="5"/>
  </si>
  <si>
    <t>Mg2+</t>
    <phoneticPr fontId="5"/>
  </si>
  <si>
    <t>Ca2+</t>
    <phoneticPr fontId="5"/>
  </si>
  <si>
    <t>K+</t>
    <phoneticPr fontId="5"/>
  </si>
  <si>
    <t>NO2/NO3</t>
    <phoneticPr fontId="5"/>
  </si>
  <si>
    <t>Cl/Na</t>
    <phoneticPr fontId="5"/>
  </si>
  <si>
    <t>NO3/SO4</t>
    <phoneticPr fontId="5"/>
  </si>
  <si>
    <t>WSI</t>
    <phoneticPr fontId="5"/>
  </si>
  <si>
    <t>WSI/PM2.5</t>
    <phoneticPr fontId="5"/>
  </si>
  <si>
    <r>
      <rPr>
        <sz val="11"/>
        <color theme="1"/>
        <rFont val="ＭＳ Ｐゴシック"/>
        <family val="3"/>
        <charset val="128"/>
      </rPr>
      <t>イオンバランス</t>
    </r>
    <phoneticPr fontId="5"/>
  </si>
  <si>
    <t>d18O</t>
    <phoneticPr fontId="5"/>
  </si>
  <si>
    <t>stdev</t>
    <phoneticPr fontId="5"/>
  </si>
  <si>
    <t>d15N</t>
    <phoneticPr fontId="5"/>
  </si>
  <si>
    <t>NH3</t>
    <phoneticPr fontId="5"/>
  </si>
  <si>
    <t>ε</t>
  </si>
  <si>
    <t>f</t>
  </si>
  <si>
    <t>ε(1-f)</t>
  </si>
  <si>
    <t>δ15N-NH3</t>
  </si>
  <si>
    <t>28/05/2023</t>
    <phoneticPr fontId="11"/>
  </si>
  <si>
    <t>No Data</t>
  </si>
  <si>
    <t>22/07/2023</t>
    <phoneticPr fontId="11"/>
  </si>
  <si>
    <t>03/10/2023</t>
    <phoneticPr fontId="11"/>
  </si>
  <si>
    <t>18/05/2024</t>
    <phoneticPr fontId="11"/>
  </si>
  <si>
    <t>d18O</t>
  </si>
  <si>
    <t>stdev</t>
  </si>
  <si>
    <t>d15N</t>
  </si>
  <si>
    <t>area</t>
  </si>
  <si>
    <t>No124, 50nmolN_#5-1,7h_260528</t>
  </si>
  <si>
    <t>No129, 50nmolN_#5-1,7h_260528</t>
  </si>
  <si>
    <t>No138, 50nmolN_#5-1,7h_260528</t>
  </si>
  <si>
    <t>No150, 50nmolN_#5-1,7h_260528</t>
  </si>
  <si>
    <t>No124SA, 50nmolN_#5-1,7h_260528</t>
  </si>
  <si>
    <t>No129SA, 50nmolN_#5-1,7h_260528</t>
  </si>
  <si>
    <t>No138SA, 50nmolN_#5-1,7h_260528</t>
  </si>
  <si>
    <t>No150SA, 50nmolN_#5-1,7h_260528</t>
  </si>
  <si>
    <t>STD_wakoKNO3, 50nmolN_#5-1,7h_260528</t>
  </si>
  <si>
    <t>No.124</t>
    <phoneticPr fontId="5"/>
  </si>
  <si>
    <t>No.138</t>
    <phoneticPr fontId="5"/>
  </si>
  <si>
    <t>2026SA</t>
    <phoneticPr fontId="5"/>
  </si>
  <si>
    <t>2026-2025</t>
    <phoneticPr fontId="5"/>
  </si>
  <si>
    <t>2026SA-2025</t>
    <phoneticPr fontId="5"/>
  </si>
  <si>
    <t>No.150</t>
    <phoneticPr fontId="5"/>
  </si>
  <si>
    <t>No.129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</si>
</sst>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"/>
    <numFmt numFmtId="178" formatCode="0.000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Arial"/>
      <family val="2"/>
    </font>
    <font>
      <sz val="12"/>
      <color theme="1"/>
      <name val="Arial"/>
      <family val="2"/>
    </font>
    <font>
      <sz val="10"/>
      <name val="MS Sans Serif"/>
      <family val="2"/>
    </font>
    <font>
      <sz val="11"/>
      <color rgb="FF000000"/>
      <name val="Arial"/>
      <family val="2"/>
    </font>
    <font>
      <sz val="11"/>
      <color rgb="FF0070C0"/>
      <name val="游ゴシック"/>
      <family val="2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CEEF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4" fillId="0" borderId="0"/>
  </cellStyleXfs>
  <cellXfs count="148">
    <xf numFmtId="0" fontId="0" fillId="0" borderId="0" xfId="0">
      <alignment vertical="center"/>
    </xf>
    <xf numFmtId="0" fontId="4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5" borderId="5" xfId="1" applyFont="1" applyFill="1" applyBorder="1">
      <alignment vertical="center"/>
    </xf>
    <xf numFmtId="0" fontId="6" fillId="5" borderId="6" xfId="1" applyFont="1" applyFill="1" applyBorder="1">
      <alignment vertical="center"/>
    </xf>
    <xf numFmtId="0" fontId="6" fillId="5" borderId="7" xfId="1" applyFont="1" applyFill="1" applyBorder="1">
      <alignment vertical="center"/>
    </xf>
    <xf numFmtId="0" fontId="6" fillId="6" borderId="2" xfId="2" applyFont="1" applyFill="1" applyBorder="1" applyAlignment="1">
      <alignment horizontal="center" vertical="center"/>
    </xf>
    <xf numFmtId="0" fontId="6" fillId="7" borderId="4" xfId="1" applyFont="1" applyFill="1" applyBorder="1" applyAlignment="1">
      <alignment horizontal="center" vertical="center"/>
    </xf>
    <xf numFmtId="0" fontId="6" fillId="7" borderId="8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8" xfId="1" applyFont="1" applyFill="1" applyBorder="1" applyAlignment="1">
      <alignment horizontal="center" vertical="center"/>
    </xf>
    <xf numFmtId="176" fontId="6" fillId="4" borderId="6" xfId="1" applyNumberFormat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176" fontId="6" fillId="5" borderId="7" xfId="1" applyNumberFormat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177" fontId="6" fillId="3" borderId="6" xfId="1" applyNumberFormat="1" applyFont="1" applyFill="1" applyBorder="1" applyAlignment="1">
      <alignment horizontal="center" vertical="center"/>
    </xf>
    <xf numFmtId="178" fontId="6" fillId="3" borderId="6" xfId="1" applyNumberFormat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  <xf numFmtId="0" fontId="6" fillId="4" borderId="15" xfId="1" applyFont="1" applyFill="1" applyBorder="1" applyAlignment="1">
      <alignment horizontal="center" vertical="center"/>
    </xf>
    <xf numFmtId="0" fontId="8" fillId="4" borderId="15" xfId="1" applyFont="1" applyFill="1" applyBorder="1" applyAlignment="1">
      <alignment horizontal="center" vertical="center"/>
    </xf>
    <xf numFmtId="0" fontId="8" fillId="4" borderId="16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0" fontId="6" fillId="7" borderId="14" xfId="1" applyFont="1" applyFill="1" applyBorder="1" applyAlignment="1">
      <alignment horizontal="center" vertical="center"/>
    </xf>
    <xf numFmtId="0" fontId="6" fillId="7" borderId="16" xfId="1" applyFont="1" applyFill="1" applyBorder="1" applyAlignment="1">
      <alignment horizontal="center" vertical="center"/>
    </xf>
    <xf numFmtId="0" fontId="6" fillId="8" borderId="17" xfId="1" applyFont="1" applyFill="1" applyBorder="1" applyAlignment="1">
      <alignment horizontal="left" vertical="center"/>
    </xf>
    <xf numFmtId="0" fontId="6" fillId="8" borderId="16" xfId="1" applyFont="1" applyFill="1" applyBorder="1" applyAlignment="1">
      <alignment horizontal="center" vertical="center"/>
    </xf>
    <xf numFmtId="176" fontId="6" fillId="4" borderId="11" xfId="1" applyNumberFormat="1" applyFont="1" applyFill="1" applyBorder="1" applyAlignment="1">
      <alignment horizontal="center" vertical="center"/>
    </xf>
    <xf numFmtId="176" fontId="6" fillId="4" borderId="13" xfId="1" applyNumberFormat="1" applyFont="1" applyFill="1" applyBorder="1" applyAlignment="1">
      <alignment horizontal="center" vertical="center"/>
    </xf>
    <xf numFmtId="176" fontId="6" fillId="5" borderId="13" xfId="1" applyNumberFormat="1" applyFont="1" applyFill="1" applyBorder="1" applyAlignment="1">
      <alignment horizontal="center" vertical="center"/>
    </xf>
    <xf numFmtId="176" fontId="6" fillId="5" borderId="18" xfId="1" applyNumberFormat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77" fontId="6" fillId="3" borderId="19" xfId="1" applyNumberFormat="1" applyFont="1" applyFill="1" applyBorder="1" applyAlignment="1">
      <alignment horizontal="center" vertical="center"/>
    </xf>
    <xf numFmtId="178" fontId="6" fillId="3" borderId="11" xfId="1" applyNumberFormat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0" borderId="21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4" fontId="6" fillId="0" borderId="22" xfId="3" applyNumberFormat="1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177" fontId="6" fillId="0" borderId="24" xfId="3" applyNumberFormat="1" applyFont="1" applyBorder="1" applyAlignment="1">
      <alignment horizontal="center" vertical="center"/>
    </xf>
    <xf numFmtId="178" fontId="6" fillId="0" borderId="0" xfId="3" applyNumberFormat="1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177" fontId="6" fillId="0" borderId="0" xfId="3" applyNumberFormat="1" applyFont="1" applyAlignment="1">
      <alignment horizontal="center" vertical="center"/>
    </xf>
    <xf numFmtId="176" fontId="6" fillId="9" borderId="22" xfId="2" applyNumberFormat="1" applyFont="1" applyFill="1" applyBorder="1" applyAlignment="1">
      <alignment horizontal="center" vertical="center"/>
    </xf>
    <xf numFmtId="176" fontId="6" fillId="9" borderId="0" xfId="2" applyNumberFormat="1" applyFont="1" applyFill="1" applyAlignment="1">
      <alignment horizontal="center" vertical="center"/>
    </xf>
    <xf numFmtId="176" fontId="12" fillId="9" borderId="0" xfId="2" applyNumberFormat="1" applyFont="1" applyFill="1" applyAlignment="1">
      <alignment horizontal="center" vertical="center"/>
    </xf>
    <xf numFmtId="176" fontId="6" fillId="9" borderId="23" xfId="2" applyNumberFormat="1" applyFont="1" applyFill="1" applyBorder="1" applyAlignment="1">
      <alignment horizontal="center" vertical="center"/>
    </xf>
    <xf numFmtId="2" fontId="6" fillId="9" borderId="22" xfId="2" applyNumberFormat="1" applyFont="1" applyFill="1" applyBorder="1" applyAlignment="1">
      <alignment horizontal="center" vertical="center"/>
    </xf>
    <xf numFmtId="2" fontId="12" fillId="9" borderId="0" xfId="2" applyNumberFormat="1" applyFont="1" applyFill="1" applyAlignment="1">
      <alignment horizontal="center" vertical="center"/>
    </xf>
    <xf numFmtId="2" fontId="6" fillId="9" borderId="0" xfId="2" applyNumberFormat="1" applyFont="1" applyFill="1" applyAlignment="1">
      <alignment horizontal="center" vertical="center"/>
    </xf>
    <xf numFmtId="2" fontId="6" fillId="9" borderId="23" xfId="2" applyNumberFormat="1" applyFont="1" applyFill="1" applyBorder="1" applyAlignment="1">
      <alignment horizontal="center" vertical="center"/>
    </xf>
    <xf numFmtId="9" fontId="6" fillId="0" borderId="0" xfId="4" applyFont="1" applyFill="1" applyBorder="1" applyAlignment="1">
      <alignment horizontal="center" vertical="center"/>
    </xf>
    <xf numFmtId="2" fontId="6" fillId="0" borderId="22" xfId="5" applyNumberFormat="1" applyFont="1" applyFill="1" applyBorder="1" applyAlignment="1">
      <alignment horizontal="center" vertical="center"/>
    </xf>
    <xf numFmtId="2" fontId="6" fillId="0" borderId="23" xfId="5" applyNumberFormat="1" applyFont="1" applyFill="1" applyBorder="1" applyAlignment="1">
      <alignment horizontal="center" vertical="center"/>
    </xf>
    <xf numFmtId="176" fontId="6" fillId="0" borderId="22" xfId="1" applyNumberFormat="1" applyFont="1" applyBorder="1" applyAlignment="1">
      <alignment horizontal="center" vertical="center"/>
    </xf>
    <xf numFmtId="9" fontId="6" fillId="0" borderId="23" xfId="5" applyFont="1" applyBorder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176" fontId="8" fillId="9" borderId="0" xfId="2" applyNumberFormat="1" applyFont="1" applyFill="1" applyAlignment="1">
      <alignment horizontal="center" vertical="center"/>
    </xf>
    <xf numFmtId="2" fontId="6" fillId="0" borderId="22" xfId="1" applyNumberFormat="1" applyFont="1" applyBorder="1" applyAlignment="1">
      <alignment horizontal="center" vertical="center"/>
    </xf>
    <xf numFmtId="2" fontId="6" fillId="0" borderId="23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77" fontId="6" fillId="0" borderId="24" xfId="1" applyNumberFormat="1" applyFont="1" applyBorder="1" applyAlignment="1">
      <alignment horizontal="center" vertical="center"/>
    </xf>
    <xf numFmtId="178" fontId="6" fillId="0" borderId="0" xfId="1" applyNumberFormat="1" applyFont="1" applyAlignment="1">
      <alignment horizontal="center" vertical="center"/>
    </xf>
    <xf numFmtId="2" fontId="6" fillId="0" borderId="25" xfId="1" applyNumberFormat="1" applyFont="1" applyBorder="1" applyAlignment="1">
      <alignment horizontal="center" vertical="center"/>
    </xf>
    <xf numFmtId="0" fontId="6" fillId="7" borderId="21" xfId="3" applyFont="1" applyFill="1" applyBorder="1" applyAlignment="1">
      <alignment horizontal="center" vertical="center"/>
    </xf>
    <xf numFmtId="176" fontId="6" fillId="10" borderId="22" xfId="2" applyNumberFormat="1" applyFont="1" applyFill="1" applyBorder="1" applyAlignment="1">
      <alignment horizontal="center" vertical="center"/>
    </xf>
    <xf numFmtId="176" fontId="6" fillId="10" borderId="0" xfId="2" applyNumberFormat="1" applyFont="1" applyFill="1" applyAlignment="1">
      <alignment horizontal="center" vertical="center"/>
    </xf>
    <xf numFmtId="176" fontId="12" fillId="10" borderId="0" xfId="2" applyNumberFormat="1" applyFont="1" applyFill="1" applyAlignment="1">
      <alignment horizontal="center" vertical="center"/>
    </xf>
    <xf numFmtId="176" fontId="6" fillId="10" borderId="23" xfId="2" applyNumberFormat="1" applyFont="1" applyFill="1" applyBorder="1" applyAlignment="1">
      <alignment horizontal="center" vertical="center"/>
    </xf>
    <xf numFmtId="2" fontId="6" fillId="10" borderId="22" xfId="2" applyNumberFormat="1" applyFont="1" applyFill="1" applyBorder="1" applyAlignment="1">
      <alignment horizontal="center" vertical="center"/>
    </xf>
    <xf numFmtId="2" fontId="12" fillId="10" borderId="0" xfId="2" applyNumberFormat="1" applyFont="1" applyFill="1" applyAlignment="1">
      <alignment horizontal="center" vertical="center"/>
    </xf>
    <xf numFmtId="2" fontId="6" fillId="10" borderId="0" xfId="2" applyNumberFormat="1" applyFont="1" applyFill="1" applyAlignment="1">
      <alignment horizontal="center" vertical="center"/>
    </xf>
    <xf numFmtId="2" fontId="6" fillId="10" borderId="23" xfId="2" applyNumberFormat="1" applyFont="1" applyFill="1" applyBorder="1" applyAlignment="1">
      <alignment horizontal="center" vertical="center"/>
    </xf>
    <xf numFmtId="176" fontId="8" fillId="10" borderId="0" xfId="2" applyNumberFormat="1" applyFont="1" applyFill="1" applyAlignment="1">
      <alignment horizontal="center" vertical="center"/>
    </xf>
    <xf numFmtId="0" fontId="6" fillId="11" borderId="21" xfId="3" applyFont="1" applyFill="1" applyBorder="1" applyAlignment="1">
      <alignment horizontal="center" vertical="center"/>
    </xf>
    <xf numFmtId="0" fontId="6" fillId="0" borderId="26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14" fontId="6" fillId="0" borderId="13" xfId="3" applyNumberFormat="1" applyFont="1" applyBorder="1" applyAlignment="1">
      <alignment horizontal="center" vertical="center"/>
    </xf>
    <xf numFmtId="0" fontId="6" fillId="0" borderId="18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177" fontId="6" fillId="0" borderId="12" xfId="3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horizontal="center" vertical="center"/>
    </xf>
    <xf numFmtId="176" fontId="6" fillId="12" borderId="13" xfId="2" applyNumberFormat="1" applyFont="1" applyFill="1" applyBorder="1" applyAlignment="1">
      <alignment horizontal="center" vertical="center"/>
    </xf>
    <xf numFmtId="176" fontId="6" fillId="12" borderId="11" xfId="2" applyNumberFormat="1" applyFont="1" applyFill="1" applyBorder="1" applyAlignment="1">
      <alignment horizontal="center" vertical="center"/>
    </xf>
    <xf numFmtId="176" fontId="12" fillId="12" borderId="11" xfId="2" applyNumberFormat="1" applyFont="1" applyFill="1" applyBorder="1" applyAlignment="1">
      <alignment horizontal="center" vertical="center"/>
    </xf>
    <xf numFmtId="176" fontId="6" fillId="12" borderId="18" xfId="2" applyNumberFormat="1" applyFont="1" applyFill="1" applyBorder="1" applyAlignment="1">
      <alignment horizontal="center" vertical="center"/>
    </xf>
    <xf numFmtId="2" fontId="6" fillId="12" borderId="13" xfId="2" applyNumberFormat="1" applyFont="1" applyFill="1" applyBorder="1" applyAlignment="1">
      <alignment horizontal="center" vertical="center"/>
    </xf>
    <xf numFmtId="2" fontId="12" fillId="12" borderId="11" xfId="2" applyNumberFormat="1" applyFont="1" applyFill="1" applyBorder="1" applyAlignment="1">
      <alignment horizontal="center" vertical="center"/>
    </xf>
    <xf numFmtId="2" fontId="6" fillId="12" borderId="11" xfId="2" applyNumberFormat="1" applyFont="1" applyFill="1" applyBorder="1" applyAlignment="1">
      <alignment horizontal="center" vertical="center"/>
    </xf>
    <xf numFmtId="2" fontId="6" fillId="12" borderId="18" xfId="2" applyNumberFormat="1" applyFont="1" applyFill="1" applyBorder="1" applyAlignment="1">
      <alignment horizontal="center" vertical="center"/>
    </xf>
    <xf numFmtId="9" fontId="6" fillId="0" borderId="13" xfId="4" applyFont="1" applyFill="1" applyBorder="1" applyAlignment="1">
      <alignment horizontal="center" vertical="center"/>
    </xf>
    <xf numFmtId="2" fontId="6" fillId="0" borderId="13" xfId="5" applyNumberFormat="1" applyFont="1" applyFill="1" applyBorder="1" applyAlignment="1">
      <alignment horizontal="center" vertical="center"/>
    </xf>
    <xf numFmtId="2" fontId="6" fillId="0" borderId="18" xfId="5" applyNumberFormat="1" applyFont="1" applyFill="1" applyBorder="1" applyAlignment="1">
      <alignment horizontal="center" vertical="center"/>
    </xf>
    <xf numFmtId="176" fontId="6" fillId="0" borderId="13" xfId="1" applyNumberFormat="1" applyFont="1" applyBorder="1" applyAlignment="1">
      <alignment horizontal="center" vertical="center"/>
    </xf>
    <xf numFmtId="9" fontId="6" fillId="0" borderId="18" xfId="5" applyFont="1" applyBorder="1" applyAlignment="1">
      <alignment horizontal="center" vertical="center"/>
    </xf>
    <xf numFmtId="2" fontId="6" fillId="0" borderId="11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76" fontId="8" fillId="12" borderId="11" xfId="2" applyNumberFormat="1" applyFont="1" applyFill="1" applyBorder="1" applyAlignment="1">
      <alignment horizontal="center" vertical="center"/>
    </xf>
    <xf numFmtId="2" fontId="6" fillId="0" borderId="13" xfId="1" applyNumberFormat="1" applyFont="1" applyBorder="1" applyAlignment="1">
      <alignment horizontal="center" vertical="center"/>
    </xf>
    <xf numFmtId="2" fontId="6" fillId="0" borderId="18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177" fontId="6" fillId="0" borderId="12" xfId="1" applyNumberFormat="1" applyFont="1" applyBorder="1" applyAlignment="1">
      <alignment horizontal="center" vertical="center"/>
    </xf>
    <xf numFmtId="178" fontId="6" fillId="0" borderId="11" xfId="1" applyNumberFormat="1" applyFont="1" applyBorder="1" applyAlignment="1">
      <alignment horizontal="center" vertical="center"/>
    </xf>
    <xf numFmtId="2" fontId="6" fillId="0" borderId="20" xfId="1" applyNumberFormat="1" applyFont="1" applyBorder="1" applyAlignment="1">
      <alignment horizontal="center" vertical="center"/>
    </xf>
    <xf numFmtId="0" fontId="6" fillId="13" borderId="26" xfId="3" applyFont="1" applyFill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178" fontId="13" fillId="0" borderId="0" xfId="3" applyNumberFormat="1" applyFont="1" applyAlignment="1">
      <alignment horizontal="center" vertical="center"/>
    </xf>
    <xf numFmtId="177" fontId="13" fillId="0" borderId="0" xfId="3" applyNumberFormat="1" applyFont="1" applyAlignment="1">
      <alignment horizontal="center" vertical="center"/>
    </xf>
    <xf numFmtId="176" fontId="6" fillId="14" borderId="22" xfId="2" applyNumberFormat="1" applyFont="1" applyFill="1" applyBorder="1" applyAlignment="1">
      <alignment horizontal="center" vertical="center"/>
    </xf>
    <xf numFmtId="176" fontId="6" fillId="14" borderId="0" xfId="2" applyNumberFormat="1" applyFont="1" applyFill="1" applyAlignment="1">
      <alignment horizontal="center" vertical="center"/>
    </xf>
    <xf numFmtId="176" fontId="12" fillId="14" borderId="0" xfId="2" applyNumberFormat="1" applyFont="1" applyFill="1" applyAlignment="1">
      <alignment horizontal="center" vertical="center"/>
    </xf>
    <xf numFmtId="176" fontId="6" fillId="14" borderId="23" xfId="2" applyNumberFormat="1" applyFont="1" applyFill="1" applyBorder="1" applyAlignment="1">
      <alignment horizontal="center" vertical="center"/>
    </xf>
    <xf numFmtId="176" fontId="8" fillId="14" borderId="0" xfId="2" applyNumberFormat="1" applyFont="1" applyFill="1" applyAlignment="1">
      <alignment horizontal="center" vertical="center"/>
    </xf>
    <xf numFmtId="0" fontId="6" fillId="15" borderId="21" xfId="3" applyFont="1" applyFill="1" applyBorder="1" applyAlignment="1">
      <alignment horizontal="center" vertical="center"/>
    </xf>
    <xf numFmtId="0" fontId="8" fillId="0" borderId="28" xfId="6" applyFont="1" applyBorder="1"/>
    <xf numFmtId="2" fontId="8" fillId="0" borderId="0" xfId="6" applyNumberFormat="1" applyFont="1" applyAlignment="1">
      <alignment horizontal="center"/>
    </xf>
    <xf numFmtId="2" fontId="15" fillId="0" borderId="0" xfId="6" applyNumberFormat="1" applyFont="1" applyAlignment="1">
      <alignment horizontal="center"/>
    </xf>
    <xf numFmtId="1" fontId="8" fillId="0" borderId="25" xfId="6" applyNumberFormat="1" applyFont="1" applyBorder="1" applyAlignment="1">
      <alignment horizontal="center"/>
    </xf>
    <xf numFmtId="0" fontId="8" fillId="0" borderId="29" xfId="6" applyFont="1" applyBorder="1"/>
    <xf numFmtId="2" fontId="8" fillId="0" borderId="30" xfId="6" applyNumberFormat="1" applyFont="1" applyBorder="1" applyAlignment="1">
      <alignment horizontal="center"/>
    </xf>
    <xf numFmtId="1" fontId="8" fillId="0" borderId="31" xfId="6" applyNumberFormat="1" applyFont="1" applyBorder="1" applyAlignment="1">
      <alignment horizontal="center"/>
    </xf>
    <xf numFmtId="2" fontId="0" fillId="0" borderId="0" xfId="0" applyNumberFormat="1">
      <alignment vertical="center"/>
    </xf>
    <xf numFmtId="0" fontId="8" fillId="16" borderId="1" xfId="6" applyFont="1" applyFill="1" applyBorder="1"/>
    <xf numFmtId="2" fontId="8" fillId="16" borderId="2" xfId="6" applyNumberFormat="1" applyFont="1" applyFill="1" applyBorder="1" applyAlignment="1">
      <alignment horizontal="center"/>
    </xf>
    <xf numFmtId="0" fontId="8" fillId="16" borderId="2" xfId="6" applyFont="1" applyFill="1" applyBorder="1" applyAlignment="1">
      <alignment horizontal="center"/>
    </xf>
    <xf numFmtId="178" fontId="8" fillId="16" borderId="27" xfId="6" applyNumberFormat="1" applyFont="1" applyFill="1" applyBorder="1" applyAlignment="1">
      <alignment horizontal="center"/>
    </xf>
    <xf numFmtId="176" fontId="3" fillId="0" borderId="0" xfId="0" applyNumberFormat="1" applyFont="1">
      <alignment vertical="center"/>
    </xf>
    <xf numFmtId="176" fontId="16" fillId="0" borderId="0" xfId="0" applyNumberFormat="1" applyFont="1">
      <alignment vertical="center"/>
    </xf>
    <xf numFmtId="176" fontId="6" fillId="4" borderId="0" xfId="1" applyNumberFormat="1" applyFont="1" applyFill="1" applyAlignment="1">
      <alignment horizontal="center" vertical="center"/>
    </xf>
    <xf numFmtId="176" fontId="6" fillId="4" borderId="23" xfId="1" applyNumberFormat="1" applyFont="1" applyFill="1" applyBorder="1" applyAlignment="1">
      <alignment horizontal="center" vertical="center"/>
    </xf>
    <xf numFmtId="176" fontId="6" fillId="4" borderId="22" xfId="1" applyNumberFormat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</cellXfs>
  <cellStyles count="7">
    <cellStyle name="パーセント 2 3" xfId="4" xr:uid="{64EA48FD-B131-4E43-8366-D26C3FB4DF43}"/>
    <cellStyle name="パーセント 4" xfId="5" xr:uid="{0ADBBCCD-6C7C-4503-AED2-48B8C3D225AA}"/>
    <cellStyle name="標準" xfId="0" builtinId="0"/>
    <cellStyle name="標準 2" xfId="6" xr:uid="{8C8590F4-645B-41E1-92DE-FDB3273C1A34}"/>
    <cellStyle name="標準 3 4" xfId="2" xr:uid="{B9DE9A0E-BA25-4E52-9D8F-5FCA4B9C4F2A}"/>
    <cellStyle name="標準 4 2" xfId="3" xr:uid="{560631B4-ACB1-413F-B8A4-8F9E3D2E1231}"/>
    <cellStyle name="標準 5 2" xfId="1" xr:uid="{09CA4A04-3228-4C7B-9FE7-60F100B2F940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Sheet2!$C$5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Sheet2!$B$6:$B$9</c:f>
              <c:strCache>
                <c:ptCount val="4"/>
                <c:pt idx="0">
                  <c:v>No.124</c:v>
                </c:pt>
                <c:pt idx="1">
                  <c:v>No.129</c:v>
                </c:pt>
                <c:pt idx="2">
                  <c:v>No.138</c:v>
                </c:pt>
                <c:pt idx="3">
                  <c:v>No.150</c:v>
                </c:pt>
              </c:strCache>
            </c:strRef>
          </c:xVal>
          <c:yVal>
            <c:numRef>
              <c:f>Sheet2!$C$6:$C$9</c:f>
              <c:numCache>
                <c:formatCode>0.00_ </c:formatCode>
                <c:ptCount val="4"/>
                <c:pt idx="0">
                  <c:v>53.500117717950239</c:v>
                </c:pt>
                <c:pt idx="1">
                  <c:v>61.648807783050508</c:v>
                </c:pt>
                <c:pt idx="2">
                  <c:v>61.005224616853639</c:v>
                </c:pt>
                <c:pt idx="3">
                  <c:v>72.308381434925067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F-433A-8CC7-5586520442BB}"/>
            </c:ext>
          </c:extLst>
        </c:ser>
        <c:ser>
          <c:idx val="1"/>
          <c:order val="1"/>
          <c:tx>
            <c:strRef>
              <c:f>Sheet2!$D$5</c:f>
              <c:strCache>
                <c:ptCount val="1"/>
                <c:pt idx="0">
                  <c:v>2026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Sheet2!$B$6:$B$9</c:f>
              <c:strCache>
                <c:ptCount val="4"/>
                <c:pt idx="0">
                  <c:v>No.124</c:v>
                </c:pt>
                <c:pt idx="1">
                  <c:v>No.129</c:v>
                </c:pt>
                <c:pt idx="2">
                  <c:v>No.138</c:v>
                </c:pt>
                <c:pt idx="3">
                  <c:v>No.150</c:v>
                </c:pt>
              </c:strCache>
            </c:strRef>
          </c:xVal>
          <c:yVal>
            <c:numRef>
              <c:f>Sheet2!$D$6:$D$9</c:f>
              <c:numCache>
                <c:formatCode>0.00</c:formatCode>
                <c:ptCount val="4"/>
                <c:pt idx="0">
                  <c:v>64.588200020173304</c:v>
                </c:pt>
                <c:pt idx="1">
                  <c:v>63.432000194137665</c:v>
                </c:pt>
                <c:pt idx="2">
                  <c:v>65.054307152092647</c:v>
                </c:pt>
                <c:pt idx="3">
                  <c:v>71.606790913072786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F-433A-8CC7-5586520442BB}"/>
            </c:ext>
          </c:extLst>
        </c:ser>
        <c:ser>
          <c:idx val="2"/>
          <c:order val="2"/>
          <c:tx>
            <c:strRef>
              <c:f>Sheet2!$E$5</c:f>
              <c:strCache>
                <c:ptCount val="1"/>
                <c:pt idx="0">
                  <c:v>2026SA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strRef>
              <c:f>Sheet2!$B$6:$B$9</c:f>
              <c:strCache>
                <c:ptCount val="4"/>
                <c:pt idx="0">
                  <c:v>No.124</c:v>
                </c:pt>
                <c:pt idx="1">
                  <c:v>No.129</c:v>
                </c:pt>
                <c:pt idx="2">
                  <c:v>No.138</c:v>
                </c:pt>
                <c:pt idx="3">
                  <c:v>No.150</c:v>
                </c:pt>
              </c:strCache>
            </c:strRef>
          </c:xVal>
          <c:yVal>
            <c:numRef>
              <c:f>Sheet2!$E$6:$E$9</c:f>
              <c:numCache>
                <c:formatCode>0.00</c:formatCode>
                <c:ptCount val="4"/>
                <c:pt idx="0">
                  <c:v>66.556455723619123</c:v>
                </c:pt>
                <c:pt idx="1">
                  <c:v>64.294751788376587</c:v>
                </c:pt>
                <c:pt idx="2">
                  <c:v>65.549144302405793</c:v>
                </c:pt>
                <c:pt idx="3">
                  <c:v>72.568586237729619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8F-433A-8CC7-55865204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2239"/>
        <c:axId val="586834143"/>
      </c:scatterChart>
      <c:valAx>
        <c:axId val="5642239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586834143"/>
        <c:crosses val="autoZero"/>
        <c:crossBetween val="midCat"/>
      </c:valAx>
      <c:valAx>
        <c:axId val="586834143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ja-JP"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δ¹⁸</a:t>
                </a:r>
                <a:r>
                  <a:rPr lang="en-US" altLang="ja-JP"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O-NO₃(‰)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Sheet2!$C$14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Sheet2!$B$15:$B$18</c:f>
              <c:strCache>
                <c:ptCount val="4"/>
                <c:pt idx="0">
                  <c:v>No.124</c:v>
                </c:pt>
                <c:pt idx="1">
                  <c:v>No.129</c:v>
                </c:pt>
                <c:pt idx="2">
                  <c:v>No.138</c:v>
                </c:pt>
                <c:pt idx="3">
                  <c:v>No.150</c:v>
                </c:pt>
              </c:strCache>
            </c:strRef>
          </c:xVal>
          <c:yVal>
            <c:numRef>
              <c:f>Sheet2!$C$15:$C$18</c:f>
              <c:numCache>
                <c:formatCode>0.00_ </c:formatCode>
                <c:ptCount val="4"/>
                <c:pt idx="0">
                  <c:v>-1.4839086571454863</c:v>
                </c:pt>
                <c:pt idx="1">
                  <c:v>1.8115792890866518</c:v>
                </c:pt>
                <c:pt idx="2">
                  <c:v>1.040590338626987</c:v>
                </c:pt>
                <c:pt idx="3">
                  <c:v>0.99471082195981764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9-4C0F-A9AF-7C603DE8E4DE}"/>
            </c:ext>
          </c:extLst>
        </c:ser>
        <c:ser>
          <c:idx val="1"/>
          <c:order val="1"/>
          <c:tx>
            <c:strRef>
              <c:f>Sheet2!$D$14</c:f>
              <c:strCache>
                <c:ptCount val="1"/>
                <c:pt idx="0">
                  <c:v>2026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Sheet2!$B$15:$B$18</c:f>
              <c:strCache>
                <c:ptCount val="4"/>
                <c:pt idx="0">
                  <c:v>No.124</c:v>
                </c:pt>
                <c:pt idx="1">
                  <c:v>No.129</c:v>
                </c:pt>
                <c:pt idx="2">
                  <c:v>No.138</c:v>
                </c:pt>
                <c:pt idx="3">
                  <c:v>No.150</c:v>
                </c:pt>
              </c:strCache>
            </c:strRef>
          </c:xVal>
          <c:yVal>
            <c:numRef>
              <c:f>Sheet2!$D$15:$D$18</c:f>
              <c:numCache>
                <c:formatCode>0.00</c:formatCode>
                <c:ptCount val="4"/>
                <c:pt idx="0">
                  <c:v>1.2062568859214098</c:v>
                </c:pt>
                <c:pt idx="1">
                  <c:v>3.3286272578471645</c:v>
                </c:pt>
                <c:pt idx="2">
                  <c:v>2.785208635264393</c:v>
                </c:pt>
                <c:pt idx="3">
                  <c:v>1.3456555760622066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9-4C0F-A9AF-7C603DE8E4DE}"/>
            </c:ext>
          </c:extLst>
        </c:ser>
        <c:ser>
          <c:idx val="2"/>
          <c:order val="2"/>
          <c:tx>
            <c:strRef>
              <c:f>Sheet2!$E$14</c:f>
              <c:strCache>
                <c:ptCount val="1"/>
                <c:pt idx="0">
                  <c:v>2026SA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strRef>
              <c:f>Sheet2!$B$15:$B$18</c:f>
              <c:strCache>
                <c:ptCount val="4"/>
                <c:pt idx="0">
                  <c:v>No.124</c:v>
                </c:pt>
                <c:pt idx="1">
                  <c:v>No.129</c:v>
                </c:pt>
                <c:pt idx="2">
                  <c:v>No.138</c:v>
                </c:pt>
                <c:pt idx="3">
                  <c:v>No.150</c:v>
                </c:pt>
              </c:strCache>
            </c:strRef>
          </c:xVal>
          <c:yVal>
            <c:numRef>
              <c:f>Sheet2!$E$15:$E$18</c:f>
              <c:numCache>
                <c:formatCode>0.00</c:formatCode>
                <c:ptCount val="4"/>
                <c:pt idx="0">
                  <c:v>1.5512095767782987</c:v>
                </c:pt>
                <c:pt idx="1">
                  <c:v>2.9905938724331005</c:v>
                </c:pt>
                <c:pt idx="2">
                  <c:v>3.0451044982387594</c:v>
                </c:pt>
                <c:pt idx="3">
                  <c:v>1.478641251402337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B9-4C0F-A9AF-7C603DE8E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722207"/>
        <c:axId val="580718367"/>
      </c:scatterChart>
      <c:valAx>
        <c:axId val="580722207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580718367"/>
        <c:crosses val="autoZero"/>
        <c:crossBetween val="midCat"/>
      </c:valAx>
      <c:valAx>
        <c:axId val="580718367"/>
        <c:scaling>
          <c:orientation val="minMax"/>
          <c:max val="1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ja-JP"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δ¹⁵</a:t>
                </a:r>
                <a:r>
                  <a:rPr lang="en-US" altLang="ja-JP"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N-NO₃(‰)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0722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346075</xdr:colOff>
      <xdr:row>0</xdr:row>
      <xdr:rowOff>0</xdr:rowOff>
    </xdr:from>
    <xdr:to>
      <xdr:col>16</xdr:col>
      <xdr:colOff>295275</xdr:colOff>
      <xdr:row>12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6422E8F-1F9C-35E6-2676-DACE65E39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346960</xdr:colOff>
      <xdr:row>12</xdr:row>
      <xdr:rowOff>122865</xdr:rowOff>
    </xdr:from>
    <xdr:to>
      <xdr:col>16</xdr:col>
      <xdr:colOff>303544</xdr:colOff>
      <xdr:row>24</xdr:row>
      <xdr:rowOff>122865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A1617C0-03A2-58A8-C60F-9D4D72A00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507950</xdr:colOff>
      <xdr:row>4</xdr:row>
      <xdr:rowOff>159331</xdr:rowOff>
    </xdr:from>
    <xdr:to>
      <xdr:col>12</xdr:col>
      <xdr:colOff>624780</xdr:colOff>
      <xdr:row>8</xdr:row>
      <xdr:rowOff>137557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1BB75DC-25DA-F5EA-E6A1-DDBB96495BB5}"/>
            </a:ext>
          </a:extLst>
        </xdr:cNvPr>
        <xdr:cNvGrpSpPr/>
      </xdr:nvGrpSpPr>
      <xdr:grpSpPr>
        <a:xfrm>
          <a:off x="8079104" y="1071126"/>
          <a:ext cx="776253" cy="890021"/>
          <a:chOff x="7684071" y="1085987"/>
          <a:chExt cx="777673" cy="893808"/>
        </a:xfrm>
      </xdr:grpSpPr>
      <xdr:cxnSp macro="">
        <xdr:nvCxnSpPr>
          <xdr:cNvPr id="4" name="直線矢印コネクタ 3">
            <a:extLst>
              <a:ext uri="{FF2B5EF4-FFF2-40B4-BE49-F238E27FC236}">
                <a16:creationId xmlns:a16="http://schemas.microsoft.com/office/drawing/2014/main" id="{27B1EE75-5219-4C1E-B8D3-264E7955AE5B}"/>
              </a:ext>
            </a:extLst>
          </xdr:cNvPr>
          <xdr:cNvCxnSpPr/>
        </xdr:nvCxnSpPr>
        <xdr:spPr>
          <a:xfrm>
            <a:off x="7776224" y="1085987"/>
            <a:ext cx="1377" cy="893808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43C68473-65C5-4D2C-85E6-890128559B59}"/>
              </a:ext>
            </a:extLst>
          </xdr:cNvPr>
          <xdr:cNvSpPr txBox="1"/>
        </xdr:nvSpPr>
        <xdr:spPr>
          <a:xfrm>
            <a:off x="7684071" y="1439944"/>
            <a:ext cx="777673" cy="417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ja-JP" sz="1100" b="0" i="0" u="none" strike="noStrike">
                <a:solidFill>
                  <a:srgbClr val="FF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11.09 </a:t>
            </a:r>
            <a:r>
              <a:rPr lang="en-US" altLang="ja-JP" sz="1100" b="0" i="0" baseline="0">
                <a:solidFill>
                  <a:srgbClr val="FF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‰</a:t>
            </a:r>
            <a:endParaRPr kumimoji="1" lang="ja-JP" altLang="en-US" sz="1100" b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10</xdr:col>
      <xdr:colOff>534331</xdr:colOff>
      <xdr:row>3</xdr:row>
      <xdr:rowOff>224949</xdr:rowOff>
    </xdr:from>
    <xdr:to>
      <xdr:col>11</xdr:col>
      <xdr:colOff>651161</xdr:colOff>
      <xdr:row>8</xdr:row>
      <xdr:rowOff>139778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A2D25821-D385-AD37-43D9-D92423D32ADA}"/>
            </a:ext>
          </a:extLst>
        </xdr:cNvPr>
        <xdr:cNvGrpSpPr/>
      </xdr:nvGrpSpPr>
      <xdr:grpSpPr>
        <a:xfrm>
          <a:off x="7446062" y="908795"/>
          <a:ext cx="776253" cy="1054573"/>
          <a:chOff x="7462038" y="912468"/>
          <a:chExt cx="778089" cy="1060693"/>
        </a:xfrm>
      </xdr:grpSpPr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D12537F9-A43D-466D-A342-EFD5C9508754}"/>
              </a:ext>
            </a:extLst>
          </xdr:cNvPr>
          <xdr:cNvCxnSpPr/>
        </xdr:nvCxnSpPr>
        <xdr:spPr>
          <a:xfrm>
            <a:off x="8150820" y="912468"/>
            <a:ext cx="1373" cy="1060693"/>
          </a:xfrm>
          <a:prstGeom prst="straightConnector1">
            <a:avLst/>
          </a:prstGeom>
          <a:ln>
            <a:solidFill>
              <a:srgbClr val="0070C0"/>
            </a:solidFill>
            <a:headEnd type="triangle"/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348CB7CB-46C5-4620-A175-74C581596441}"/>
              </a:ext>
            </a:extLst>
          </xdr:cNvPr>
          <xdr:cNvSpPr txBox="1"/>
        </xdr:nvSpPr>
        <xdr:spPr>
          <a:xfrm>
            <a:off x="7462038" y="1284028"/>
            <a:ext cx="778089" cy="418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ja-JP" sz="1100" b="0" i="0" u="none" strike="noStrike">
                <a:solidFill>
                  <a:srgbClr val="0070C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13.06 </a:t>
            </a:r>
            <a:r>
              <a:rPr lang="en-US" altLang="ja-JP" sz="1100" b="0" i="0" baseline="0">
                <a:solidFill>
                  <a:srgbClr val="0070C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‰</a:t>
            </a:r>
            <a:endParaRPr kumimoji="1" lang="ja-JP" altLang="en-US" sz="1100" b="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11</xdr:col>
      <xdr:colOff>536765</xdr:colOff>
      <xdr:row>18</xdr:row>
      <xdr:rowOff>119945</xdr:rowOff>
    </xdr:from>
    <xdr:to>
      <xdr:col>12</xdr:col>
      <xdr:colOff>653861</xdr:colOff>
      <xdr:row>19</xdr:row>
      <xdr:rowOff>61148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49D02C40-11A6-4AA8-BD72-F0D37314E7E2}"/>
            </a:ext>
          </a:extLst>
        </xdr:cNvPr>
        <xdr:cNvGrpSpPr/>
      </xdr:nvGrpSpPr>
      <xdr:grpSpPr>
        <a:xfrm>
          <a:off x="8107919" y="4223022"/>
          <a:ext cx="776519" cy="169152"/>
          <a:chOff x="7684071" y="1085987"/>
          <a:chExt cx="777673" cy="893808"/>
        </a:xfrm>
      </xdr:grpSpPr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D8F016A5-1837-40A1-D23F-3B6DEEB35369}"/>
              </a:ext>
            </a:extLst>
          </xdr:cNvPr>
          <xdr:cNvCxnSpPr/>
        </xdr:nvCxnSpPr>
        <xdr:spPr>
          <a:xfrm>
            <a:off x="7776224" y="1085987"/>
            <a:ext cx="1377" cy="893808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977A1B87-F6AE-E1A4-C7BF-C8E5E24B3265}"/>
              </a:ext>
            </a:extLst>
          </xdr:cNvPr>
          <xdr:cNvSpPr txBox="1"/>
        </xdr:nvSpPr>
        <xdr:spPr>
          <a:xfrm>
            <a:off x="7684071" y="1098402"/>
            <a:ext cx="777673" cy="7588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ja-JP" sz="1100" b="0" i="0" baseline="0">
                <a:solidFill>
                  <a:srgbClr val="FF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2.69 ‰</a:t>
            </a:r>
            <a:endParaRPr kumimoji="1" lang="ja-JP" altLang="en-US" sz="1100" b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10</xdr:col>
      <xdr:colOff>558707</xdr:colOff>
      <xdr:row>17</xdr:row>
      <xdr:rowOff>203193</xdr:rowOff>
    </xdr:from>
    <xdr:to>
      <xdr:col>12</xdr:col>
      <xdr:colOff>14932</xdr:colOff>
      <xdr:row>19</xdr:row>
      <xdr:rowOff>163114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B894C6E1-4502-4535-B615-85CB99DA82D9}"/>
            </a:ext>
          </a:extLst>
        </xdr:cNvPr>
        <xdr:cNvGrpSpPr/>
      </xdr:nvGrpSpPr>
      <xdr:grpSpPr>
        <a:xfrm>
          <a:off x="7470438" y="4078321"/>
          <a:ext cx="775071" cy="415819"/>
          <a:chOff x="7441537" y="805524"/>
          <a:chExt cx="778089" cy="418301"/>
        </a:xfrm>
      </xdr:grpSpPr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B1BA9DDF-9229-8023-4DB3-642132B3D261}"/>
              </a:ext>
            </a:extLst>
          </xdr:cNvPr>
          <xdr:cNvCxnSpPr/>
        </xdr:nvCxnSpPr>
        <xdr:spPr>
          <a:xfrm>
            <a:off x="8150820" y="912468"/>
            <a:ext cx="1373" cy="214713"/>
          </a:xfrm>
          <a:prstGeom prst="straightConnector1">
            <a:avLst/>
          </a:prstGeom>
          <a:ln>
            <a:solidFill>
              <a:srgbClr val="0070C0"/>
            </a:solidFill>
            <a:headEnd type="triangle"/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BE885DF5-E7FD-A88D-6D86-50A7179CB564}"/>
              </a:ext>
            </a:extLst>
          </xdr:cNvPr>
          <xdr:cNvSpPr txBox="1"/>
        </xdr:nvSpPr>
        <xdr:spPr>
          <a:xfrm>
            <a:off x="7441537" y="805524"/>
            <a:ext cx="778089" cy="418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ja-JP" sz="1100" b="0" i="0" u="none" strike="noStrike">
                <a:solidFill>
                  <a:srgbClr val="0070C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3.04 </a:t>
            </a:r>
            <a:r>
              <a:rPr lang="en-US" altLang="ja-JP" sz="1100" b="0" i="0" baseline="0">
                <a:solidFill>
                  <a:srgbClr val="0070C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‰</a:t>
            </a:r>
            <a:endParaRPr kumimoji="1" lang="ja-JP" altLang="en-US" sz="1100" b="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7781-AFCD-4B60-A231-EE0DC742E3D6}">
  <dimension ref="A1:AX29"/>
  <sheetViews>
    <sheetView tabSelected="1" topLeftCell="A7" zoomScale="84" workbookViewId="0">
      <selection activeCell="O26" sqref="O26"/>
    </sheetView>
  </sheetViews>
  <sheetFormatPr defaultRowHeight="18" x14ac:dyDescent="0.55000000000000004"/>
  <cols>
    <col min="8" max="8" width="38.83203125" customWidth="1"/>
  </cols>
  <sheetData>
    <row r="1" spans="1:50" ht="18.5" thickBot="1" x14ac:dyDescent="0.6">
      <c r="A1" s="1"/>
      <c r="B1" s="2" t="s">
        <v>0</v>
      </c>
      <c r="C1" s="3" t="s">
        <v>1</v>
      </c>
      <c r="D1" s="4"/>
      <c r="E1" s="3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6</v>
      </c>
      <c r="K1" s="146" t="s">
        <v>7</v>
      </c>
      <c r="L1" s="147"/>
      <c r="M1" s="147"/>
      <c r="N1" s="147"/>
      <c r="O1" s="7"/>
      <c r="P1" s="8"/>
      <c r="Q1" s="8"/>
      <c r="R1" s="8"/>
      <c r="S1" s="9"/>
      <c r="T1" s="10"/>
      <c r="U1" s="11"/>
      <c r="V1" s="12"/>
      <c r="W1" s="11"/>
      <c r="X1" s="12"/>
      <c r="Y1" s="13"/>
      <c r="Z1" s="14" t="s">
        <v>8</v>
      </c>
      <c r="AA1" s="6" t="s">
        <v>9</v>
      </c>
      <c r="AB1" s="15"/>
      <c r="AC1" s="15"/>
      <c r="AD1" s="15"/>
      <c r="AE1" s="16" t="s">
        <v>10</v>
      </c>
      <c r="AF1" s="17"/>
      <c r="AG1" s="18" t="s">
        <v>11</v>
      </c>
      <c r="AH1" s="19"/>
      <c r="AI1" s="20"/>
      <c r="AJ1" s="19"/>
      <c r="AK1" s="21"/>
      <c r="AL1" s="2" t="s">
        <v>0</v>
      </c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</row>
    <row r="2" spans="1:50" x14ac:dyDescent="0.55000000000000004">
      <c r="A2" s="1"/>
      <c r="B2" s="23"/>
      <c r="C2" s="24"/>
      <c r="D2" s="25"/>
      <c r="E2" s="24"/>
      <c r="F2" s="25"/>
      <c r="G2" s="26" t="s">
        <v>12</v>
      </c>
      <c r="H2" s="26" t="s">
        <v>13</v>
      </c>
      <c r="I2" s="26" t="s">
        <v>14</v>
      </c>
      <c r="J2" s="26" t="s">
        <v>15</v>
      </c>
      <c r="K2" s="27" t="s">
        <v>16</v>
      </c>
      <c r="L2" s="28" t="s">
        <v>17</v>
      </c>
      <c r="M2" s="29" t="s">
        <v>18</v>
      </c>
      <c r="N2" s="30" t="s">
        <v>19</v>
      </c>
      <c r="O2" s="31" t="s">
        <v>20</v>
      </c>
      <c r="P2" s="32" t="s">
        <v>10</v>
      </c>
      <c r="Q2" s="32" t="s">
        <v>21</v>
      </c>
      <c r="R2" s="32" t="s">
        <v>22</v>
      </c>
      <c r="S2" s="33" t="s">
        <v>23</v>
      </c>
      <c r="T2" s="34" t="s">
        <v>24</v>
      </c>
      <c r="U2" s="35" t="s">
        <v>25</v>
      </c>
      <c r="V2" s="36" t="s">
        <v>26</v>
      </c>
      <c r="W2" s="35" t="s">
        <v>27</v>
      </c>
      <c r="X2" s="36" t="s">
        <v>28</v>
      </c>
      <c r="Y2" s="37" t="s">
        <v>29</v>
      </c>
      <c r="Z2" s="38"/>
      <c r="AA2" s="39" t="s">
        <v>30</v>
      </c>
      <c r="AB2" s="39" t="s">
        <v>31</v>
      </c>
      <c r="AC2" s="40" t="s">
        <v>32</v>
      </c>
      <c r="AD2" s="39" t="s">
        <v>31</v>
      </c>
      <c r="AE2" s="41" t="s">
        <v>32</v>
      </c>
      <c r="AF2" s="42" t="s">
        <v>31</v>
      </c>
      <c r="AG2" s="43" t="s">
        <v>33</v>
      </c>
      <c r="AH2" s="44" t="s">
        <v>34</v>
      </c>
      <c r="AI2" s="45" t="s">
        <v>35</v>
      </c>
      <c r="AJ2" s="44" t="s">
        <v>36</v>
      </c>
      <c r="AK2" s="46" t="s">
        <v>37</v>
      </c>
      <c r="AL2" s="23"/>
      <c r="AM2" s="22"/>
      <c r="AN2" s="22"/>
      <c r="AO2" s="27" t="s">
        <v>16</v>
      </c>
      <c r="AP2" s="28" t="s">
        <v>17</v>
      </c>
      <c r="AQ2" s="29" t="s">
        <v>18</v>
      </c>
      <c r="AR2" s="30" t="s">
        <v>19</v>
      </c>
      <c r="AS2" s="31" t="s">
        <v>20</v>
      </c>
      <c r="AT2" s="32" t="s">
        <v>10</v>
      </c>
      <c r="AU2" s="32" t="s">
        <v>21</v>
      </c>
      <c r="AV2" s="32" t="s">
        <v>22</v>
      </c>
      <c r="AW2" s="33" t="s">
        <v>23</v>
      </c>
      <c r="AX2" s="22"/>
    </row>
    <row r="3" spans="1:50" x14ac:dyDescent="0.55000000000000004">
      <c r="A3" s="1"/>
      <c r="B3" s="47">
        <v>124</v>
      </c>
      <c r="C3" s="48" t="s">
        <v>38</v>
      </c>
      <c r="D3" s="49">
        <v>45074</v>
      </c>
      <c r="E3" s="50">
        <v>1440</v>
      </c>
      <c r="F3" s="51">
        <v>50</v>
      </c>
      <c r="G3" s="52">
        <v>95.25</v>
      </c>
      <c r="H3" s="53">
        <v>0.65200000000000002</v>
      </c>
      <c r="I3" s="54">
        <f t="shared" ref="I3:I6" si="0">J3+273.16</f>
        <v>302.66000000000003</v>
      </c>
      <c r="J3" s="55">
        <v>29.5</v>
      </c>
      <c r="K3" s="56">
        <v>0.21295602176220804</v>
      </c>
      <c r="L3" s="57">
        <v>0</v>
      </c>
      <c r="M3" s="58">
        <v>1.0030738195918849</v>
      </c>
      <c r="N3" s="59">
        <v>5.9935679681233767</v>
      </c>
      <c r="O3" s="60">
        <v>0.10835254659117716</v>
      </c>
      <c r="P3" s="61">
        <v>2.3498231437249348</v>
      </c>
      <c r="Q3" s="62">
        <v>3.9536567734135407E-2</v>
      </c>
      <c r="R3" s="62">
        <v>0.87563328025477705</v>
      </c>
      <c r="S3" s="63">
        <v>0.35465976586459064</v>
      </c>
      <c r="T3" s="64">
        <f t="shared" ref="T3:T6" si="1">L3/M3</f>
        <v>0</v>
      </c>
      <c r="U3" s="65">
        <f t="shared" ref="U3:U6" si="2">K3/O3</f>
        <v>1.9653993234299161</v>
      </c>
      <c r="V3" s="66">
        <f t="shared" ref="V3:V6" si="3">M3/N3</f>
        <v>0.16735837900340914</v>
      </c>
      <c r="W3" s="67">
        <f t="shared" ref="W3:W6" si="4">SUM(K3:S3)</f>
        <v>10.937603113647084</v>
      </c>
      <c r="X3" s="68">
        <f t="shared" ref="X3:X6" si="5">W3/G3</f>
        <v>0.11483047888343395</v>
      </c>
      <c r="Y3" s="69">
        <v>0.76859127471505251</v>
      </c>
      <c r="Z3" s="70" t="s">
        <v>39</v>
      </c>
      <c r="AA3" s="71">
        <v>53.500117717950239</v>
      </c>
      <c r="AB3" s="71">
        <v>0.17619249282631302</v>
      </c>
      <c r="AC3" s="71">
        <v>-1.4839086571454863</v>
      </c>
      <c r="AD3" s="71">
        <v>0.19928260761615538</v>
      </c>
      <c r="AE3" s="72">
        <v>15.132033548628074</v>
      </c>
      <c r="AF3" s="73">
        <v>5.3777518525457556E-2</v>
      </c>
      <c r="AG3" s="74">
        <v>111.1</v>
      </c>
      <c r="AH3" s="75">
        <v>33.526040277548326</v>
      </c>
      <c r="AI3" s="76">
        <v>1.1124389062242552E-2</v>
      </c>
      <c r="AJ3" s="75">
        <v>33.153083561784463</v>
      </c>
      <c r="AK3" s="77">
        <v>-18.02105001315639</v>
      </c>
      <c r="AL3" s="78">
        <v>124</v>
      </c>
      <c r="AM3" s="22"/>
      <c r="AN3" s="22"/>
      <c r="AO3" s="22">
        <f t="shared" ref="AO3:AW6" si="6">K3/$G3</f>
        <v>2.2357587586583523E-3</v>
      </c>
      <c r="AP3" s="22">
        <f t="shared" si="6"/>
        <v>0</v>
      </c>
      <c r="AQ3" s="22">
        <f t="shared" si="6"/>
        <v>1.0530958735872807E-2</v>
      </c>
      <c r="AR3" s="22">
        <f t="shared" si="6"/>
        <v>6.2924598090534134E-2</v>
      </c>
      <c r="AS3" s="22">
        <f t="shared" si="6"/>
        <v>1.1375595442643272E-3</v>
      </c>
      <c r="AT3" s="22">
        <f t="shared" si="6"/>
        <v>2.4670059251705352E-2</v>
      </c>
      <c r="AU3" s="22">
        <f t="shared" si="6"/>
        <v>4.1508207594892813E-4</v>
      </c>
      <c r="AV3" s="22">
        <f t="shared" si="6"/>
        <v>9.1930003176354542E-3</v>
      </c>
      <c r="AW3" s="22">
        <f t="shared" si="6"/>
        <v>3.7234621088146E-3</v>
      </c>
      <c r="AX3" s="22"/>
    </row>
    <row r="4" spans="1:50" x14ac:dyDescent="0.55000000000000004">
      <c r="A4" s="1"/>
      <c r="B4" s="47">
        <v>130</v>
      </c>
      <c r="C4" s="48" t="s">
        <v>40</v>
      </c>
      <c r="D4" s="49">
        <v>45129</v>
      </c>
      <c r="E4" s="50">
        <v>1440</v>
      </c>
      <c r="F4" s="51">
        <v>30</v>
      </c>
      <c r="G4" s="52">
        <v>35.125</v>
      </c>
      <c r="H4" s="53">
        <v>0.7</v>
      </c>
      <c r="I4" s="54">
        <f t="shared" si="0"/>
        <v>304.26000000000005</v>
      </c>
      <c r="J4" s="55">
        <v>31.1</v>
      </c>
      <c r="K4" s="79">
        <v>3.7139516237370801E-2</v>
      </c>
      <c r="L4" s="80">
        <v>0</v>
      </c>
      <c r="M4" s="81">
        <v>0.28380577037023219</v>
      </c>
      <c r="N4" s="82">
        <v>3.92965174290774</v>
      </c>
      <c r="O4" s="83">
        <v>7.7768044105342687E-2</v>
      </c>
      <c r="P4" s="84">
        <v>1.0737366157333432</v>
      </c>
      <c r="Q4" s="85">
        <v>3.2043210590646229E-2</v>
      </c>
      <c r="R4" s="85">
        <v>0.10070790635647306</v>
      </c>
      <c r="S4" s="86">
        <v>0.19610279596125429</v>
      </c>
      <c r="T4" s="64">
        <f t="shared" si="1"/>
        <v>0</v>
      </c>
      <c r="U4" s="65">
        <f t="shared" si="2"/>
        <v>0.47756783219419174</v>
      </c>
      <c r="V4" s="66">
        <f t="shared" si="3"/>
        <v>7.2221608666072412E-2</v>
      </c>
      <c r="W4" s="67">
        <f t="shared" si="4"/>
        <v>5.7309556022624015</v>
      </c>
      <c r="X4" s="68">
        <f t="shared" si="5"/>
        <v>0.16315887835622495</v>
      </c>
      <c r="Y4" s="69">
        <v>1.1549376769211293</v>
      </c>
      <c r="Z4" s="70" t="s">
        <v>39</v>
      </c>
      <c r="AA4" s="87">
        <v>61.721109489645904</v>
      </c>
      <c r="AB4" s="87">
        <v>0.12752171591563341</v>
      </c>
      <c r="AC4" s="87">
        <v>7.5130021387892754</v>
      </c>
      <c r="AD4" s="87">
        <v>0.43122398120719929</v>
      </c>
      <c r="AE4" s="72">
        <v>19.576658926918689</v>
      </c>
      <c r="AF4" s="73">
        <v>0.14864756378165525</v>
      </c>
      <c r="AG4" s="74">
        <v>1.984</v>
      </c>
      <c r="AH4" s="75">
        <v>33.309400328677079</v>
      </c>
      <c r="AI4" s="76">
        <v>0.35453155294938954</v>
      </c>
      <c r="AJ4" s="75">
        <v>21.500166902338286</v>
      </c>
      <c r="AK4" s="77">
        <v>-1.9235079754195965</v>
      </c>
      <c r="AL4" s="88">
        <v>130</v>
      </c>
      <c r="AM4" s="22"/>
      <c r="AN4" s="22"/>
      <c r="AO4" s="22">
        <f t="shared" si="6"/>
        <v>1.0573527754411615E-3</v>
      </c>
      <c r="AP4" s="22">
        <f t="shared" si="6"/>
        <v>0</v>
      </c>
      <c r="AQ4" s="22">
        <f t="shared" si="6"/>
        <v>8.0798795834941557E-3</v>
      </c>
      <c r="AR4" s="22">
        <f t="shared" si="6"/>
        <v>0.11187620620377907</v>
      </c>
      <c r="AS4" s="22">
        <f t="shared" si="6"/>
        <v>2.2140368428567314E-3</v>
      </c>
      <c r="AT4" s="22">
        <f t="shared" si="6"/>
        <v>3.0569013971056033E-2</v>
      </c>
      <c r="AU4" s="22">
        <f t="shared" si="6"/>
        <v>9.1226222322124493E-4</v>
      </c>
      <c r="AV4" s="22">
        <f t="shared" si="6"/>
        <v>2.8671290065899802E-3</v>
      </c>
      <c r="AW4" s="22">
        <f t="shared" si="6"/>
        <v>5.5829977497865993E-3</v>
      </c>
      <c r="AX4" s="22"/>
    </row>
    <row r="5" spans="1:50" x14ac:dyDescent="0.55000000000000004">
      <c r="A5" s="1"/>
      <c r="B5" s="89">
        <v>138</v>
      </c>
      <c r="C5" s="90" t="s">
        <v>41</v>
      </c>
      <c r="D5" s="91">
        <v>45202</v>
      </c>
      <c r="E5" s="92">
        <v>1440</v>
      </c>
      <c r="F5" s="93">
        <v>50</v>
      </c>
      <c r="G5" s="94">
        <v>24.166666666666668</v>
      </c>
      <c r="H5" s="53">
        <v>0.78599999999999992</v>
      </c>
      <c r="I5" s="95">
        <f t="shared" si="0"/>
        <v>301.36</v>
      </c>
      <c r="J5" s="55">
        <v>28.2</v>
      </c>
      <c r="K5" s="96">
        <v>0.50883186173036088</v>
      </c>
      <c r="L5" s="97">
        <v>0.1536541582625619</v>
      </c>
      <c r="M5" s="98">
        <v>2.7342683059094126</v>
      </c>
      <c r="N5" s="99">
        <v>7.3975533815463539</v>
      </c>
      <c r="O5" s="100">
        <v>0.14920587107808442</v>
      </c>
      <c r="P5" s="101">
        <v>3.4960628851144135</v>
      </c>
      <c r="Q5" s="102">
        <v>4.7654243630573238E-2</v>
      </c>
      <c r="R5" s="102">
        <v>1.3597037404163717</v>
      </c>
      <c r="S5" s="103">
        <v>0.32640427754187301</v>
      </c>
      <c r="T5" s="104">
        <f t="shared" si="1"/>
        <v>5.619571346764992E-2</v>
      </c>
      <c r="U5" s="105">
        <f t="shared" si="2"/>
        <v>3.4102670226969298</v>
      </c>
      <c r="V5" s="106">
        <f t="shared" si="3"/>
        <v>0.36961792161313917</v>
      </c>
      <c r="W5" s="107">
        <f t="shared" si="4"/>
        <v>16.173338725230007</v>
      </c>
      <c r="X5" s="108">
        <f t="shared" si="5"/>
        <v>0.66924160242331054</v>
      </c>
      <c r="Y5" s="109">
        <v>0.76945643033492261</v>
      </c>
      <c r="Z5" s="110" t="s">
        <v>39</v>
      </c>
      <c r="AA5" s="111">
        <v>61.005224616853639</v>
      </c>
      <c r="AB5" s="111">
        <v>0.101373197653712</v>
      </c>
      <c r="AC5" s="111">
        <v>1.040590338626987</v>
      </c>
      <c r="AD5" s="111">
        <v>0.17021841754006997</v>
      </c>
      <c r="AE5" s="112">
        <v>13.52775005075708</v>
      </c>
      <c r="AF5" s="113">
        <v>0.10804390887182103</v>
      </c>
      <c r="AG5" s="114">
        <v>151.5</v>
      </c>
      <c r="AH5" s="115">
        <v>33.703754139704671</v>
      </c>
      <c r="AI5" s="116">
        <v>1.3004000543052263E-2</v>
      </c>
      <c r="AJ5" s="115">
        <v>33.265470502569052</v>
      </c>
      <c r="AK5" s="117">
        <v>-19.737720451811974</v>
      </c>
      <c r="AL5" s="118">
        <v>138</v>
      </c>
      <c r="AM5" s="22"/>
      <c r="AN5" s="22"/>
      <c r="AO5" s="22">
        <f t="shared" si="6"/>
        <v>2.1055111519877E-2</v>
      </c>
      <c r="AP5" s="22">
        <f t="shared" si="6"/>
        <v>6.3581031005198029E-3</v>
      </c>
      <c r="AQ5" s="22">
        <f t="shared" si="6"/>
        <v>0.11314213679625156</v>
      </c>
      <c r="AR5" s="22">
        <f t="shared" si="6"/>
        <v>0.30610565716743532</v>
      </c>
      <c r="AS5" s="22">
        <f t="shared" si="6"/>
        <v>6.1740360446103891E-3</v>
      </c>
      <c r="AT5" s="22">
        <f t="shared" si="6"/>
        <v>0.14466467110818262</v>
      </c>
      <c r="AU5" s="22">
        <f t="shared" si="6"/>
        <v>1.971899736437513E-3</v>
      </c>
      <c r="AV5" s="22">
        <f t="shared" si="6"/>
        <v>5.6263603051711929E-2</v>
      </c>
      <c r="AW5" s="22">
        <f t="shared" si="6"/>
        <v>1.35063838982844E-2</v>
      </c>
      <c r="AX5" s="22"/>
    </row>
    <row r="6" spans="1:50" x14ac:dyDescent="0.55000000000000004">
      <c r="A6" s="1"/>
      <c r="B6" s="47">
        <v>147</v>
      </c>
      <c r="C6" s="119" t="s">
        <v>42</v>
      </c>
      <c r="D6" s="120">
        <v>45340</v>
      </c>
      <c r="E6" s="50">
        <v>1440</v>
      </c>
      <c r="F6" s="51">
        <v>30</v>
      </c>
      <c r="G6" s="52">
        <v>284.25</v>
      </c>
      <c r="H6" s="121">
        <v>0.61199999999999999</v>
      </c>
      <c r="I6" s="95">
        <f t="shared" si="0"/>
        <v>295.56</v>
      </c>
      <c r="J6" s="122">
        <v>22.4</v>
      </c>
      <c r="K6" s="123">
        <v>2.2583315427563759</v>
      </c>
      <c r="L6" s="124">
        <v>0</v>
      </c>
      <c r="M6" s="125">
        <v>9.251040575136825</v>
      </c>
      <c r="N6" s="126">
        <v>8.9780071856598482</v>
      </c>
      <c r="O6" s="123">
        <v>0.29361182591771673</v>
      </c>
      <c r="P6" s="125">
        <v>3.2565640859997962</v>
      </c>
      <c r="Q6" s="124">
        <v>0.17166798063623664</v>
      </c>
      <c r="R6" s="124">
        <v>1.3551916667861539</v>
      </c>
      <c r="S6" s="126">
        <v>0.98652588742075475</v>
      </c>
      <c r="T6" s="64">
        <f t="shared" si="1"/>
        <v>0</v>
      </c>
      <c r="U6" s="65">
        <f t="shared" si="2"/>
        <v>7.6915551194087879</v>
      </c>
      <c r="V6" s="66">
        <f t="shared" si="3"/>
        <v>1.0304113578693812</v>
      </c>
      <c r="W6" s="67">
        <f t="shared" si="4"/>
        <v>26.550940750313703</v>
      </c>
      <c r="X6" s="68">
        <f t="shared" si="5"/>
        <v>9.3407003519133516E-2</v>
      </c>
      <c r="Y6" s="69">
        <v>1.3312746825387876</v>
      </c>
      <c r="Z6" s="70" t="s">
        <v>39</v>
      </c>
      <c r="AA6" s="127">
        <v>74.29349845125796</v>
      </c>
      <c r="AB6" s="127">
        <v>0.21643991720078262</v>
      </c>
      <c r="AC6" s="127">
        <v>1.3508283447793623</v>
      </c>
      <c r="AD6" s="124">
        <v>0.10983354571830806</v>
      </c>
      <c r="AE6" s="72">
        <v>12.9157218419671</v>
      </c>
      <c r="AF6" s="73">
        <v>0.18264447554974506</v>
      </c>
      <c r="AG6" s="74">
        <v>10.08</v>
      </c>
      <c r="AH6" s="75">
        <v>34.515678666892242</v>
      </c>
      <c r="AI6" s="76">
        <v>0.23962197635770138</v>
      </c>
      <c r="AJ6" s="75">
        <v>26.244963529404171</v>
      </c>
      <c r="AK6" s="77">
        <v>-13.32924168743707</v>
      </c>
      <c r="AL6" s="128">
        <v>147</v>
      </c>
      <c r="AM6" s="22"/>
      <c r="AN6" s="22"/>
      <c r="AO6" s="22">
        <f t="shared" si="6"/>
        <v>7.9448778988790714E-3</v>
      </c>
      <c r="AP6" s="22">
        <f t="shared" si="6"/>
        <v>0</v>
      </c>
      <c r="AQ6" s="22">
        <f t="shared" si="6"/>
        <v>3.2545437379549076E-2</v>
      </c>
      <c r="AR6" s="22">
        <f t="shared" si="6"/>
        <v>3.1584897750782229E-2</v>
      </c>
      <c r="AS6" s="22">
        <f t="shared" si="6"/>
        <v>1.0329351835275875E-3</v>
      </c>
      <c r="AT6" s="22">
        <f t="shared" si="6"/>
        <v>1.1456689836410893E-2</v>
      </c>
      <c r="AU6" s="22">
        <f t="shared" si="6"/>
        <v>6.0393308930953966E-4</v>
      </c>
      <c r="AV6" s="22">
        <f t="shared" si="6"/>
        <v>4.7676048083945604E-3</v>
      </c>
      <c r="AW6" s="22">
        <f t="shared" si="6"/>
        <v>3.4706275722805797E-3</v>
      </c>
      <c r="AX6" s="22"/>
    </row>
    <row r="8" spans="1:50" ht="18.5" thickBot="1" x14ac:dyDescent="0.6"/>
    <row r="9" spans="1:50" x14ac:dyDescent="0.3">
      <c r="C9" s="6" t="s">
        <v>9</v>
      </c>
      <c r="D9" s="15"/>
      <c r="E9" s="15"/>
      <c r="F9" s="15"/>
      <c r="H9" s="137"/>
      <c r="I9" s="138" t="s">
        <v>43</v>
      </c>
      <c r="J9" s="139" t="s">
        <v>44</v>
      </c>
      <c r="K9" s="138" t="s">
        <v>45</v>
      </c>
      <c r="L9" s="139" t="s">
        <v>44</v>
      </c>
      <c r="M9" s="140" t="s">
        <v>46</v>
      </c>
    </row>
    <row r="10" spans="1:50" x14ac:dyDescent="0.3">
      <c r="B10" s="23"/>
      <c r="C10" s="39" t="s">
        <v>30</v>
      </c>
      <c r="D10" s="39" t="s">
        <v>31</v>
      </c>
      <c r="E10" s="40" t="s">
        <v>32</v>
      </c>
      <c r="F10" s="39" t="s">
        <v>31</v>
      </c>
      <c r="H10" s="129" t="s">
        <v>47</v>
      </c>
      <c r="I10" s="130">
        <v>64.588200020173304</v>
      </c>
      <c r="J10" s="130">
        <v>0.45448551105215135</v>
      </c>
      <c r="K10" s="131">
        <v>1.2062568859214098</v>
      </c>
      <c r="L10" s="130">
        <v>1.2361997466452039</v>
      </c>
      <c r="M10" s="132">
        <v>18.632999999999999</v>
      </c>
    </row>
    <row r="11" spans="1:50" x14ac:dyDescent="0.3">
      <c r="B11" s="47">
        <v>124</v>
      </c>
      <c r="C11" s="71">
        <v>53.500117717950239</v>
      </c>
      <c r="D11" s="71">
        <v>0.17619249282631302</v>
      </c>
      <c r="E11" s="71">
        <v>-1.4839086571454863</v>
      </c>
      <c r="F11" s="71">
        <v>0.19928260761615538</v>
      </c>
      <c r="H11" s="129" t="s">
        <v>48</v>
      </c>
      <c r="I11" s="130">
        <v>63.432000194137665</v>
      </c>
      <c r="J11" s="130">
        <v>0.57384789971620864</v>
      </c>
      <c r="K11" s="130">
        <v>3.3286272578471645</v>
      </c>
      <c r="L11" s="130">
        <v>1.2898485203736516</v>
      </c>
      <c r="M11" s="132">
        <v>14.984666666666667</v>
      </c>
    </row>
    <row r="12" spans="1:50" x14ac:dyDescent="0.3">
      <c r="B12" s="47">
        <v>129</v>
      </c>
      <c r="C12" s="87">
        <v>61.648807783050508</v>
      </c>
      <c r="D12" s="87">
        <v>0.34296867136363601</v>
      </c>
      <c r="E12" s="87">
        <v>1.8115792890866518</v>
      </c>
      <c r="F12" s="87">
        <v>0.1937445698630447</v>
      </c>
      <c r="H12" s="129" t="s">
        <v>49</v>
      </c>
      <c r="I12" s="130">
        <v>65.054307152092647</v>
      </c>
      <c r="J12" s="130">
        <v>0.68187635401266644</v>
      </c>
      <c r="K12" s="130">
        <v>2.785208635264393</v>
      </c>
      <c r="L12" s="130">
        <v>1.0876821495872973</v>
      </c>
      <c r="M12" s="132">
        <v>17.604333333333333</v>
      </c>
    </row>
    <row r="13" spans="1:50" x14ac:dyDescent="0.3">
      <c r="B13" s="89">
        <v>138</v>
      </c>
      <c r="C13" s="111">
        <v>61.005224616853639</v>
      </c>
      <c r="D13" s="111">
        <v>0.101373197653712</v>
      </c>
      <c r="E13" s="111">
        <v>1.040590338626987</v>
      </c>
      <c r="F13" s="111">
        <v>0.17021841754006997</v>
      </c>
      <c r="H13" s="129" t="s">
        <v>50</v>
      </c>
      <c r="I13" s="130">
        <v>71.606790913072786</v>
      </c>
      <c r="J13" s="130">
        <v>1.1261271027920574</v>
      </c>
      <c r="K13" s="130">
        <v>1.3456555760622066</v>
      </c>
      <c r="L13" s="130">
        <v>1.6027694710703693</v>
      </c>
      <c r="M13" s="132">
        <v>17.249333333333336</v>
      </c>
    </row>
    <row r="14" spans="1:50" x14ac:dyDescent="0.3">
      <c r="B14" s="47">
        <v>150</v>
      </c>
      <c r="C14" s="127">
        <v>72.308381434925067</v>
      </c>
      <c r="D14" s="127">
        <v>0.1377220436043764</v>
      </c>
      <c r="E14" s="127">
        <v>0.99471082195981764</v>
      </c>
      <c r="F14" s="124">
        <v>0.43323980918107646</v>
      </c>
      <c r="H14" s="129" t="s">
        <v>51</v>
      </c>
      <c r="I14" s="130">
        <v>66.556455723619123</v>
      </c>
      <c r="J14" s="130">
        <v>0.75641820008537664</v>
      </c>
      <c r="K14" s="130">
        <v>1.5512095767782987</v>
      </c>
      <c r="L14" s="130">
        <v>1.3293446673244604</v>
      </c>
      <c r="M14" s="132">
        <v>14.429666666666668</v>
      </c>
    </row>
    <row r="15" spans="1:50" x14ac:dyDescent="0.3">
      <c r="H15" s="129" t="s">
        <v>52</v>
      </c>
      <c r="I15" s="130">
        <v>392.18012182278216</v>
      </c>
      <c r="J15" s="130">
        <v>567.91429502140954</v>
      </c>
      <c r="K15" s="130">
        <v>185.46027275933707</v>
      </c>
      <c r="L15" s="130">
        <v>316.04714652775465</v>
      </c>
      <c r="M15" s="132">
        <v>11.775333333333334</v>
      </c>
    </row>
    <row r="16" spans="1:50" x14ac:dyDescent="0.3">
      <c r="H16" s="129" t="s">
        <v>53</v>
      </c>
      <c r="I16" s="130">
        <v>65.549144302405793</v>
      </c>
      <c r="J16" s="130">
        <v>0.49034920079953559</v>
      </c>
      <c r="K16" s="131">
        <v>3.0451044982387594</v>
      </c>
      <c r="L16" s="130">
        <v>1.4913178534598643</v>
      </c>
      <c r="M16" s="132">
        <v>16.185333333333332</v>
      </c>
    </row>
    <row r="17" spans="8:13" x14ac:dyDescent="0.3">
      <c r="H17" s="129" t="s">
        <v>54</v>
      </c>
      <c r="I17" s="130">
        <v>72.568586237729619</v>
      </c>
      <c r="J17" s="130">
        <v>0.68138376054428185</v>
      </c>
      <c r="K17" s="131">
        <v>1.478641251402337</v>
      </c>
      <c r="L17" s="130">
        <v>1.3891939904197641</v>
      </c>
      <c r="M17" s="132">
        <v>17.876999999999999</v>
      </c>
    </row>
    <row r="18" spans="8:13" ht="18.5" thickBot="1" x14ac:dyDescent="0.35">
      <c r="H18" s="133" t="s">
        <v>55</v>
      </c>
      <c r="I18" s="134">
        <v>24.157698221155528</v>
      </c>
      <c r="J18" s="134">
        <v>0.65870368293449011</v>
      </c>
      <c r="K18" s="134">
        <v>-0.83240676650091439</v>
      </c>
      <c r="L18" s="134">
        <v>1.3454271586898832</v>
      </c>
      <c r="M18" s="135">
        <v>18.526666666666667</v>
      </c>
    </row>
    <row r="19" spans="8:13" ht="18.5" thickBot="1" x14ac:dyDescent="0.6"/>
    <row r="20" spans="8:13" x14ac:dyDescent="0.3">
      <c r="H20" s="137"/>
      <c r="I20" s="138" t="s">
        <v>43</v>
      </c>
      <c r="J20" s="139" t="s">
        <v>44</v>
      </c>
      <c r="K20" s="138" t="s">
        <v>45</v>
      </c>
      <c r="L20" s="139" t="s">
        <v>44</v>
      </c>
      <c r="M20" s="140" t="s">
        <v>46</v>
      </c>
    </row>
    <row r="21" spans="8:13" x14ac:dyDescent="0.3">
      <c r="H21" s="129" t="s">
        <v>47</v>
      </c>
      <c r="I21" s="130">
        <v>64.588200020173304</v>
      </c>
      <c r="J21" s="130">
        <v>0.45448551105215135</v>
      </c>
      <c r="K21" s="131">
        <v>1.2062568859214098</v>
      </c>
      <c r="L21" s="130">
        <v>1.2361997466452039</v>
      </c>
      <c r="M21" s="132">
        <v>18.632999999999999</v>
      </c>
    </row>
    <row r="22" spans="8:13" x14ac:dyDescent="0.3">
      <c r="H22" s="129" t="s">
        <v>48</v>
      </c>
      <c r="I22" s="130">
        <v>63.432000194137665</v>
      </c>
      <c r="J22" s="130">
        <v>0.57384789971620864</v>
      </c>
      <c r="K22" s="130">
        <v>3.3286272578471645</v>
      </c>
      <c r="L22" s="130">
        <v>1.2898485203736516</v>
      </c>
      <c r="M22" s="132">
        <v>14.984666666666667</v>
      </c>
    </row>
    <row r="23" spans="8:13" x14ac:dyDescent="0.3">
      <c r="H23" s="129" t="s">
        <v>49</v>
      </c>
      <c r="I23" s="130">
        <v>65.054307152092647</v>
      </c>
      <c r="J23" s="130">
        <v>0.68187635401266644</v>
      </c>
      <c r="K23" s="130">
        <v>2.785208635264393</v>
      </c>
      <c r="L23" s="130">
        <v>1.0876821495872973</v>
      </c>
      <c r="M23" s="132">
        <v>17.604333333333333</v>
      </c>
    </row>
    <row r="24" spans="8:13" x14ac:dyDescent="0.3">
      <c r="H24" s="129" t="s">
        <v>50</v>
      </c>
      <c r="I24" s="130">
        <v>71.606790913072786</v>
      </c>
      <c r="J24" s="130">
        <v>1.1261271027920574</v>
      </c>
      <c r="K24" s="130">
        <v>1.3456555760622066</v>
      </c>
      <c r="L24" s="130">
        <v>1.6027694710703693</v>
      </c>
      <c r="M24" s="132">
        <v>17.249333333333336</v>
      </c>
    </row>
    <row r="25" spans="8:13" x14ac:dyDescent="0.3">
      <c r="H25" s="129" t="s">
        <v>51</v>
      </c>
      <c r="I25" s="130">
        <v>66.556455723619123</v>
      </c>
      <c r="J25" s="130">
        <v>0.75641820008537664</v>
      </c>
      <c r="K25" s="130">
        <v>1.5512095767782987</v>
      </c>
      <c r="L25" s="130">
        <v>1.3293446673244604</v>
      </c>
      <c r="M25" s="132">
        <v>14.429666666666668</v>
      </c>
    </row>
    <row r="26" spans="8:13" x14ac:dyDescent="0.3">
      <c r="H26" s="129" t="s">
        <v>52</v>
      </c>
      <c r="I26" s="130">
        <v>64.294751788376587</v>
      </c>
      <c r="J26" s="130">
        <v>0.63062170512783944</v>
      </c>
      <c r="K26" s="130">
        <v>2.9905938724331005</v>
      </c>
      <c r="L26" s="130">
        <v>0.70383104006731168</v>
      </c>
      <c r="M26" s="132">
        <v>17.002500000000001</v>
      </c>
    </row>
    <row r="27" spans="8:13" x14ac:dyDescent="0.3">
      <c r="H27" s="129" t="s">
        <v>53</v>
      </c>
      <c r="I27" s="130">
        <v>65.549144302405793</v>
      </c>
      <c r="J27" s="130">
        <v>0.49034920079953559</v>
      </c>
      <c r="K27" s="131">
        <v>3.0451044982387594</v>
      </c>
      <c r="L27" s="130">
        <v>1.4913178534598643</v>
      </c>
      <c r="M27" s="132">
        <v>16.185333333333332</v>
      </c>
    </row>
    <row r="28" spans="8:13" x14ac:dyDescent="0.3">
      <c r="H28" s="129" t="s">
        <v>54</v>
      </c>
      <c r="I28" s="130">
        <v>72.568586237729619</v>
      </c>
      <c r="J28" s="130">
        <v>0.68138376054428185</v>
      </c>
      <c r="K28" s="131">
        <v>1.478641251402337</v>
      </c>
      <c r="L28" s="130">
        <v>1.3891939904197641</v>
      </c>
      <c r="M28" s="132">
        <v>17.876999999999999</v>
      </c>
    </row>
    <row r="29" spans="8:13" ht="18.5" thickBot="1" x14ac:dyDescent="0.35">
      <c r="H29" s="133" t="s">
        <v>55</v>
      </c>
      <c r="I29" s="134">
        <v>24.157698221155528</v>
      </c>
      <c r="J29" s="134">
        <v>0.65870368293449011</v>
      </c>
      <c r="K29" s="134">
        <v>-0.83240676650091439</v>
      </c>
      <c r="L29" s="134">
        <v>1.3454271586898832</v>
      </c>
      <c r="M29" s="135">
        <v>18.526666666666667</v>
      </c>
    </row>
  </sheetData>
  <mergeCells count="1">
    <mergeCell ref="K1:N1"/>
  </mergeCells>
  <phoneticPr fontId="5"/>
  <conditionalFormatting sqref="F14">
    <cfRule type="cellIs" dxfId="1" priority="1" operator="greaterThan">
      <formula>0.51</formula>
    </cfRule>
  </conditionalFormatting>
  <conditionalFormatting sqref="AD6">
    <cfRule type="cellIs" dxfId="0" priority="2" operator="greaterThan">
      <formula>0.51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81D7-74E1-4521-873D-74A3CE09F761}">
  <dimension ref="B4:H18"/>
  <sheetViews>
    <sheetView zoomScale="78" workbookViewId="0">
      <selection activeCell="A2" sqref="A2"/>
    </sheetView>
  </sheetViews>
  <sheetFormatPr defaultRowHeight="18" x14ac:dyDescent="0.55000000000000004"/>
  <cols>
    <col min="7" max="7" width="10.08203125" customWidth="1"/>
    <col min="8" max="8" width="11.4140625" customWidth="1"/>
  </cols>
  <sheetData>
    <row r="4" spans="2:8" x14ac:dyDescent="0.55000000000000004">
      <c r="B4" t="s">
        <v>0</v>
      </c>
      <c r="C4" s="143" t="s">
        <v>30</v>
      </c>
      <c r="D4" s="144"/>
    </row>
    <row r="5" spans="2:8" x14ac:dyDescent="0.55000000000000004">
      <c r="C5">
        <v>2025</v>
      </c>
      <c r="D5">
        <v>2026</v>
      </c>
      <c r="E5" t="s">
        <v>58</v>
      </c>
      <c r="G5" t="s">
        <v>59</v>
      </c>
      <c r="H5" t="s">
        <v>60</v>
      </c>
    </row>
    <row r="6" spans="2:8" x14ac:dyDescent="0.3">
      <c r="B6" s="47" t="s">
        <v>56</v>
      </c>
      <c r="C6" s="71">
        <v>53.500117717950239</v>
      </c>
      <c r="D6" s="130">
        <v>64.588200020173304</v>
      </c>
      <c r="E6" s="130">
        <v>66.556455723619123</v>
      </c>
      <c r="F6" s="136"/>
      <c r="G6" s="141">
        <f>D6-C6</f>
        <v>11.088082302223064</v>
      </c>
      <c r="H6" s="142">
        <f>E6-C6</f>
        <v>13.056338005668884</v>
      </c>
    </row>
    <row r="7" spans="2:8" x14ac:dyDescent="0.3">
      <c r="B7" s="47" t="s">
        <v>62</v>
      </c>
      <c r="C7" s="87">
        <v>61.648807783050508</v>
      </c>
      <c r="D7" s="130">
        <v>63.432000194137665</v>
      </c>
      <c r="E7" s="130">
        <v>64.294751788376587</v>
      </c>
      <c r="F7" s="136"/>
      <c r="G7" s="141">
        <f t="shared" ref="G7:G9" si="0">D7-C7</f>
        <v>1.7831924110871569</v>
      </c>
      <c r="H7" s="142">
        <f t="shared" ref="H7:H9" si="1">E7-C7</f>
        <v>2.6459440053260792</v>
      </c>
    </row>
    <row r="8" spans="2:8" x14ac:dyDescent="0.3">
      <c r="B8" s="89" t="s">
        <v>57</v>
      </c>
      <c r="C8" s="111">
        <v>61.005224616853639</v>
      </c>
      <c r="D8" s="130">
        <v>65.054307152092647</v>
      </c>
      <c r="E8" s="130">
        <v>65.549144302405793</v>
      </c>
      <c r="F8" s="136"/>
      <c r="G8" s="141">
        <f t="shared" si="0"/>
        <v>4.049082535239009</v>
      </c>
      <c r="H8" s="142">
        <f t="shared" si="1"/>
        <v>4.5439196855521544</v>
      </c>
    </row>
    <row r="9" spans="2:8" x14ac:dyDescent="0.3">
      <c r="B9" s="47" t="s">
        <v>61</v>
      </c>
      <c r="C9" s="127">
        <v>72.308381434925067</v>
      </c>
      <c r="D9" s="130">
        <v>71.606790913072786</v>
      </c>
      <c r="E9" s="130">
        <v>72.568586237729619</v>
      </c>
      <c r="F9" s="136"/>
      <c r="G9" s="141">
        <f t="shared" si="0"/>
        <v>-0.70159052185228177</v>
      </c>
      <c r="H9" s="142">
        <f t="shared" si="1"/>
        <v>0.2602048028045516</v>
      </c>
    </row>
    <row r="12" spans="2:8" x14ac:dyDescent="0.55000000000000004">
      <c r="E12" s="136"/>
    </row>
    <row r="13" spans="2:8" x14ac:dyDescent="0.55000000000000004">
      <c r="C13" s="145" t="s">
        <v>32</v>
      </c>
      <c r="D13" s="143"/>
      <c r="E13" s="136"/>
    </row>
    <row r="14" spans="2:8" x14ac:dyDescent="0.55000000000000004">
      <c r="C14">
        <v>2025</v>
      </c>
      <c r="D14">
        <v>2026</v>
      </c>
      <c r="E14" t="s">
        <v>58</v>
      </c>
      <c r="G14" t="s">
        <v>59</v>
      </c>
      <c r="H14" t="s">
        <v>60</v>
      </c>
    </row>
    <row r="15" spans="2:8" x14ac:dyDescent="0.3">
      <c r="B15" s="47" t="s">
        <v>56</v>
      </c>
      <c r="C15" s="71">
        <v>-1.4839086571454863</v>
      </c>
      <c r="D15" s="131">
        <v>1.2062568859214098</v>
      </c>
      <c r="E15" s="130">
        <v>1.5512095767782987</v>
      </c>
      <c r="G15" s="141">
        <f>D15-C15</f>
        <v>2.6901655430668958</v>
      </c>
      <c r="H15" s="142">
        <f>E15-C15</f>
        <v>3.035118233923785</v>
      </c>
    </row>
    <row r="16" spans="2:8" x14ac:dyDescent="0.3">
      <c r="B16" s="47" t="s">
        <v>62</v>
      </c>
      <c r="C16" s="87">
        <v>1.8115792890866518</v>
      </c>
      <c r="D16" s="130">
        <v>3.3286272578471645</v>
      </c>
      <c r="E16" s="130">
        <v>2.9905938724331005</v>
      </c>
      <c r="G16" s="141">
        <f t="shared" ref="G16:G18" si="2">D16-C16</f>
        <v>1.5170479687605127</v>
      </c>
      <c r="H16" s="142">
        <f t="shared" ref="H16:H18" si="3">E16-C16</f>
        <v>1.1790145833464487</v>
      </c>
    </row>
    <row r="17" spans="2:8" x14ac:dyDescent="0.3">
      <c r="B17" s="89" t="s">
        <v>57</v>
      </c>
      <c r="C17" s="111">
        <v>1.040590338626987</v>
      </c>
      <c r="D17" s="130">
        <v>2.785208635264393</v>
      </c>
      <c r="E17" s="131">
        <v>3.0451044982387594</v>
      </c>
      <c r="G17" s="141">
        <f t="shared" si="2"/>
        <v>1.744618296637406</v>
      </c>
      <c r="H17" s="142">
        <f t="shared" si="3"/>
        <v>2.0045141596117722</v>
      </c>
    </row>
    <row r="18" spans="2:8" x14ac:dyDescent="0.3">
      <c r="B18" s="47" t="s">
        <v>61</v>
      </c>
      <c r="C18" s="127">
        <v>0.99471082195981764</v>
      </c>
      <c r="D18" s="130">
        <v>1.3456555760622066</v>
      </c>
      <c r="E18" s="131">
        <v>1.478641251402337</v>
      </c>
      <c r="G18" s="141">
        <f t="shared" si="2"/>
        <v>0.35094475410238901</v>
      </c>
      <c r="H18" s="142">
        <f t="shared" si="3"/>
        <v>0.48393042944251941</v>
      </c>
    </row>
  </sheetData>
  <mergeCells count="2">
    <mergeCell ref="C4:D4"/>
    <mergeCell ref="C13:D13"/>
  </mergeCells>
  <phoneticPr fontId="5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Chise Yoshida</dc:creator>
  <cp:lastModifiedBy>Chise Yoshida</cp:lastModifiedBy>
  <cp:lastPrinted>2026-06-15T03:26:35Z</cp:lastPrinted>
  <dcterms:created xsi:type="dcterms:W3CDTF">2026-06-15T02:34:46Z</dcterms:created>
  <dcterms:modified xsi:type="dcterms:W3CDTF">2026-06-15T03:47:32Z</dcterms:modified>
</cp:coreProperties>
</file>
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kochise\Desktop\研究室関連\2026年版\同位体\"/>
    </mc:Choice>
  </mc:AlternateContent>
  <xr:revisionPtr revIDLastSave="0" documentId="13_ncr:1_{E66041DD-F8B5-4476-9D06-87ABBAA9CA2B}" xr6:coauthVersionLast="47" xr6:coauthVersionMax="47" xr10:uidLastSave="{00000000-0000-0000-0000-000000000000}"/>
  <bookViews>
    <workbookView xWindow="-110" yWindow="-110" windowWidth="19420" windowHeight="11500" activeTab="1" xr2:uid="{09FF6419-3BDB-46FF-AE68-460D56A121DA}"/>
  </bookViews>
  <sheets>
    <sheet name="N2O2.wke" sheetId="1" r:id="rId1"/>
    <sheet name="20260528" sheetId="2" r:id="rId2"/>
  </sheets>
  <externalReferences>
    <externalReference r:id="rId3"/>
  </externalReferences>
  <definedNames>
    <definedName name="_xlnm._FilterDatabase" localSheetId="0" hidden="1">'N2O2.wke'!$A$1:$K$275</definedName>
    <definedName name="bulkexport.wke" localSheetId="1">'20260528'!$A$1:$H$33</definedName>
    <definedName name="bulkexport.wke">#REF!</definedName>
    <definedName name="N2O2.wke" localSheetId="1">#REF!</definedName>
    <definedName name="N2O2.wke">'N2O2.wke'!$A$1:$K$275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2" l="1"/>
  <c r="F77" i="2"/>
  <c r="E77" i="2"/>
  <c r="D77" i="2"/>
  <c r="E78" i="2"/>
  <c r="D78" i="2"/>
  <c r="C77" i="2"/>
  <c r="F79" i="2"/>
  <c r="E66" i="2"/>
  <c r="I80" i="2"/>
  <c r="I79" i="2"/>
  <c r="I78" i="2"/>
  <c r="I77" i="2"/>
  <c r="I76" i="2"/>
  <c r="I75" i="2"/>
  <c r="I74" i="2"/>
  <c r="I73" i="2"/>
  <c r="I72" i="2"/>
  <c r="I69" i="2"/>
  <c r="E69" i="2"/>
  <c r="B69" i="2"/>
  <c r="A69" i="2"/>
  <c r="I68" i="2"/>
  <c r="E68" i="2"/>
  <c r="B68" i="2"/>
  <c r="A68" i="2"/>
  <c r="I67" i="2"/>
  <c r="E67" i="2"/>
  <c r="B67" i="2"/>
  <c r="A67" i="2"/>
  <c r="I66" i="2"/>
  <c r="B66" i="2"/>
  <c r="A66" i="2"/>
  <c r="I65" i="2"/>
  <c r="E65" i="2"/>
  <c r="B65" i="2"/>
  <c r="A65" i="2"/>
  <c r="I64" i="2"/>
  <c r="E64" i="2"/>
  <c r="B64" i="2"/>
  <c r="A64" i="2"/>
  <c r="I63" i="2"/>
  <c r="E63" i="2"/>
  <c r="B63" i="2"/>
  <c r="A63" i="2"/>
  <c r="I62" i="2"/>
  <c r="E62" i="2"/>
  <c r="B62" i="2"/>
  <c r="A62" i="2"/>
  <c r="I61" i="2"/>
  <c r="E61" i="2"/>
  <c r="B61" i="2"/>
  <c r="A61" i="2"/>
  <c r="Q60" i="2"/>
  <c r="I60" i="2"/>
  <c r="E60" i="2"/>
  <c r="B60" i="2"/>
  <c r="A60" i="2"/>
  <c r="I59" i="2"/>
  <c r="E59" i="2"/>
  <c r="B59" i="2"/>
  <c r="A59" i="2"/>
  <c r="I58" i="2"/>
  <c r="E58" i="2"/>
  <c r="B58" i="2"/>
  <c r="A58" i="2"/>
  <c r="I57" i="2"/>
  <c r="E57" i="2"/>
  <c r="B57" i="2"/>
  <c r="A57" i="2"/>
  <c r="I56" i="2"/>
  <c r="E56" i="2"/>
  <c r="B56" i="2"/>
  <c r="A56" i="2"/>
  <c r="I55" i="2"/>
  <c r="E55" i="2"/>
  <c r="B55" i="2"/>
  <c r="A55" i="2"/>
  <c r="I54" i="2"/>
  <c r="E54" i="2"/>
  <c r="B54" i="2"/>
  <c r="A54" i="2"/>
  <c r="I53" i="2"/>
  <c r="E53" i="2"/>
  <c r="B53" i="2"/>
  <c r="A53" i="2"/>
  <c r="I52" i="2"/>
  <c r="E52" i="2"/>
  <c r="B52" i="2"/>
  <c r="A52" i="2"/>
  <c r="I51" i="2"/>
  <c r="E51" i="2"/>
  <c r="B51" i="2"/>
  <c r="A51" i="2"/>
  <c r="I50" i="2"/>
  <c r="E50" i="2"/>
  <c r="B50" i="2"/>
  <c r="A50" i="2"/>
  <c r="I49" i="2"/>
  <c r="E49" i="2"/>
  <c r="B49" i="2"/>
  <c r="A49" i="2"/>
  <c r="I48" i="2"/>
  <c r="E48" i="2"/>
  <c r="B48" i="2"/>
  <c r="A48" i="2"/>
  <c r="I47" i="2"/>
  <c r="E47" i="2"/>
  <c r="B47" i="2"/>
  <c r="A47" i="2"/>
  <c r="I46" i="2"/>
  <c r="E46" i="2"/>
  <c r="B46" i="2"/>
  <c r="A46" i="2"/>
  <c r="I45" i="2"/>
  <c r="E45" i="2"/>
  <c r="B45" i="2"/>
  <c r="A45" i="2"/>
  <c r="I44" i="2"/>
  <c r="E44" i="2"/>
  <c r="B44" i="2"/>
  <c r="A44" i="2"/>
  <c r="I43" i="2"/>
  <c r="E43" i="2"/>
  <c r="B43" i="2"/>
  <c r="A43" i="2"/>
  <c r="Y17" i="2"/>
  <c r="T17" i="2"/>
  <c r="S17" i="2"/>
  <c r="R17" i="2"/>
  <c r="P17" i="2"/>
  <c r="Y16" i="2"/>
  <c r="T16" i="2"/>
  <c r="S16" i="2"/>
  <c r="R16" i="2"/>
  <c r="P16" i="2"/>
  <c r="Y15" i="2"/>
  <c r="T15" i="2"/>
  <c r="S15" i="2"/>
  <c r="R15" i="2"/>
  <c r="P15" i="2"/>
  <c r="Y11" i="2"/>
  <c r="P11" i="2"/>
  <c r="Y10" i="2"/>
  <c r="T10" i="2"/>
  <c r="S10" i="2"/>
  <c r="R10" i="2"/>
  <c r="P10" i="2"/>
  <c r="Y9" i="2"/>
  <c r="T9" i="2"/>
  <c r="S9" i="2"/>
  <c r="R9" i="2"/>
  <c r="P9" i="2"/>
  <c r="Y5" i="2"/>
  <c r="T5" i="2"/>
  <c r="S5" i="2"/>
  <c r="R5" i="2"/>
  <c r="P5" i="2"/>
  <c r="Y4" i="2"/>
  <c r="T4" i="2"/>
  <c r="S4" i="2"/>
  <c r="R4" i="2"/>
  <c r="P4" i="2"/>
  <c r="Y3" i="2"/>
  <c r="X3" i="2"/>
  <c r="W3" i="2"/>
  <c r="P3" i="2"/>
  <c r="T22" i="2" l="1"/>
  <c r="AG31" i="2"/>
  <c r="AG25" i="2"/>
  <c r="AG33" i="2"/>
  <c r="R22" i="2"/>
  <c r="S21" i="2"/>
  <c r="S22" i="2"/>
  <c r="AG32" i="2"/>
  <c r="AG26" i="2"/>
  <c r="R21" i="2"/>
  <c r="AG27" i="2"/>
  <c r="B79" i="2"/>
  <c r="B75" i="2"/>
  <c r="B74" i="2"/>
  <c r="B72" i="2"/>
  <c r="B78" i="2"/>
  <c r="B76" i="2"/>
  <c r="B77" i="2"/>
  <c r="B73" i="2"/>
  <c r="G80" i="2"/>
  <c r="B80" i="2"/>
  <c r="G79" i="2"/>
  <c r="G78" i="2"/>
  <c r="G76" i="2"/>
  <c r="G75" i="2"/>
  <c r="G74" i="2"/>
  <c r="G72" i="2"/>
  <c r="X16" i="2"/>
  <c r="W16" i="2"/>
  <c r="X15" i="2"/>
  <c r="W15" i="2"/>
  <c r="X10" i="2"/>
  <c r="W10" i="2"/>
  <c r="X9" i="2"/>
  <c r="W9" i="2"/>
  <c r="K9" i="2"/>
  <c r="K8" i="2"/>
  <c r="K7" i="2"/>
  <c r="K6" i="2"/>
  <c r="K5" i="2"/>
  <c r="X4" i="2"/>
  <c r="W4" i="2"/>
  <c r="K4" i="2"/>
  <c r="K3" i="2"/>
  <c r="K2" i="2"/>
  <c r="Q61" i="2"/>
  <c r="G73" i="2"/>
  <c r="R64" i="2"/>
  <c r="J5" i="2" l="1"/>
  <c r="J4" i="2"/>
  <c r="J3" i="2"/>
  <c r="J2" i="2"/>
  <c r="J21" i="2"/>
  <c r="J6" i="2"/>
  <c r="J10" i="2"/>
  <c r="J7" i="2"/>
  <c r="J8" i="2"/>
  <c r="J9" i="2"/>
  <c r="J11" i="2"/>
  <c r="K10" i="2"/>
  <c r="J36" i="2"/>
  <c r="J33" i="2"/>
  <c r="J32" i="2"/>
  <c r="K31" i="2"/>
  <c r="K30" i="2"/>
  <c r="K29" i="2"/>
  <c r="K28" i="2"/>
  <c r="J28" i="2"/>
  <c r="K27" i="2"/>
  <c r="J27" i="2"/>
  <c r="J26" i="2"/>
  <c r="J25" i="2"/>
  <c r="K24" i="2"/>
  <c r="J23" i="2"/>
  <c r="K21" i="2"/>
  <c r="J19" i="2"/>
  <c r="J18" i="2"/>
  <c r="J16" i="2"/>
  <c r="K15" i="2"/>
  <c r="J15" i="2"/>
  <c r="K14" i="2"/>
  <c r="J14" i="2"/>
  <c r="K13" i="2"/>
  <c r="J13" i="2"/>
  <c r="K12" i="2"/>
  <c r="J12" i="2"/>
  <c r="K11" i="2"/>
  <c r="J35" i="2"/>
  <c r="K26" i="2"/>
  <c r="J24" i="2"/>
  <c r="K22" i="2"/>
  <c r="K32" i="2"/>
  <c r="J31" i="2"/>
  <c r="J30" i="2"/>
  <c r="J29" i="2"/>
  <c r="AG28" i="2"/>
  <c r="K18" i="2"/>
  <c r="K17" i="2"/>
  <c r="J34" i="2"/>
  <c r="K25" i="2"/>
  <c r="K23" i="2"/>
  <c r="K19" i="2"/>
  <c r="J17" i="2"/>
  <c r="K16" i="2"/>
  <c r="J37" i="2"/>
  <c r="J38" i="2"/>
  <c r="K36" i="2"/>
  <c r="AG34" i="2"/>
  <c r="J22" i="2"/>
  <c r="J20" i="2"/>
  <c r="K20" i="2"/>
  <c r="K35" i="2"/>
  <c r="K33" i="2"/>
  <c r="K37" i="2"/>
  <c r="K38" i="2"/>
  <c r="K34" i="2"/>
  <c r="M19" i="2"/>
  <c r="M20" i="2"/>
  <c r="M21" i="2"/>
  <c r="M2" i="2"/>
  <c r="M3" i="2"/>
  <c r="M4" i="2"/>
  <c r="AB9" i="2" s="1"/>
  <c r="M5" i="2"/>
  <c r="AB15" i="2" s="1"/>
  <c r="M6" i="2"/>
  <c r="M7" i="2"/>
  <c r="M8" i="2"/>
  <c r="M9" i="2"/>
  <c r="M10" i="2"/>
  <c r="M11" i="2"/>
  <c r="M12" i="2"/>
  <c r="M13" i="2"/>
  <c r="M14" i="2"/>
  <c r="M15" i="2"/>
  <c r="AB4" i="2" s="1"/>
  <c r="M16" i="2"/>
  <c r="AB10" i="2" s="1"/>
  <c r="M17" i="2"/>
  <c r="AB16" i="2" s="1"/>
  <c r="M18" i="2"/>
  <c r="M22" i="2"/>
  <c r="M23" i="2"/>
  <c r="M24" i="2"/>
  <c r="M25" i="2"/>
  <c r="M26" i="2"/>
  <c r="M27" i="2"/>
  <c r="AB5" i="2" s="1"/>
  <c r="M28" i="2"/>
  <c r="M29" i="2"/>
  <c r="AB17" i="2" s="1"/>
  <c r="M30" i="2"/>
  <c r="M31" i="2"/>
  <c r="M32" i="2"/>
  <c r="M33" i="2"/>
  <c r="M34" i="2"/>
  <c r="L29" i="2"/>
  <c r="AA17" i="2" s="1"/>
  <c r="L30" i="2"/>
  <c r="L31" i="2"/>
  <c r="L32" i="2"/>
  <c r="L33" i="2"/>
  <c r="L34" i="2"/>
  <c r="L35" i="2"/>
  <c r="L36" i="2"/>
  <c r="L37" i="2"/>
  <c r="L38" i="2"/>
  <c r="L22" i="2"/>
  <c r="L21" i="2"/>
  <c r="L2" i="2"/>
  <c r="L3" i="2"/>
  <c r="L4" i="2"/>
  <c r="AA9" i="2" s="1"/>
  <c r="L5" i="2"/>
  <c r="AA15" i="2" s="1"/>
  <c r="L6" i="2"/>
  <c r="L7" i="2"/>
  <c r="L8" i="2"/>
  <c r="L9" i="2"/>
  <c r="L10" i="2"/>
  <c r="L11" i="2"/>
  <c r="L12" i="2"/>
  <c r="L13" i="2"/>
  <c r="L14" i="2"/>
  <c r="L15" i="2"/>
  <c r="AA4" i="2" s="1"/>
  <c r="L16" i="2"/>
  <c r="AA10" i="2" s="1"/>
  <c r="L17" i="2"/>
  <c r="AA16" i="2" s="1"/>
  <c r="L18" i="2"/>
  <c r="L19" i="2"/>
  <c r="L20" i="2"/>
  <c r="L23" i="2"/>
  <c r="L24" i="2"/>
  <c r="L25" i="2"/>
  <c r="L26" i="2"/>
  <c r="L27" i="2"/>
  <c r="AA5" i="2" s="1"/>
  <c r="L28" i="2"/>
  <c r="R65" i="2"/>
  <c r="M35" i="2" l="1"/>
  <c r="M37" i="2"/>
  <c r="M36" i="2"/>
  <c r="M38" i="2"/>
  <c r="AG9" i="2"/>
  <c r="AG10" i="2"/>
  <c r="AG15" i="2"/>
  <c r="AG16" i="2"/>
  <c r="AG4" i="2"/>
  <c r="AB21" i="2"/>
  <c r="AB22" i="2"/>
  <c r="Q73" i="2" s="1"/>
  <c r="AG3" i="2"/>
  <c r="AF9" i="2"/>
  <c r="AF10" i="2"/>
  <c r="AF15" i="2"/>
  <c r="AF16" i="2"/>
  <c r="AF4" i="2"/>
  <c r="AA22" i="2"/>
  <c r="P73" i="2" s="1"/>
  <c r="AA21" i="2"/>
  <c r="AF3" i="2"/>
  <c r="G66" i="2"/>
  <c r="H66" i="2" s="1"/>
  <c r="J66" i="2" s="1"/>
  <c r="G44" i="2"/>
  <c r="H44" i="2" s="1"/>
  <c r="G46" i="2"/>
  <c r="H46" i="2" s="1"/>
  <c r="G49" i="2"/>
  <c r="H49" i="2" s="1"/>
  <c r="G53" i="2"/>
  <c r="H53" i="2" s="1"/>
  <c r="J53" i="2" s="1"/>
  <c r="G67" i="2"/>
  <c r="H67" i="2" s="1"/>
  <c r="J67" i="2" s="1"/>
  <c r="G56" i="2"/>
  <c r="H56" i="2" s="1"/>
  <c r="J56" i="2" s="1"/>
  <c r="G62" i="2"/>
  <c r="H62" i="2" s="1"/>
  <c r="J62" i="2" s="1"/>
  <c r="G55" i="2"/>
  <c r="H55" i="2" s="1"/>
  <c r="J55" i="2" s="1"/>
  <c r="G48" i="2"/>
  <c r="H48" i="2" s="1"/>
  <c r="G61" i="2"/>
  <c r="H61" i="2" s="1"/>
  <c r="J61" i="2" s="1"/>
  <c r="G68" i="2"/>
  <c r="H68" i="2" s="1"/>
  <c r="J68" i="2" s="1"/>
  <c r="G57" i="2"/>
  <c r="H57" i="2" s="1"/>
  <c r="J57" i="2" s="1"/>
  <c r="G58" i="2"/>
  <c r="H58" i="2" s="1"/>
  <c r="J58" i="2" s="1"/>
  <c r="G47" i="2"/>
  <c r="H47" i="2" s="1"/>
  <c r="G51" i="2"/>
  <c r="H51" i="2" s="1"/>
  <c r="G65" i="2"/>
  <c r="H65" i="2" s="1"/>
  <c r="J65" i="2" s="1"/>
  <c r="G69" i="2"/>
  <c r="H69" i="2" s="1"/>
  <c r="J69" i="2" s="1"/>
  <c r="G63" i="2"/>
  <c r="H63" i="2" s="1"/>
  <c r="J63" i="2" s="1"/>
  <c r="G59" i="2"/>
  <c r="H59" i="2" s="1"/>
  <c r="J59" i="2" s="1"/>
  <c r="G43" i="2"/>
  <c r="H43" i="2" s="1"/>
  <c r="G45" i="2"/>
  <c r="H45" i="2" s="1"/>
  <c r="G50" i="2"/>
  <c r="H50" i="2" s="1"/>
  <c r="G52" i="2"/>
  <c r="H52" i="2" s="1"/>
  <c r="J52" i="2" s="1"/>
  <c r="G64" i="2"/>
  <c r="H64" i="2" s="1"/>
  <c r="J64" i="2" s="1"/>
  <c r="G54" i="2"/>
  <c r="H54" i="2" s="1"/>
  <c r="J54" i="2" s="1"/>
  <c r="G60" i="2"/>
  <c r="H60" i="2" s="1"/>
  <c r="J60" i="2" s="1"/>
  <c r="O23" i="2" l="1"/>
  <c r="D57" i="2" s="1"/>
  <c r="O24" i="2"/>
  <c r="D58" i="2" s="1"/>
  <c r="O25" i="2"/>
  <c r="D59" i="2" s="1"/>
  <c r="O26" i="2"/>
  <c r="D60" i="2" s="1"/>
  <c r="O27" i="2"/>
  <c r="O28" i="2"/>
  <c r="O29" i="2"/>
  <c r="O30" i="2"/>
  <c r="D61" i="2" s="1"/>
  <c r="O31" i="2"/>
  <c r="D62" i="2" s="1"/>
  <c r="O32" i="2"/>
  <c r="D63" i="2" s="1"/>
  <c r="O33" i="2"/>
  <c r="D64" i="2" s="1"/>
  <c r="O34" i="2"/>
  <c r="D65" i="2" s="1"/>
  <c r="O35" i="2"/>
  <c r="D66" i="2" s="1"/>
  <c r="O36" i="2"/>
  <c r="D67" i="2" s="1"/>
  <c r="O37" i="2"/>
  <c r="D68" i="2" s="1"/>
  <c r="O38" i="2"/>
  <c r="D69" i="2" s="1"/>
  <c r="O19" i="2"/>
  <c r="D53" i="2" s="1"/>
  <c r="O22" i="2"/>
  <c r="D56" i="2" s="1"/>
  <c r="O73" i="2"/>
  <c r="O20" i="2"/>
  <c r="D54" i="2" s="1"/>
  <c r="O21" i="2"/>
  <c r="D55" i="2" s="1"/>
  <c r="O2" i="2"/>
  <c r="O3" i="2"/>
  <c r="O4" i="2"/>
  <c r="O5" i="2"/>
  <c r="O6" i="2"/>
  <c r="D43" i="2" s="1"/>
  <c r="O7" i="2"/>
  <c r="D44" i="2" s="1"/>
  <c r="O8" i="2"/>
  <c r="D45" i="2" s="1"/>
  <c r="O9" i="2"/>
  <c r="D46" i="2" s="1"/>
  <c r="O10" i="2"/>
  <c r="D47" i="2" s="1"/>
  <c r="O11" i="2"/>
  <c r="D48" i="2" s="1"/>
  <c r="O12" i="2"/>
  <c r="D49" i="2" s="1"/>
  <c r="O13" i="2"/>
  <c r="D50" i="2" s="1"/>
  <c r="O14" i="2"/>
  <c r="D51" i="2" s="1"/>
  <c r="O15" i="2"/>
  <c r="O16" i="2"/>
  <c r="O17" i="2"/>
  <c r="O18" i="2"/>
  <c r="D52" i="2" s="1"/>
  <c r="N22" i="2"/>
  <c r="C56" i="2" s="1"/>
  <c r="N73" i="2"/>
  <c r="N21" i="2"/>
  <c r="C55" i="2" s="1"/>
  <c r="N2" i="2"/>
  <c r="N3" i="2"/>
  <c r="N4" i="2"/>
  <c r="N5" i="2"/>
  <c r="N6" i="2"/>
  <c r="C43" i="2" s="1"/>
  <c r="N7" i="2"/>
  <c r="C44" i="2" s="1"/>
  <c r="N8" i="2"/>
  <c r="C45" i="2" s="1"/>
  <c r="N9" i="2"/>
  <c r="C46" i="2" s="1"/>
  <c r="N10" i="2"/>
  <c r="C47" i="2" s="1"/>
  <c r="N11" i="2"/>
  <c r="C48" i="2" s="1"/>
  <c r="N12" i="2"/>
  <c r="C49" i="2" s="1"/>
  <c r="N13" i="2"/>
  <c r="C50" i="2" s="1"/>
  <c r="N14" i="2"/>
  <c r="C51" i="2" s="1"/>
  <c r="N15" i="2"/>
  <c r="N16" i="2"/>
  <c r="N17" i="2"/>
  <c r="N18" i="2"/>
  <c r="C52" i="2" s="1"/>
  <c r="N19" i="2"/>
  <c r="C53" i="2" s="1"/>
  <c r="N20" i="2"/>
  <c r="C54" i="2" s="1"/>
  <c r="N23" i="2"/>
  <c r="C57" i="2" s="1"/>
  <c r="N24" i="2"/>
  <c r="C58" i="2" s="1"/>
  <c r="N25" i="2"/>
  <c r="C59" i="2" s="1"/>
  <c r="N26" i="2"/>
  <c r="C60" i="2" s="1"/>
  <c r="N27" i="2"/>
  <c r="N28" i="2"/>
  <c r="N29" i="2"/>
  <c r="N30" i="2"/>
  <c r="C61" i="2" s="1"/>
  <c r="N31" i="2"/>
  <c r="C62" i="2" s="1"/>
  <c r="N32" i="2"/>
  <c r="C63" i="2" s="1"/>
  <c r="N33" i="2"/>
  <c r="C64" i="2" s="1"/>
  <c r="N34" i="2"/>
  <c r="C65" i="2" s="1"/>
  <c r="N35" i="2"/>
  <c r="C66" i="2" s="1"/>
  <c r="N36" i="2"/>
  <c r="C67" i="2" s="1"/>
  <c r="N37" i="2"/>
  <c r="C68" i="2" s="1"/>
  <c r="N38" i="2"/>
  <c r="C69" i="2" s="1"/>
  <c r="H73" i="2"/>
  <c r="J73" i="2" s="1"/>
  <c r="J44" i="2"/>
  <c r="H75" i="2"/>
  <c r="J75" i="2" s="1"/>
  <c r="J46" i="2"/>
  <c r="H78" i="2"/>
  <c r="J78" i="2" s="1"/>
  <c r="J49" i="2"/>
  <c r="H77" i="2"/>
  <c r="J77" i="2" s="1"/>
  <c r="J48" i="2"/>
  <c r="H76" i="2"/>
  <c r="J76" i="2" s="1"/>
  <c r="J47" i="2"/>
  <c r="H80" i="2"/>
  <c r="J80" i="2" s="1"/>
  <c r="J51" i="2"/>
  <c r="H72" i="2"/>
  <c r="J72" i="2" s="1"/>
  <c r="J43" i="2"/>
  <c r="H74" i="2"/>
  <c r="J74" i="2" s="1"/>
  <c r="J45" i="2"/>
  <c r="H79" i="2"/>
  <c r="J79" i="2" s="1"/>
  <c r="J50" i="2"/>
  <c r="F72" i="2" l="1"/>
  <c r="E72" i="2"/>
  <c r="E73" i="2"/>
  <c r="F73" i="2"/>
  <c r="E74" i="2"/>
  <c r="F74" i="2"/>
  <c r="E75" i="2"/>
  <c r="F75" i="2"/>
  <c r="E76" i="2"/>
  <c r="F76" i="2"/>
  <c r="F78" i="2"/>
  <c r="E79" i="2"/>
  <c r="E80" i="2"/>
  <c r="F80" i="2"/>
  <c r="D72" i="2"/>
  <c r="C72" i="2"/>
  <c r="C73" i="2"/>
  <c r="D73" i="2"/>
  <c r="D74" i="2"/>
  <c r="C74" i="2"/>
  <c r="C75" i="2"/>
  <c r="D75" i="2"/>
  <c r="C76" i="2"/>
  <c r="D76" i="2"/>
  <c r="C78" i="2"/>
  <c r="C79" i="2"/>
  <c r="D79" i="2"/>
  <c r="C80" i="2"/>
  <c r="D80" i="2"/>
</calcChain>
</file>

<file path=xl/sharedStrings.xml><?xml version="1.0" encoding="utf-8"?>
<sst xmlns="http://schemas.openxmlformats.org/spreadsheetml/2006/main" count="1322" uniqueCount="250">
  <si>
    <t>Row</t>
  </si>
  <si>
    <t>Peak Nr</t>
  </si>
  <si>
    <t>Identifier 1</t>
  </si>
  <si>
    <t>d 18O/16O</t>
  </si>
  <si>
    <t>d 15N/14N</t>
  </si>
  <si>
    <t>Area 44</t>
  </si>
  <si>
    <t>Rt</t>
  </si>
  <si>
    <t>BGD 44</t>
  </si>
  <si>
    <t>BGD 45</t>
  </si>
  <si>
    <t>BGD 46</t>
  </si>
  <si>
    <t>Width</t>
  </si>
  <si>
    <t>kara</t>
  </si>
  <si>
    <t>0.9</t>
  </si>
  <si>
    <t>1.2</t>
  </si>
  <si>
    <t>2.8</t>
  </si>
  <si>
    <t>2.9</t>
  </si>
  <si>
    <t>1.3</t>
  </si>
  <si>
    <t>3.0</t>
  </si>
  <si>
    <t>2.7</t>
  </si>
  <si>
    <t>2.5</t>
  </si>
  <si>
    <t>3.1</t>
  </si>
  <si>
    <t>5.2</t>
  </si>
  <si>
    <t>1.0</t>
  </si>
  <si>
    <t>3.2</t>
  </si>
  <si>
    <t>3.3</t>
  </si>
  <si>
    <t>USGS32, 50nmolN_#5-1,7h_260528</t>
  </si>
  <si>
    <t>5.0</t>
  </si>
  <si>
    <t>2.4</t>
  </si>
  <si>
    <t>4.7</t>
  </si>
  <si>
    <t>2.2</t>
  </si>
  <si>
    <t>4.4</t>
  </si>
  <si>
    <t>2.1</t>
  </si>
  <si>
    <t>4.2</t>
  </si>
  <si>
    <t>1.9</t>
  </si>
  <si>
    <t>4.0</t>
  </si>
  <si>
    <t>1.6</t>
  </si>
  <si>
    <t>1.1</t>
  </si>
  <si>
    <t>3.5</t>
  </si>
  <si>
    <t>USGS34, 50nmolN_#5-1,7h_260528</t>
  </si>
  <si>
    <t>1.5</t>
  </si>
  <si>
    <t>1.4</t>
  </si>
  <si>
    <t>3.4</t>
  </si>
  <si>
    <t>USGS35, 50nmolN_#5-1,7h_260528</t>
  </si>
  <si>
    <t>0.8</t>
  </si>
  <si>
    <t>No124, 50nmolN_#5-1,7h_260528</t>
  </si>
  <si>
    <t>No129, 50nmolN_#5-1,7h_260528</t>
  </si>
  <si>
    <t>9.5</t>
  </si>
  <si>
    <t>15.8</t>
  </si>
  <si>
    <t>7.6</t>
  </si>
  <si>
    <t>12.9</t>
  </si>
  <si>
    <t>9.3</t>
  </si>
  <si>
    <t>3.9</t>
  </si>
  <si>
    <t>7.4</t>
  </si>
  <si>
    <t>6.2</t>
  </si>
  <si>
    <t>1.7</t>
  </si>
  <si>
    <t>3.7</t>
  </si>
  <si>
    <t>1.8</t>
  </si>
  <si>
    <t>3.8</t>
  </si>
  <si>
    <t>No138, 50nmolN_#5-1,7h_260528</t>
  </si>
  <si>
    <t>7.7</t>
  </si>
  <si>
    <t>8.4</t>
  </si>
  <si>
    <t>14.2</t>
  </si>
  <si>
    <t>5.8</t>
  </si>
  <si>
    <t>10.2</t>
  </si>
  <si>
    <t>4.3</t>
  </si>
  <si>
    <t>7.9</t>
  </si>
  <si>
    <t>6.6</t>
  </si>
  <si>
    <t>No150, 50nmolN_#5-1,7h_260528</t>
  </si>
  <si>
    <t>8.7</t>
  </si>
  <si>
    <t>14.5</t>
  </si>
  <si>
    <t>6.1</t>
  </si>
  <si>
    <t>10.6</t>
  </si>
  <si>
    <t>4.5</t>
  </si>
  <si>
    <t>8.1</t>
  </si>
  <si>
    <t>6.7</t>
  </si>
  <si>
    <t>No124SA, 50nmolN_#5-1,7h_260528</t>
  </si>
  <si>
    <t>9.2</t>
  </si>
  <si>
    <t>15.2</t>
  </si>
  <si>
    <t>7.1</t>
  </si>
  <si>
    <t>11.9</t>
  </si>
  <si>
    <t>8.8</t>
  </si>
  <si>
    <t>No129SA, 50nmolN_#5-1,7h_260528</t>
  </si>
  <si>
    <t>13.2</t>
  </si>
  <si>
    <t>6.9</t>
  </si>
  <si>
    <t>11.6</t>
  </si>
  <si>
    <t>4.8</t>
  </si>
  <si>
    <t>8.6</t>
  </si>
  <si>
    <t>No138SA, 50nmolN_#5-1,7h_260528</t>
  </si>
  <si>
    <t>9.4</t>
  </si>
  <si>
    <t>15.6</t>
  </si>
  <si>
    <t>12.0</t>
  </si>
  <si>
    <t>8.9</t>
  </si>
  <si>
    <t>7.2</t>
  </si>
  <si>
    <t>No150SA, 50nmolN_#5-1,7h_260528</t>
  </si>
  <si>
    <t>9.6</t>
  </si>
  <si>
    <t>16.0</t>
  </si>
  <si>
    <t>7.0</t>
  </si>
  <si>
    <t>4.9</t>
  </si>
  <si>
    <t>STD_wakoKNO3, 50nmolN_#5-1,7h_260528</t>
  </si>
  <si>
    <t>5.7</t>
  </si>
  <si>
    <t>6.5</t>
  </si>
  <si>
    <t>11.1</t>
  </si>
  <si>
    <t>8.3</t>
  </si>
  <si>
    <t>3.6</t>
  </si>
  <si>
    <t>6.8</t>
  </si>
  <si>
    <t>7.8</t>
  </si>
  <si>
    <t>13.1</t>
  </si>
  <si>
    <t>11.2</t>
  </si>
  <si>
    <t>4.6</t>
  </si>
  <si>
    <t>15.5</t>
  </si>
  <si>
    <t>9.0</t>
  </si>
  <si>
    <t>14.8</t>
  </si>
  <si>
    <t>5.9</t>
  </si>
  <si>
    <t>14.4</t>
  </si>
  <si>
    <t>6.3</t>
  </si>
  <si>
    <t>10.8</t>
  </si>
  <si>
    <t>13.3</t>
  </si>
  <si>
    <t>10.4</t>
  </si>
  <si>
    <t>8.0</t>
  </si>
  <si>
    <t>10.1</t>
  </si>
  <si>
    <t>11.4</t>
  </si>
  <si>
    <t>8.5</t>
  </si>
  <si>
    <t>9.1</t>
  </si>
  <si>
    <t>11.0</t>
  </si>
  <si>
    <t>17.9</t>
  </si>
  <si>
    <t>12.8</t>
  </si>
  <si>
    <t>5.3</t>
  </si>
  <si>
    <t>4.1</t>
  </si>
  <si>
    <t>7.5</t>
  </si>
  <si>
    <t>9.8</t>
  </si>
  <si>
    <t>16.3</t>
  </si>
  <si>
    <t>14.9</t>
  </si>
  <si>
    <t>11.7</t>
  </si>
  <si>
    <t>14.0</t>
  </si>
  <si>
    <t>13.7</t>
  </si>
  <si>
    <t>6.0</t>
  </si>
  <si>
    <t>10.3</t>
  </si>
  <si>
    <t>12.2</t>
  </si>
  <si>
    <t>14.7</t>
  </si>
  <si>
    <t>5.5</t>
  </si>
  <si>
    <t>17.0</t>
  </si>
  <si>
    <t>7.3</t>
  </si>
  <si>
    <t>9.9</t>
  </si>
  <si>
    <t>5.4</t>
  </si>
  <si>
    <t>13.6</t>
  </si>
  <si>
    <t>10.0</t>
  </si>
  <si>
    <t>11.3</t>
  </si>
  <si>
    <t>10.5</t>
  </si>
  <si>
    <t>17.1</t>
  </si>
  <si>
    <t>5.1</t>
  </si>
  <si>
    <t>12.3</t>
  </si>
  <si>
    <t>19.8</t>
  </si>
  <si>
    <t>15.9</t>
  </si>
  <si>
    <t>6.4</t>
  </si>
  <si>
    <t>10.9</t>
  </si>
  <si>
    <t>15.4</t>
  </si>
  <si>
    <t>14.6</t>
  </si>
  <si>
    <t>17.2</t>
  </si>
  <si>
    <t>10.7</t>
  </si>
  <si>
    <t>16.8</t>
  </si>
  <si>
    <t>Line</t>
  </si>
  <si>
    <t>adj18O/16O</t>
  </si>
  <si>
    <t>adj15N/14N</t>
  </si>
  <si>
    <t>driftcor18O</t>
  </si>
  <si>
    <t>driftcor15N</t>
  </si>
  <si>
    <t>dadj18O</t>
  </si>
  <si>
    <t>dadj15N</t>
  </si>
  <si>
    <t>Standards template</t>
  </si>
  <si>
    <t>Standards template-drift correction</t>
    <phoneticPr fontId="1"/>
  </si>
  <si>
    <t>0.3</t>
  </si>
  <si>
    <t>run #</t>
  </si>
  <si>
    <t>USGS#</t>
  </si>
  <si>
    <t>us32</t>
  </si>
  <si>
    <t>us34</t>
  </si>
  <si>
    <t>us35</t>
  </si>
  <si>
    <t>slope:</t>
  </si>
  <si>
    <t>avg</t>
  </si>
  <si>
    <t>interc.:</t>
  </si>
  <si>
    <t>d18O slopes</t>
  </si>
  <si>
    <t>USGS 32</t>
  </si>
  <si>
    <t>USGS 34</t>
  </si>
  <si>
    <t>USGS 35</t>
  </si>
  <si>
    <t>average:</t>
  </si>
  <si>
    <t>d15N slopes</t>
  </si>
  <si>
    <t>Results:</t>
  </si>
  <si>
    <t>mL added</t>
  </si>
  <si>
    <t>nmol</t>
  </si>
  <si>
    <t>uM NO3-</t>
    <phoneticPr fontId="1"/>
  </si>
  <si>
    <t>area</t>
  </si>
  <si>
    <t>slope</t>
  </si>
  <si>
    <t>int</t>
  </si>
  <si>
    <t>d18O</t>
  </si>
  <si>
    <t>stdev</t>
  </si>
  <si>
    <t>d15N</t>
  </si>
  <si>
    <t>area</t>
    <phoneticPr fontId="0" type="noConversion"/>
  </si>
  <si>
    <t>uM</t>
  </si>
  <si>
    <t>Standards template-drift correction</t>
  </si>
  <si>
    <t>以下過去データ</t>
    <rPh sb="0" eb="2">
      <t>イカ</t>
    </rPh>
    <rPh sb="2" eb="4">
      <t>カコ</t>
    </rPh>
    <phoneticPr fontId="1"/>
  </si>
  <si>
    <t>wako_(NH4)2SO4 (2015, EA)</t>
    <phoneticPr fontId="1"/>
  </si>
  <si>
    <t>wako_(NH4)2SO4 (20240823, EA)</t>
    <phoneticPr fontId="1"/>
  </si>
  <si>
    <t>wako_(NH4)2SO4 (20240702, Delta)</t>
    <phoneticPr fontId="1"/>
  </si>
  <si>
    <t>wako_(NH4)2SO4 (20240903, Delta)</t>
    <phoneticPr fontId="1"/>
  </si>
  <si>
    <t>wako_(NH4)2SO4 (20240913, Delta)</t>
    <phoneticPr fontId="1"/>
  </si>
  <si>
    <t>wako_(NH4)2SO4 (20240919, Delta)</t>
    <phoneticPr fontId="1"/>
  </si>
  <si>
    <t>wako_(NH4)2SO4 (20241003, Delta)</t>
    <phoneticPr fontId="1"/>
  </si>
  <si>
    <t>wako_(NH4)2SO4 (20241017, Delta)</t>
    <phoneticPr fontId="1"/>
  </si>
  <si>
    <t>wako_(NH4)2SO4 (20241022, Delta)</t>
    <phoneticPr fontId="1"/>
  </si>
  <si>
    <t>wako_(NH4)2SO4 (20241024, Delta)</t>
    <phoneticPr fontId="1"/>
  </si>
  <si>
    <t>wako_(NH4)2SO4 (20241030, Delta)</t>
    <phoneticPr fontId="1"/>
  </si>
  <si>
    <t>wako_(NH4)2SO4 (20241105, Delta)</t>
    <phoneticPr fontId="1"/>
  </si>
  <si>
    <t>wako_(NH4)2SO4 (20241128, Delta)</t>
    <phoneticPr fontId="1"/>
  </si>
  <si>
    <t>wako_(NH4)2SO4 (20241204, Delta)</t>
    <phoneticPr fontId="1"/>
  </si>
  <si>
    <t>wako_(NH4)2SO4 (20241115, Delta)</t>
    <phoneticPr fontId="1"/>
  </si>
  <si>
    <t>wako_(NH4)2SO4 (20241210, Delta)</t>
    <phoneticPr fontId="1"/>
  </si>
  <si>
    <t>wako_(NH4)2SO4 (20241211, Delta)</t>
    <phoneticPr fontId="1"/>
  </si>
  <si>
    <t>wako_(NH4)2SO4 (20241213, Delta)</t>
    <phoneticPr fontId="1"/>
  </si>
  <si>
    <t>wako_(NH4)2SO4 (20250108, Delta)</t>
    <phoneticPr fontId="1"/>
  </si>
  <si>
    <t>wako_(NH4)2SO4 (20250114, Delta)</t>
    <phoneticPr fontId="1"/>
  </si>
  <si>
    <t>wako_(NH4)2SO4 (20250115, Delta)</t>
    <phoneticPr fontId="1"/>
  </si>
  <si>
    <t>wako_(NH4)2SO4 (20250121, Delta)</t>
    <phoneticPr fontId="1"/>
  </si>
  <si>
    <t>wako_(NH4)2SO4 (20250415, 6h, Delta)</t>
    <phoneticPr fontId="1"/>
  </si>
  <si>
    <t>wako_(NH4)2SO4 (20250415, 8h, Delta)</t>
    <phoneticPr fontId="1"/>
  </si>
  <si>
    <t>wako_(NH4)2SO4 (20250415, 10h, Delta)</t>
    <phoneticPr fontId="1"/>
  </si>
  <si>
    <t>wako_(NH4)2SO4, 30nmolN_#3-3,7h_250417</t>
  </si>
  <si>
    <t>wako_(NH4)2SO4, 30nmolN_#4-2,7h_250422</t>
  </si>
  <si>
    <t>wako_(NH4)2SO4, 30nmolN_#4-3,7h_250423</t>
  </si>
  <si>
    <t>wako_(NH4)2SO4, 30nmolN_#4-1,7h_250521</t>
  </si>
  <si>
    <t>wako_(NH4)2SO4, 30nmolN_#4-2,7h_250522</t>
  </si>
  <si>
    <t>wako_(NH4)2SO4, 30nmolN_#5-1,7h_250527</t>
  </si>
  <si>
    <t>wako_(NH4)2SO4, 15nmolN_#2-1,8h_250602</t>
  </si>
  <si>
    <t>wako_(NH4)2SO4, 30nmolN_#2-2,7h_250603</t>
  </si>
  <si>
    <t>wako_(NH4)2SO4, 30nmolN_#3-1,7h_250609</t>
  </si>
  <si>
    <t>wako_(NH4)2SO4, 30nmolN_#4-2,7h_250617</t>
  </si>
  <si>
    <t>wako_(NH4)2SO4, 30nmolN_#4-1,7h_250616</t>
  </si>
  <si>
    <t>wako_(NH4)2SO4, 30nmolN_#4-4,7h_250620</t>
  </si>
  <si>
    <t>wako_(NH4)2SO4, 30nmolN_#5-1,7h_250623</t>
  </si>
  <si>
    <t>wako_(NH4)2SO4, 30nmolN_#2-2,7h_251218</t>
  </si>
  <si>
    <t>wako_(NH4)2SO4, 30nmolN_#2-1,7h_260113</t>
  </si>
  <si>
    <t>MilliQ_wako_(NH4)2SO4, 30nmolN_#5-1,9h_260212</t>
    <phoneticPr fontId="1"/>
  </si>
  <si>
    <t>kanto_NO3, 50nmolN_#3-2,7h_250416</t>
  </si>
  <si>
    <t>wako_NO3, 50nmolN_#3-2,7h_250416</t>
  </si>
  <si>
    <t>sigma_NO3, 50nmolN_#3-2,7h_250416</t>
  </si>
  <si>
    <t>kanto_NO3, 50nmolN_#3-2,7h_250416 (with NewUSGS)</t>
    <phoneticPr fontId="1"/>
  </si>
  <si>
    <t>wako_NO3, 50nmolN_#3-2,7h_250416 (with NewUSGS)</t>
    <phoneticPr fontId="1"/>
  </si>
  <si>
    <t>sigma_NO3, 50nmolN_#3-2,7h_250416 (with NewUSGS)</t>
    <phoneticPr fontId="1"/>
  </si>
  <si>
    <t>wako_NO3_ysg, 30nmolN_#4-1,7h_250421</t>
  </si>
  <si>
    <t>kanto_NO3, 50nmolN_#5-2,8h_250429</t>
  </si>
  <si>
    <t>wako_NO3, 50nmolN_#5-2,8h_250429</t>
  </si>
  <si>
    <t>sigma_NO3, 50nmolN_#5-2,8h_250429</t>
  </si>
  <si>
    <t>wako_NO3, 50nmolN_#3-3,7h_250514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</si>
</sst>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0_ "/>
  </numFmts>
  <fonts count="12" x14ac:knownFonts="1">
    <font>
      <sz val="10"/>
      <name val="MS Sans Serif"/>
    </font>
    <font>
      <sz val="6"/>
      <name val="ＭＳ Ｐゴシック"/>
      <family val="3"/>
      <charset val="128"/>
    </font>
    <font>
      <sz val="10"/>
      <name val="MS Sans Serif"/>
      <family val="2"/>
    </font>
    <font>
      <sz val="11"/>
      <name val="Arial"/>
      <family val="2"/>
    </font>
    <font>
      <sz val="11"/>
      <color indexed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ＭＳ Ｐゴシック"/>
      <family val="2"/>
      <charset val="128"/>
    </font>
    <font>
      <b/>
      <sz val="11"/>
      <color rgb="FFFF0000"/>
      <name val="Arial"/>
      <family val="2"/>
    </font>
    <font>
      <b/>
      <sz val="11"/>
      <color rgb="FF0070C0"/>
      <name val="Arial"/>
      <family val="2"/>
    </font>
    <font>
      <b/>
      <sz val="11"/>
      <color theme="4" tint="-0.249977111117893"/>
      <name val="Arial"/>
      <family val="2"/>
    </font>
    <font>
      <b/>
      <sz val="11"/>
      <color theme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0" fontId="0" fillId="0" borderId="0" xfId="0" quotePrefix="1"/>
    <xf numFmtId="0" fontId="3" fillId="0" borderId="0" xfId="1" quotePrefix="1" applyFont="1"/>
    <xf numFmtId="0" fontId="3" fillId="0" borderId="0" xfId="1" quotePrefix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4" fillId="0" borderId="0" xfId="1" applyFont="1"/>
    <xf numFmtId="0" fontId="3" fillId="0" borderId="0" xfId="0" quotePrefix="1" applyFont="1"/>
    <xf numFmtId="176" fontId="3" fillId="0" borderId="0" xfId="1" applyNumberFormat="1" applyFont="1" applyAlignment="1">
      <alignment horizontal="center"/>
    </xf>
    <xf numFmtId="176" fontId="3" fillId="0" borderId="0" xfId="1" applyNumberFormat="1" applyFont="1"/>
    <xf numFmtId="0" fontId="3" fillId="2" borderId="0" xfId="1" quotePrefix="1" applyFont="1" applyFill="1"/>
    <xf numFmtId="0" fontId="3" fillId="2" borderId="0" xfId="0" quotePrefix="1" applyFont="1" applyFill="1"/>
    <xf numFmtId="0" fontId="3" fillId="2" borderId="0" xfId="1" applyFont="1" applyFill="1" applyAlignment="1">
      <alignment horizontal="center"/>
    </xf>
    <xf numFmtId="176" fontId="3" fillId="2" borderId="0" xfId="1" applyNumberFormat="1" applyFont="1" applyFill="1" applyAlignment="1">
      <alignment horizontal="center"/>
    </xf>
    <xf numFmtId="176" fontId="3" fillId="2" borderId="0" xfId="1" applyNumberFormat="1" applyFont="1" applyFill="1"/>
    <xf numFmtId="2" fontId="4" fillId="0" borderId="0" xfId="1" quotePrefix="1" applyNumberFormat="1" applyFont="1"/>
    <xf numFmtId="2" fontId="4" fillId="0" borderId="0" xfId="1" applyNumberFormat="1" applyFont="1"/>
    <xf numFmtId="176" fontId="3" fillId="0" borderId="0" xfId="1" quotePrefix="1" applyNumberFormat="1" applyFont="1"/>
    <xf numFmtId="2" fontId="3" fillId="0" borderId="0" xfId="1" applyNumberFormat="1" applyFont="1"/>
    <xf numFmtId="0" fontId="5" fillId="0" borderId="0" xfId="1" quotePrefix="1" applyFont="1"/>
    <xf numFmtId="0" fontId="3" fillId="0" borderId="0" xfId="0" applyFont="1"/>
    <xf numFmtId="177" fontId="3" fillId="0" borderId="0" xfId="1" applyNumberFormat="1" applyFont="1" applyAlignment="1">
      <alignment horizontal="center"/>
    </xf>
    <xf numFmtId="177" fontId="3" fillId="0" borderId="0" xfId="1" quotePrefix="1" applyNumberFormat="1" applyFont="1" applyAlignment="1">
      <alignment horizontal="center"/>
    </xf>
    <xf numFmtId="177" fontId="3" fillId="3" borderId="0" xfId="1" applyNumberFormat="1" applyFont="1" applyFill="1" applyAlignment="1">
      <alignment horizontal="center"/>
    </xf>
    <xf numFmtId="2" fontId="3" fillId="0" borderId="0" xfId="1" applyNumberFormat="1" applyFont="1" applyAlignment="1">
      <alignment horizontal="center"/>
    </xf>
    <xf numFmtId="0" fontId="3" fillId="0" borderId="1" xfId="1" applyFont="1" applyBorder="1"/>
    <xf numFmtId="177" fontId="3" fillId="0" borderId="1" xfId="1" applyNumberFormat="1" applyFont="1" applyBorder="1" applyAlignment="1">
      <alignment horizontal="center"/>
    </xf>
    <xf numFmtId="177" fontId="3" fillId="0" borderId="1" xfId="1" quotePrefix="1" applyNumberFormat="1" applyFont="1" applyBorder="1" applyAlignment="1">
      <alignment horizontal="center"/>
    </xf>
    <xf numFmtId="0" fontId="3" fillId="4" borderId="2" xfId="1" applyFont="1" applyFill="1" applyBorder="1"/>
    <xf numFmtId="2" fontId="3" fillId="4" borderId="3" xfId="1" applyNumberFormat="1" applyFont="1" applyFill="1" applyBorder="1" applyAlignment="1">
      <alignment horizontal="center"/>
    </xf>
    <xf numFmtId="0" fontId="3" fillId="4" borderId="3" xfId="1" applyFont="1" applyFill="1" applyBorder="1" applyAlignment="1">
      <alignment horizontal="center"/>
    </xf>
    <xf numFmtId="176" fontId="3" fillId="4" borderId="4" xfId="1" applyNumberFormat="1" applyFont="1" applyFill="1" applyBorder="1" applyAlignment="1">
      <alignment horizontal="center"/>
    </xf>
    <xf numFmtId="0" fontId="3" fillId="0" borderId="5" xfId="1" applyFont="1" applyBorder="1"/>
    <xf numFmtId="2" fontId="6" fillId="0" borderId="0" xfId="1" applyNumberFormat="1" applyFont="1" applyAlignment="1">
      <alignment horizontal="center"/>
    </xf>
    <xf numFmtId="1" fontId="3" fillId="0" borderId="6" xfId="1" applyNumberFormat="1" applyFont="1" applyBorder="1" applyAlignment="1">
      <alignment horizontal="center"/>
    </xf>
    <xf numFmtId="49" fontId="3" fillId="0" borderId="0" xfId="1" applyNumberFormat="1" applyFont="1" applyAlignment="1">
      <alignment horizontal="center"/>
    </xf>
    <xf numFmtId="177" fontId="3" fillId="0" borderId="0" xfId="1" applyNumberFormat="1" applyFont="1"/>
    <xf numFmtId="0" fontId="3" fillId="0" borderId="7" xfId="1" applyFont="1" applyBorder="1"/>
    <xf numFmtId="2" fontId="3" fillId="0" borderId="8" xfId="1" applyNumberFormat="1" applyFont="1" applyBorder="1" applyAlignment="1">
      <alignment horizontal="center"/>
    </xf>
    <xf numFmtId="1" fontId="3" fillId="0" borderId="9" xfId="1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178" fontId="3" fillId="0" borderId="0" xfId="1" applyNumberFormat="1" applyFont="1" applyAlignment="1">
      <alignment horizontal="center"/>
    </xf>
    <xf numFmtId="2" fontId="3" fillId="0" borderId="0" xfId="1" applyNumberFormat="1" applyFont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2" fontId="8" fillId="0" borderId="0" xfId="1" applyNumberFormat="1" applyFont="1" applyAlignment="1">
      <alignment horizontal="center"/>
    </xf>
    <xf numFmtId="0" fontId="3" fillId="0" borderId="0" xfId="1" applyFont="1" applyAlignment="1">
      <alignment horizontal="center" vertical="center"/>
    </xf>
    <xf numFmtId="2" fontId="8" fillId="0" borderId="0" xfId="1" quotePrefix="1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5" fillId="0" borderId="0" xfId="1" quotePrefix="1" applyFont="1" applyAlignment="1">
      <alignment horizontal="center"/>
    </xf>
    <xf numFmtId="2" fontId="9" fillId="0" borderId="0" xfId="1" applyNumberFormat="1" applyFont="1" applyAlignment="1">
      <alignment horizontal="center"/>
    </xf>
    <xf numFmtId="2" fontId="10" fillId="0" borderId="0" xfId="1" applyNumberFormat="1" applyFont="1" applyAlignment="1">
      <alignment horizontal="center"/>
    </xf>
    <xf numFmtId="2" fontId="11" fillId="0" borderId="0" xfId="1" applyNumberFormat="1" applyFont="1" applyAlignment="1">
      <alignment horizontal="center"/>
    </xf>
    <xf numFmtId="0" fontId="3" fillId="5" borderId="0" xfId="1" quotePrefix="1" applyFont="1" applyFill="1"/>
    <xf numFmtId="0" fontId="3" fillId="5" borderId="0" xfId="0" quotePrefix="1" applyFont="1" applyFill="1"/>
  </cellXfs>
  <cellStyles count="2">
    <cellStyle name="標準" xfId="0" builtinId="0"/>
    <cellStyle name="標準 2" xfId="1" xr:uid="{582205B7-2EF4-4395-942E-7174F3ED6C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41512922759613"/>
          <c:y val="9.0908931617966149E-2"/>
          <c:w val="0.81967103762295401"/>
          <c:h val="0.75119485600108871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7.9345155525441455E-2"/>
                  <c:y val="-0.1102208961053473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</c:trendlineLbl>
          </c:trendline>
          <c:xVal>
            <c:numRef>
              <c:f>'20260528'!$R$3:$R$20</c:f>
              <c:numCache>
                <c:formatCode>General</c:formatCode>
                <c:ptCount val="18"/>
                <c:pt idx="1">
                  <c:v>41.738999999999997</c:v>
                </c:pt>
                <c:pt idx="2">
                  <c:v>41.625</c:v>
                </c:pt>
                <c:pt idx="6">
                  <c:v>-8.4740000000000002</c:v>
                </c:pt>
                <c:pt idx="7">
                  <c:v>-8.7970000000000006</c:v>
                </c:pt>
                <c:pt idx="12">
                  <c:v>72.403000000000006</c:v>
                </c:pt>
                <c:pt idx="13">
                  <c:v>72.367999999999995</c:v>
                </c:pt>
                <c:pt idx="14">
                  <c:v>71.218000000000004</c:v>
                </c:pt>
              </c:numCache>
            </c:numRef>
          </c:xVal>
          <c:yVal>
            <c:numRef>
              <c:f>'20260528'!$U$3:$U$20</c:f>
              <c:numCache>
                <c:formatCode>General</c:formatCode>
                <c:ptCount val="18"/>
                <c:pt idx="0">
                  <c:v>25.6</c:v>
                </c:pt>
                <c:pt idx="1">
                  <c:v>25.6</c:v>
                </c:pt>
                <c:pt idx="2">
                  <c:v>25.6</c:v>
                </c:pt>
                <c:pt idx="6">
                  <c:v>-27.9</c:v>
                </c:pt>
                <c:pt idx="7">
                  <c:v>-27.9</c:v>
                </c:pt>
                <c:pt idx="8">
                  <c:v>-27.9</c:v>
                </c:pt>
                <c:pt idx="12">
                  <c:v>57.5</c:v>
                </c:pt>
                <c:pt idx="13">
                  <c:v>57.5</c:v>
                </c:pt>
                <c:pt idx="14">
                  <c:v>57.5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17-4A67-992F-C7F112E5C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214128"/>
        <c:axId val="220214520"/>
      </c:scatterChart>
      <c:valAx>
        <c:axId val="22021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measured d18O</a:t>
                </a:r>
              </a:p>
            </c:rich>
          </c:tx>
          <c:layout>
            <c:manualLayout>
              <c:xMode val="edge"/>
              <c:yMode val="edge"/>
              <c:x val="0.45081917391904963"/>
              <c:y val="0.875596706763446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220214520"/>
        <c:crosses val="autoZero"/>
        <c:crossBetween val="midCat"/>
      </c:valAx>
      <c:valAx>
        <c:axId val="220214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d18O</a:t>
                </a:r>
              </a:p>
            </c:rich>
          </c:tx>
          <c:layout>
            <c:manualLayout>
              <c:xMode val="edge"/>
              <c:yMode val="edge"/>
              <c:x val="3.5519008877352931E-2"/>
              <c:y val="0.349281421255567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2202141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87960281174915"/>
          <c:y val="9.1787547869900024E-2"/>
          <c:w val="0.81420656403880098"/>
          <c:h val="0.74879315367550014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8.4809533244303487E-2"/>
                  <c:y val="-8.2302121711917045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ja-JP"/>
                </a:p>
              </c:txPr>
            </c:trendlineLbl>
          </c:trendline>
          <c:xVal>
            <c:numRef>
              <c:f>'20260528'!$S$3:$S$14</c:f>
              <c:numCache>
                <c:formatCode>General</c:formatCode>
                <c:ptCount val="12"/>
                <c:pt idx="1">
                  <c:v>181.89099999999999</c:v>
                </c:pt>
                <c:pt idx="2">
                  <c:v>180.494</c:v>
                </c:pt>
                <c:pt idx="6">
                  <c:v>2.9009999999999998</c:v>
                </c:pt>
                <c:pt idx="7">
                  <c:v>2.266</c:v>
                </c:pt>
              </c:numCache>
            </c:numRef>
          </c:xVal>
          <c:yVal>
            <c:numRef>
              <c:f>'20260528'!$V$3:$V$14</c:f>
              <c:numCache>
                <c:formatCode>General</c:formatCode>
                <c:ptCount val="12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6">
                  <c:v>-1.8</c:v>
                </c:pt>
                <c:pt idx="7">
                  <c:v>-1.8</c:v>
                </c:pt>
                <c:pt idx="8">
                  <c:v>-1.8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2-4A73-94C5-5726AED09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216056"/>
        <c:axId val="220216448"/>
      </c:scatterChart>
      <c:valAx>
        <c:axId val="220216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measured d15N</a:t>
                </a:r>
              </a:p>
            </c:rich>
          </c:tx>
          <c:layout>
            <c:manualLayout>
              <c:xMode val="edge"/>
              <c:yMode val="edge"/>
              <c:x val="0.45628343548469186"/>
              <c:y val="0.87439710764631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220216448"/>
        <c:crosses val="autoZero"/>
        <c:crossBetween val="midCat"/>
      </c:valAx>
      <c:valAx>
        <c:axId val="220216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d15N</a:t>
                </a:r>
              </a:p>
            </c:rich>
          </c:tx>
          <c:layout>
            <c:manualLayout>
              <c:xMode val="edge"/>
              <c:yMode val="edge"/>
              <c:x val="3.5519008877352931E-2"/>
              <c:y val="0.347826736889676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22021605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d18O drift</a:t>
            </a:r>
          </a:p>
        </c:rich>
      </c:tx>
      <c:layout>
        <c:manualLayout>
          <c:xMode val="edge"/>
          <c:yMode val="edge"/>
          <c:x val="0.45512843321363078"/>
          <c:y val="3.86472579085509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40056469639164"/>
          <c:y val="0.19806786645610006"/>
          <c:w val="0.7532581385186804"/>
          <c:h val="0.6618365293777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'20260528'!$AF$25</c:f>
              <c:strCache>
                <c:ptCount val="1"/>
                <c:pt idx="0">
                  <c:v>USGS 32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'20260528'!$P$3:$P$8</c:f>
              <c:numCache>
                <c:formatCode>General</c:formatCode>
                <c:ptCount val="6"/>
                <c:pt idx="0">
                  <c:v>2</c:v>
                </c:pt>
                <c:pt idx="1">
                  <c:v>14</c:v>
                </c:pt>
                <c:pt idx="2">
                  <c:v>26</c:v>
                </c:pt>
              </c:numCache>
            </c:numRef>
          </c:xVal>
          <c:yVal>
            <c:numRef>
              <c:f>'20260528'!$R$3:$R$8</c:f>
              <c:numCache>
                <c:formatCode>General</c:formatCode>
                <c:ptCount val="6"/>
                <c:pt idx="1">
                  <c:v>41.738999999999997</c:v>
                </c:pt>
                <c:pt idx="2">
                  <c:v>41.625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C-434E-B1C4-5B7A730152F1}"/>
            </c:ext>
          </c:extLst>
        </c:ser>
        <c:ser>
          <c:idx val="1"/>
          <c:order val="1"/>
          <c:tx>
            <c:strRef>
              <c:f>'20260528'!$AF$26</c:f>
              <c:strCache>
                <c:ptCount val="1"/>
                <c:pt idx="0">
                  <c:v>USGS 34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'20260528'!$P$9:$P$14</c:f>
              <c:numCache>
                <c:formatCode>General</c:formatCode>
                <c:ptCount val="6"/>
                <c:pt idx="0">
                  <c:v>3</c:v>
                </c:pt>
                <c:pt idx="1">
                  <c:v>15</c:v>
                </c:pt>
                <c:pt idx="2">
                  <c:v>27</c:v>
                </c:pt>
              </c:numCache>
            </c:numRef>
          </c:xVal>
          <c:yVal>
            <c:numRef>
              <c:f>'20260528'!$R$9:$R$14</c:f>
              <c:numCache>
                <c:formatCode>General</c:formatCode>
                <c:ptCount val="6"/>
                <c:pt idx="0">
                  <c:v>-8.4740000000000002</c:v>
                </c:pt>
                <c:pt idx="1">
                  <c:v>-8.7970000000000006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C-434E-B1C4-5B7A730152F1}"/>
            </c:ext>
          </c:extLst>
        </c:ser>
        <c:ser>
          <c:idx val="2"/>
          <c:order val="2"/>
          <c:tx>
            <c:strRef>
              <c:f>'20260528'!$AF$27</c:f>
              <c:strCache>
                <c:ptCount val="1"/>
                <c:pt idx="0">
                  <c:v>USGS 35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'20260528'!$P$15:$P$20</c:f>
              <c:numCache>
                <c:formatCode>General</c:formatCode>
                <c:ptCount val="6"/>
                <c:pt idx="0">
                  <c:v>4</c:v>
                </c:pt>
                <c:pt idx="1">
                  <c:v>16</c:v>
                </c:pt>
                <c:pt idx="2">
                  <c:v>28</c:v>
                </c:pt>
              </c:numCache>
            </c:numRef>
          </c:xVal>
          <c:yVal>
            <c:numRef>
              <c:f>'20260528'!$R$15:$R$20</c:f>
              <c:numCache>
                <c:formatCode>General</c:formatCode>
                <c:ptCount val="6"/>
                <c:pt idx="0">
                  <c:v>72.403000000000006</c:v>
                </c:pt>
                <c:pt idx="1">
                  <c:v>72.367999999999995</c:v>
                </c:pt>
                <c:pt idx="2">
                  <c:v>71.218000000000004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5C-434E-B1C4-5B7A73015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217232"/>
        <c:axId val="220217624"/>
      </c:scatterChart>
      <c:valAx>
        <c:axId val="22021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n-US" altLang="ja-JP" b="1" baseline="0"/>
                  <a:t>line number</a:t>
                </a:r>
                <a:endParaRPr lang="ja-JP" altLang="en-US" b="1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220217624"/>
        <c:crosses val="autoZero"/>
        <c:crossBetween val="midCat"/>
      </c:valAx>
      <c:valAx>
        <c:axId val="220217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</a:defRPr>
                </a:pPr>
                <a:r>
                  <a:rPr lang="en-US" altLang="ja-JP" b="1">
                    <a:solidFill>
                      <a:sysClr val="windowText" lastClr="000000"/>
                    </a:solidFill>
                  </a:rPr>
                  <a:t>measured</a:t>
                </a:r>
                <a:r>
                  <a:rPr lang="en-US" altLang="ja-JP" b="1" baseline="0">
                    <a:solidFill>
                      <a:sysClr val="windowText" lastClr="000000"/>
                    </a:solidFill>
                  </a:rPr>
                  <a:t> d18O</a:t>
                </a:r>
                <a:endParaRPr lang="ja-JP" alt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22021723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034373318397974"/>
          <c:y val="0.47970541511258458"/>
          <c:w val="0.11111125753632256"/>
          <c:h val="0.166051940875811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/>
            </a:pPr>
            <a:r>
              <a:rPr lang="en-US" altLang="ja-JP" sz="800" b="1"/>
              <a:t>d15N</a:t>
            </a:r>
            <a:r>
              <a:rPr lang="en-US" altLang="ja-JP" sz="800" b="1" baseline="0"/>
              <a:t> drift</a:t>
            </a:r>
            <a:endParaRPr lang="ja-JP" altLang="en-US" sz="8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373254231021328"/>
          <c:y val="9.004744546028344E-2"/>
          <c:w val="0.75592616090485876"/>
          <c:h val="0.772512295264536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'20260528'!$AF$31</c:f>
              <c:strCache>
                <c:ptCount val="1"/>
                <c:pt idx="0">
                  <c:v>USGS 32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'20260528'!$P$3:$P$8</c:f>
              <c:numCache>
                <c:formatCode>General</c:formatCode>
                <c:ptCount val="6"/>
                <c:pt idx="0">
                  <c:v>2</c:v>
                </c:pt>
                <c:pt idx="1">
                  <c:v>14</c:v>
                </c:pt>
                <c:pt idx="2">
                  <c:v>26</c:v>
                </c:pt>
              </c:numCache>
            </c:numRef>
          </c:xVal>
          <c:yVal>
            <c:numRef>
              <c:f>'20260528'!$S$3:$S$8</c:f>
              <c:numCache>
                <c:formatCode>General</c:formatCode>
                <c:ptCount val="6"/>
                <c:pt idx="1">
                  <c:v>181.89099999999999</c:v>
                </c:pt>
                <c:pt idx="2">
                  <c:v>180.494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6-4708-996E-4402ED52D9A1}"/>
            </c:ext>
          </c:extLst>
        </c:ser>
        <c:ser>
          <c:idx val="1"/>
          <c:order val="1"/>
          <c:tx>
            <c:strRef>
              <c:f>'20260528'!$AF$32</c:f>
              <c:strCache>
                <c:ptCount val="1"/>
                <c:pt idx="0">
                  <c:v>USGS 34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'20260528'!$P$9:$P$14</c:f>
              <c:numCache>
                <c:formatCode>General</c:formatCode>
                <c:ptCount val="6"/>
                <c:pt idx="0">
                  <c:v>3</c:v>
                </c:pt>
                <c:pt idx="1">
                  <c:v>15</c:v>
                </c:pt>
                <c:pt idx="2">
                  <c:v>27</c:v>
                </c:pt>
              </c:numCache>
            </c:numRef>
          </c:xVal>
          <c:yVal>
            <c:numRef>
              <c:f>'20260528'!$S$9:$S$14</c:f>
              <c:numCache>
                <c:formatCode>General</c:formatCode>
                <c:ptCount val="6"/>
                <c:pt idx="0">
                  <c:v>2.9009999999999998</c:v>
                </c:pt>
                <c:pt idx="1">
                  <c:v>2.266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56-4708-996E-4402ED52D9A1}"/>
            </c:ext>
          </c:extLst>
        </c:ser>
        <c:ser>
          <c:idx val="2"/>
          <c:order val="2"/>
          <c:tx>
            <c:strRef>
              <c:f>'20260528'!$AF$33</c:f>
              <c:strCache>
                <c:ptCount val="1"/>
                <c:pt idx="0">
                  <c:v>USGS 35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'20260528'!$P$15:$P$20</c:f>
              <c:numCache>
                <c:formatCode>General</c:formatCode>
                <c:ptCount val="6"/>
                <c:pt idx="0">
                  <c:v>4</c:v>
                </c:pt>
                <c:pt idx="1">
                  <c:v>16</c:v>
                </c:pt>
                <c:pt idx="2">
                  <c:v>28</c:v>
                </c:pt>
              </c:numCache>
            </c:numRef>
          </c:xVal>
          <c:yVal>
            <c:numRef>
              <c:f>'20260528'!$S$15:$S$20</c:f>
              <c:numCache>
                <c:formatCode>General</c:formatCode>
                <c:ptCount val="6"/>
                <c:pt idx="0">
                  <c:v>7.4139999999999997</c:v>
                </c:pt>
                <c:pt idx="1">
                  <c:v>7.7949999999999999</c:v>
                </c:pt>
                <c:pt idx="2">
                  <c:v>7.5069999999999997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56-4708-996E-4402ED52D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218408"/>
        <c:axId val="220218800"/>
      </c:scatterChart>
      <c:valAx>
        <c:axId val="220218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n-US" altLang="ja-JP" b="1" baseline="0"/>
                  <a:t>line number</a:t>
                </a:r>
                <a:endParaRPr lang="ja-JP" altLang="en-US" b="1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220218800"/>
        <c:crosses val="autoZero"/>
        <c:crossBetween val="midCat"/>
      </c:valAx>
      <c:valAx>
        <c:axId val="220218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b="1"/>
                </a:pPr>
                <a:r>
                  <a:rPr lang="en-US" altLang="ja-JP" b="1"/>
                  <a:t>measured</a:t>
                </a:r>
                <a:r>
                  <a:rPr lang="en-US" altLang="ja-JP" b="1" baseline="0"/>
                  <a:t> d15N</a:t>
                </a:r>
                <a:endParaRPr lang="ja-JP" altLang="en-US" b="1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22021840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034373318397974"/>
          <c:y val="0.3876827896512936"/>
          <c:w val="0.11111125753632256"/>
          <c:h val="0.163044278556089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24</xdr:row>
      <xdr:rowOff>76200</xdr:rowOff>
    </xdr:from>
    <xdr:to>
      <xdr:col>22</xdr:col>
      <xdr:colOff>0</xdr:colOff>
      <xdr:row>40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3E837-E882-4D6C-A709-ACBCA3FC8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40</xdr:row>
      <xdr:rowOff>152400</xdr:rowOff>
    </xdr:from>
    <xdr:to>
      <xdr:col>22</xdr:col>
      <xdr:colOff>0</xdr:colOff>
      <xdr:row>56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BFA973-6205-43E7-A5EE-2599DD6AB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24</xdr:row>
      <xdr:rowOff>133350</xdr:rowOff>
    </xdr:from>
    <xdr:to>
      <xdr:col>29</xdr:col>
      <xdr:colOff>400050</xdr:colOff>
      <xdr:row>40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EA5781-CAF3-423C-AE32-7928D0B13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40</xdr:row>
      <xdr:rowOff>114300</xdr:rowOff>
    </xdr:from>
    <xdr:to>
      <xdr:col>29</xdr:col>
      <xdr:colOff>390525</xdr:colOff>
      <xdr:row>56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136BD7-01F3-46F3-9704-C40FF2E93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kochise\Desktop\&#30740;&#31350;&#23460;&#38306;&#36899;\2026&#24180;&#29256;\&#21516;&#20301;&#20307;\260512__kara-0000(Reevaluated).xlsx" TargetMode="External"/><Relationship Id="rId1" Type="http://schemas.openxmlformats.org/officeDocument/2006/relationships/externalLinkPath" Target="260512__kara-0000(Reevaluat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O2.wke"/>
      <sheetName val="20260512"/>
    </sheetNames>
    <sheetDataSet>
      <sheetData sheetId="0" refreshError="1"/>
      <sheetData sheetId="1">
        <row r="3">
          <cell r="P3">
            <v>2</v>
          </cell>
          <cell r="U3">
            <v>25.6</v>
          </cell>
          <cell r="V3">
            <v>180</v>
          </cell>
        </row>
        <row r="4">
          <cell r="P4">
            <v>14</v>
          </cell>
          <cell r="R4">
            <v>43.167000000000002</v>
          </cell>
          <cell r="S4">
            <v>181.5</v>
          </cell>
          <cell r="U4">
            <v>25.6</v>
          </cell>
          <cell r="V4">
            <v>180</v>
          </cell>
        </row>
        <row r="5">
          <cell r="P5">
            <v>26</v>
          </cell>
          <cell r="R5">
            <v>42.862000000000002</v>
          </cell>
          <cell r="S5">
            <v>181.62899999999999</v>
          </cell>
          <cell r="U5">
            <v>25.6</v>
          </cell>
          <cell r="V5">
            <v>180</v>
          </cell>
        </row>
        <row r="9">
          <cell r="P9">
            <v>3</v>
          </cell>
          <cell r="R9">
            <v>-7.8710000000000004</v>
          </cell>
          <cell r="S9">
            <v>2.976</v>
          </cell>
          <cell r="U9">
            <v>-27.9</v>
          </cell>
          <cell r="V9">
            <v>-1.8</v>
          </cell>
        </row>
        <row r="10">
          <cell r="P10">
            <v>15</v>
          </cell>
          <cell r="R10">
            <v>-7.5449999999999999</v>
          </cell>
          <cell r="S10">
            <v>2.762</v>
          </cell>
          <cell r="U10">
            <v>-27.9</v>
          </cell>
          <cell r="V10">
            <v>-1.8</v>
          </cell>
        </row>
        <row r="11">
          <cell r="P11">
            <v>27</v>
          </cell>
          <cell r="U11">
            <v>-27.9</v>
          </cell>
          <cell r="V11">
            <v>-1.8</v>
          </cell>
        </row>
        <row r="15">
          <cell r="P15">
            <v>4</v>
          </cell>
          <cell r="R15">
            <v>72.954999999999998</v>
          </cell>
          <cell r="S15">
            <v>8.5429999999999993</v>
          </cell>
          <cell r="U15">
            <v>57.5</v>
          </cell>
        </row>
        <row r="16">
          <cell r="P16">
            <v>16</v>
          </cell>
          <cell r="R16">
            <v>73.418000000000006</v>
          </cell>
          <cell r="S16">
            <v>7.9820000000000002</v>
          </cell>
          <cell r="U16">
            <v>57.5</v>
          </cell>
        </row>
        <row r="17">
          <cell r="P17">
            <v>28</v>
          </cell>
          <cell r="R17">
            <v>73.432000000000002</v>
          </cell>
          <cell r="S17">
            <v>7.3680000000000003</v>
          </cell>
          <cell r="U17">
            <v>57.5</v>
          </cell>
        </row>
        <row r="25">
          <cell r="AF25" t="str">
            <v>USGS 32</v>
          </cell>
        </row>
        <row r="26">
          <cell r="AF26" t="str">
            <v>USGS 34</v>
          </cell>
        </row>
        <row r="27">
          <cell r="AF27" t="str">
            <v>USGS 35</v>
          </cell>
        </row>
        <row r="31">
          <cell r="AF31" t="str">
            <v>USGS 32</v>
          </cell>
        </row>
        <row r="32">
          <cell r="AF32" t="str">
            <v>USGS 34</v>
          </cell>
        </row>
        <row r="33">
          <cell r="AF33" t="str">
            <v>USGS 35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6DB5-92C3-4C83-8645-0E546DD67CB7}">
  <sheetPr filterMode="1"/>
  <dimension ref="A1:K275"/>
  <sheetViews>
    <sheetView topLeftCell="A106" workbookViewId="0">
      <selection activeCell="D253" sqref="D253:E253"/>
    </sheetView>
  </sheetViews>
  <sheetFormatPr defaultRowHeight="13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s="1">
        <v>750</v>
      </c>
      <c r="B2" s="1">
        <v>1</v>
      </c>
      <c r="C2" s="1" t="s">
        <v>11</v>
      </c>
      <c r="D2" s="1">
        <v>0</v>
      </c>
      <c r="E2" s="1">
        <v>0</v>
      </c>
      <c r="F2" s="1">
        <v>99.563000000000002</v>
      </c>
      <c r="G2" s="1">
        <v>224.7</v>
      </c>
      <c r="H2" s="1" t="s">
        <v>12</v>
      </c>
      <c r="I2" s="1" t="s">
        <v>13</v>
      </c>
      <c r="J2" s="1" t="s">
        <v>14</v>
      </c>
      <c r="K2" s="1">
        <v>23.4</v>
      </c>
    </row>
    <row r="3" spans="1:11" hidden="1" x14ac:dyDescent="0.3">
      <c r="A3" s="1">
        <v>750</v>
      </c>
      <c r="B3" s="1">
        <v>2</v>
      </c>
      <c r="C3" s="1" t="s">
        <v>11</v>
      </c>
      <c r="D3" s="1">
        <v>-0.20799999999999999</v>
      </c>
      <c r="E3" s="1">
        <v>-0.24</v>
      </c>
      <c r="F3" s="1">
        <v>99.686000000000007</v>
      </c>
      <c r="G3" s="1">
        <v>324.2</v>
      </c>
      <c r="H3" s="1" t="s">
        <v>12</v>
      </c>
      <c r="I3" s="1" t="s">
        <v>13</v>
      </c>
      <c r="J3" s="1" t="s">
        <v>14</v>
      </c>
      <c r="K3" s="1">
        <v>23.4</v>
      </c>
    </row>
    <row r="4" spans="1:11" hidden="1" x14ac:dyDescent="0.3">
      <c r="A4" s="1">
        <v>750</v>
      </c>
      <c r="B4" s="1">
        <v>3</v>
      </c>
      <c r="C4" s="1" t="s">
        <v>11</v>
      </c>
      <c r="D4" s="1">
        <v>-0.29799999999999999</v>
      </c>
      <c r="E4" s="1">
        <v>-0.32500000000000001</v>
      </c>
      <c r="F4" s="1">
        <v>99.847999999999999</v>
      </c>
      <c r="G4" s="1">
        <v>423.6</v>
      </c>
      <c r="H4" s="1" t="s">
        <v>12</v>
      </c>
      <c r="I4" s="1" t="s">
        <v>13</v>
      </c>
      <c r="J4" s="1" t="s">
        <v>15</v>
      </c>
      <c r="K4" s="1">
        <v>23.4</v>
      </c>
    </row>
    <row r="5" spans="1:11" hidden="1" x14ac:dyDescent="0.3">
      <c r="A5" s="1">
        <v>750</v>
      </c>
      <c r="B5" s="1">
        <v>4</v>
      </c>
      <c r="C5" s="1" t="s">
        <v>11</v>
      </c>
      <c r="D5" s="1">
        <v>-0.30599999999999999</v>
      </c>
      <c r="E5" s="1">
        <v>-0.38</v>
      </c>
      <c r="F5" s="1">
        <v>99.817999999999998</v>
      </c>
      <c r="G5" s="1">
        <v>523.29999999999995</v>
      </c>
      <c r="H5" s="1" t="s">
        <v>12</v>
      </c>
      <c r="I5" s="1" t="s">
        <v>16</v>
      </c>
      <c r="J5" s="1" t="s">
        <v>17</v>
      </c>
      <c r="K5" s="1">
        <v>23.4</v>
      </c>
    </row>
    <row r="6" spans="1:11" hidden="1" x14ac:dyDescent="0.3">
      <c r="A6" s="1">
        <v>750</v>
      </c>
      <c r="B6" s="1">
        <v>5</v>
      </c>
      <c r="C6" s="1" t="s">
        <v>11</v>
      </c>
      <c r="D6" s="1">
        <v>-0.33300000000000002</v>
      </c>
      <c r="E6" s="1">
        <v>-0.40699999999999997</v>
      </c>
      <c r="F6" s="1">
        <v>99.866</v>
      </c>
      <c r="G6" s="1">
        <v>622.79999999999995</v>
      </c>
      <c r="H6" s="1" t="s">
        <v>12</v>
      </c>
      <c r="I6" s="1" t="s">
        <v>16</v>
      </c>
      <c r="J6" s="1" t="s">
        <v>17</v>
      </c>
      <c r="K6" s="1">
        <v>23.4</v>
      </c>
    </row>
    <row r="7" spans="1:11" hidden="1" x14ac:dyDescent="0.3">
      <c r="A7" s="1">
        <v>750</v>
      </c>
      <c r="B7" s="1">
        <v>6</v>
      </c>
      <c r="C7" s="1" t="s">
        <v>11</v>
      </c>
      <c r="D7" s="1">
        <v>1007.215</v>
      </c>
      <c r="E7" s="1">
        <v>545.02499999999998</v>
      </c>
      <c r="F7" s="1">
        <v>22.63</v>
      </c>
      <c r="G7" s="1">
        <v>1331.5</v>
      </c>
      <c r="H7" s="1" t="s">
        <v>12</v>
      </c>
      <c r="I7" s="1" t="s">
        <v>13</v>
      </c>
      <c r="J7" s="1" t="s">
        <v>18</v>
      </c>
      <c r="K7" s="1">
        <v>19.600000000000001</v>
      </c>
    </row>
    <row r="8" spans="1:11" x14ac:dyDescent="0.3">
      <c r="A8" s="1">
        <v>750</v>
      </c>
      <c r="B8" s="1">
        <v>7</v>
      </c>
      <c r="C8" s="1" t="s">
        <v>11</v>
      </c>
      <c r="D8" s="1">
        <v>14.069000000000001</v>
      </c>
      <c r="E8" s="1">
        <v>5.359</v>
      </c>
      <c r="F8" s="1">
        <v>0.32700000000000001</v>
      </c>
      <c r="G8" s="1">
        <v>1363.7</v>
      </c>
      <c r="H8" s="1" t="s">
        <v>19</v>
      </c>
      <c r="I8" s="1" t="s">
        <v>20</v>
      </c>
      <c r="J8" s="1" t="s">
        <v>21</v>
      </c>
      <c r="K8" s="1">
        <v>9.8000000000000007</v>
      </c>
    </row>
    <row r="9" spans="1:11" hidden="1" x14ac:dyDescent="0.3">
      <c r="A9" s="1">
        <v>751</v>
      </c>
      <c r="B9" s="1">
        <v>1</v>
      </c>
      <c r="C9" s="1" t="s">
        <v>11</v>
      </c>
      <c r="D9" s="1">
        <v>0</v>
      </c>
      <c r="E9" s="1">
        <v>0</v>
      </c>
      <c r="F9" s="1">
        <v>99.847999999999999</v>
      </c>
      <c r="G9" s="1">
        <v>224.7</v>
      </c>
      <c r="H9" s="1" t="s">
        <v>12</v>
      </c>
      <c r="I9" s="1" t="s">
        <v>13</v>
      </c>
      <c r="J9" s="1" t="s">
        <v>14</v>
      </c>
      <c r="K9" s="1">
        <v>23.4</v>
      </c>
    </row>
    <row r="10" spans="1:11" hidden="1" x14ac:dyDescent="0.3">
      <c r="A10" s="1">
        <v>751</v>
      </c>
      <c r="B10" s="1">
        <v>2</v>
      </c>
      <c r="C10" s="1" t="s">
        <v>11</v>
      </c>
      <c r="D10" s="1">
        <v>-0.107</v>
      </c>
      <c r="E10" s="1">
        <v>-0.127</v>
      </c>
      <c r="F10" s="1">
        <v>100.018</v>
      </c>
      <c r="G10" s="1">
        <v>324.2</v>
      </c>
      <c r="H10" s="1" t="s">
        <v>12</v>
      </c>
      <c r="I10" s="1" t="s">
        <v>13</v>
      </c>
      <c r="J10" s="1" t="s">
        <v>17</v>
      </c>
      <c r="K10" s="1">
        <v>23.4</v>
      </c>
    </row>
    <row r="11" spans="1:11" hidden="1" x14ac:dyDescent="0.3">
      <c r="A11" s="1">
        <v>751</v>
      </c>
      <c r="B11" s="1">
        <v>3</v>
      </c>
      <c r="C11" s="1" t="s">
        <v>11</v>
      </c>
      <c r="D11" s="1">
        <v>-0.187</v>
      </c>
      <c r="E11" s="1">
        <v>-0.17599999999999999</v>
      </c>
      <c r="F11" s="1">
        <v>100.215</v>
      </c>
      <c r="G11" s="1">
        <v>423.9</v>
      </c>
      <c r="H11" s="1" t="s">
        <v>12</v>
      </c>
      <c r="I11" s="1" t="s">
        <v>16</v>
      </c>
      <c r="J11" s="1" t="s">
        <v>17</v>
      </c>
      <c r="K11" s="1">
        <v>23.4</v>
      </c>
    </row>
    <row r="12" spans="1:11" hidden="1" x14ac:dyDescent="0.3">
      <c r="A12" s="1">
        <v>751</v>
      </c>
      <c r="B12" s="1">
        <v>4</v>
      </c>
      <c r="C12" s="1" t="s">
        <v>11</v>
      </c>
      <c r="D12" s="1">
        <v>-0.188</v>
      </c>
      <c r="E12" s="1">
        <v>-0.2</v>
      </c>
      <c r="F12" s="1">
        <v>100.08199999999999</v>
      </c>
      <c r="G12" s="1">
        <v>523.29999999999995</v>
      </c>
      <c r="H12" s="1" t="s">
        <v>12</v>
      </c>
      <c r="I12" s="1" t="s">
        <v>16</v>
      </c>
      <c r="J12" s="1" t="s">
        <v>20</v>
      </c>
      <c r="K12" s="1">
        <v>23.4</v>
      </c>
    </row>
    <row r="13" spans="1:11" hidden="1" x14ac:dyDescent="0.3">
      <c r="A13" s="1">
        <v>751</v>
      </c>
      <c r="B13" s="1">
        <v>5</v>
      </c>
      <c r="C13" s="1" t="s">
        <v>11</v>
      </c>
      <c r="D13" s="1">
        <v>-0.188</v>
      </c>
      <c r="E13" s="1">
        <v>-0.218</v>
      </c>
      <c r="F13" s="1">
        <v>100.22199999999999</v>
      </c>
      <c r="G13" s="1">
        <v>622.79999999999995</v>
      </c>
      <c r="H13" s="1" t="s">
        <v>12</v>
      </c>
      <c r="I13" s="1" t="s">
        <v>13</v>
      </c>
      <c r="J13" s="1" t="s">
        <v>20</v>
      </c>
      <c r="K13" s="1">
        <v>23.4</v>
      </c>
    </row>
    <row r="14" spans="1:11" hidden="1" x14ac:dyDescent="0.3">
      <c r="A14" s="1">
        <v>751</v>
      </c>
      <c r="B14" s="1">
        <v>6</v>
      </c>
      <c r="C14" s="1" t="s">
        <v>11</v>
      </c>
      <c r="D14" s="1">
        <v>997.26900000000001</v>
      </c>
      <c r="E14" s="1">
        <v>537.98400000000004</v>
      </c>
      <c r="F14" s="1">
        <v>1.0669999999999999</v>
      </c>
      <c r="G14" s="1">
        <v>1330.3</v>
      </c>
      <c r="H14" s="1" t="s">
        <v>12</v>
      </c>
      <c r="I14" s="1" t="s">
        <v>13</v>
      </c>
      <c r="J14" s="1" t="s">
        <v>14</v>
      </c>
      <c r="K14" s="1">
        <v>8.4</v>
      </c>
    </row>
    <row r="15" spans="1:11" x14ac:dyDescent="0.3">
      <c r="A15" s="1">
        <v>751</v>
      </c>
      <c r="B15" s="1">
        <v>7</v>
      </c>
      <c r="C15" s="1" t="s">
        <v>11</v>
      </c>
      <c r="D15" s="1">
        <v>27.212</v>
      </c>
      <c r="E15" s="1">
        <v>9.7249999999999996</v>
      </c>
      <c r="F15" s="1">
        <v>0.21299999999999999</v>
      </c>
      <c r="G15" s="1">
        <v>1360.4</v>
      </c>
      <c r="H15" s="1" t="s">
        <v>22</v>
      </c>
      <c r="I15" s="1" t="s">
        <v>16</v>
      </c>
      <c r="J15" s="1" t="s">
        <v>15</v>
      </c>
      <c r="K15" s="1">
        <v>7.1</v>
      </c>
    </row>
    <row r="16" spans="1:11" hidden="1" x14ac:dyDescent="0.3">
      <c r="A16" s="1">
        <v>752</v>
      </c>
      <c r="B16" s="1">
        <v>1</v>
      </c>
      <c r="C16" s="1" t="s">
        <v>11</v>
      </c>
      <c r="D16" s="1">
        <v>0</v>
      </c>
      <c r="E16" s="1">
        <v>0</v>
      </c>
      <c r="F16" s="1">
        <v>100.262</v>
      </c>
      <c r="G16" s="1">
        <v>224.7</v>
      </c>
      <c r="H16" s="1" t="s">
        <v>12</v>
      </c>
      <c r="I16" s="1" t="s">
        <v>13</v>
      </c>
      <c r="J16" s="1" t="s">
        <v>17</v>
      </c>
      <c r="K16" s="1">
        <v>23.4</v>
      </c>
    </row>
    <row r="17" spans="1:11" hidden="1" x14ac:dyDescent="0.3">
      <c r="A17" s="1">
        <v>752</v>
      </c>
      <c r="B17" s="1">
        <v>2</v>
      </c>
      <c r="C17" s="1" t="s">
        <v>11</v>
      </c>
      <c r="D17" s="1">
        <v>-0.10100000000000001</v>
      </c>
      <c r="E17" s="1">
        <v>-0.127</v>
      </c>
      <c r="F17" s="1">
        <v>100.42</v>
      </c>
      <c r="G17" s="1">
        <v>324.2</v>
      </c>
      <c r="H17" s="1" t="s">
        <v>12</v>
      </c>
      <c r="I17" s="1" t="s">
        <v>13</v>
      </c>
      <c r="J17" s="1" t="s">
        <v>20</v>
      </c>
      <c r="K17" s="1">
        <v>23.4</v>
      </c>
    </row>
    <row r="18" spans="1:11" hidden="1" x14ac:dyDescent="0.3">
      <c r="A18" s="1">
        <v>752</v>
      </c>
      <c r="B18" s="1">
        <v>3</v>
      </c>
      <c r="C18" s="1" t="s">
        <v>11</v>
      </c>
      <c r="D18" s="1">
        <v>-0.111</v>
      </c>
      <c r="E18" s="1">
        <v>-0.16300000000000001</v>
      </c>
      <c r="F18" s="1">
        <v>100.5</v>
      </c>
      <c r="G18" s="1">
        <v>423.6</v>
      </c>
      <c r="H18" s="1" t="s">
        <v>12</v>
      </c>
      <c r="I18" s="1" t="s">
        <v>16</v>
      </c>
      <c r="J18" s="1" t="s">
        <v>23</v>
      </c>
      <c r="K18" s="1">
        <v>23.4</v>
      </c>
    </row>
    <row r="19" spans="1:11" hidden="1" x14ac:dyDescent="0.3">
      <c r="A19" s="1">
        <v>752</v>
      </c>
      <c r="B19" s="1">
        <v>4</v>
      </c>
      <c r="C19" s="1" t="s">
        <v>11</v>
      </c>
      <c r="D19" s="1">
        <v>-0.17100000000000001</v>
      </c>
      <c r="E19" s="1">
        <v>-0.193</v>
      </c>
      <c r="F19" s="1">
        <v>100.628</v>
      </c>
      <c r="G19" s="1">
        <v>523.29999999999995</v>
      </c>
      <c r="H19" s="1" t="s">
        <v>22</v>
      </c>
      <c r="I19" s="1" t="s">
        <v>16</v>
      </c>
      <c r="J19" s="1" t="s">
        <v>24</v>
      </c>
      <c r="K19" s="1">
        <v>23.4</v>
      </c>
    </row>
    <row r="20" spans="1:11" hidden="1" x14ac:dyDescent="0.3">
      <c r="A20" s="1">
        <v>752</v>
      </c>
      <c r="B20" s="1">
        <v>5</v>
      </c>
      <c r="C20" s="1" t="s">
        <v>11</v>
      </c>
      <c r="D20" s="1">
        <v>-0.154</v>
      </c>
      <c r="E20" s="1">
        <v>-0.19900000000000001</v>
      </c>
      <c r="F20" s="1">
        <v>100.706</v>
      </c>
      <c r="G20" s="1">
        <v>622.79999999999995</v>
      </c>
      <c r="H20" s="1" t="s">
        <v>12</v>
      </c>
      <c r="I20" s="1" t="s">
        <v>16</v>
      </c>
      <c r="J20" s="1" t="s">
        <v>24</v>
      </c>
      <c r="K20" s="1">
        <v>23.4</v>
      </c>
    </row>
    <row r="21" spans="1:11" hidden="1" x14ac:dyDescent="0.3">
      <c r="A21" s="1">
        <v>752</v>
      </c>
      <c r="B21" s="1">
        <v>6</v>
      </c>
      <c r="C21" s="1" t="s">
        <v>11</v>
      </c>
      <c r="D21" s="1">
        <v>995.6</v>
      </c>
      <c r="E21" s="1">
        <v>537.93600000000004</v>
      </c>
      <c r="F21" s="1">
        <v>0.86899999999999999</v>
      </c>
      <c r="G21" s="1">
        <v>1330.3</v>
      </c>
      <c r="H21" s="1" t="s">
        <v>12</v>
      </c>
      <c r="I21" s="1" t="s">
        <v>13</v>
      </c>
      <c r="J21" s="1" t="s">
        <v>17</v>
      </c>
      <c r="K21" s="1">
        <v>8.1999999999999993</v>
      </c>
    </row>
    <row r="22" spans="1:11" x14ac:dyDescent="0.3">
      <c r="A22" s="1">
        <v>752</v>
      </c>
      <c r="B22" s="1">
        <v>7</v>
      </c>
      <c r="C22" s="1" t="s">
        <v>11</v>
      </c>
      <c r="D22" s="1">
        <v>25.905999999999999</v>
      </c>
      <c r="E22" s="1">
        <v>8.8659999999999997</v>
      </c>
      <c r="F22" s="1">
        <v>0.20599999999999999</v>
      </c>
      <c r="G22" s="1">
        <v>1360.6</v>
      </c>
      <c r="H22" s="1" t="s">
        <v>22</v>
      </c>
      <c r="I22" s="1" t="s">
        <v>16</v>
      </c>
      <c r="J22" s="1" t="s">
        <v>20</v>
      </c>
      <c r="K22" s="1">
        <v>7.1</v>
      </c>
    </row>
    <row r="23" spans="1:11" hidden="1" x14ac:dyDescent="0.3">
      <c r="A23" s="1">
        <v>812</v>
      </c>
      <c r="B23" s="1">
        <v>1</v>
      </c>
      <c r="C23" s="1" t="s">
        <v>25</v>
      </c>
      <c r="D23" s="1">
        <v>0</v>
      </c>
      <c r="E23" s="1">
        <v>0</v>
      </c>
      <c r="F23" s="1">
        <v>100.43899999999999</v>
      </c>
      <c r="G23" s="1">
        <v>224.7</v>
      </c>
      <c r="H23" s="1" t="s">
        <v>12</v>
      </c>
      <c r="I23" s="1" t="s">
        <v>18</v>
      </c>
      <c r="J23" s="1" t="s">
        <v>26</v>
      </c>
      <c r="K23" s="1">
        <v>23.4</v>
      </c>
    </row>
    <row r="24" spans="1:11" hidden="1" x14ac:dyDescent="0.3">
      <c r="A24" s="1">
        <v>812</v>
      </c>
      <c r="B24" s="1">
        <v>2</v>
      </c>
      <c r="C24" s="1" t="s">
        <v>25</v>
      </c>
      <c r="D24" s="1">
        <v>-0.17399999999999999</v>
      </c>
      <c r="E24" s="1">
        <v>-0.20200000000000001</v>
      </c>
      <c r="F24" s="1">
        <v>100.74299999999999</v>
      </c>
      <c r="G24" s="1">
        <v>324.2</v>
      </c>
      <c r="H24" s="1" t="s">
        <v>12</v>
      </c>
      <c r="I24" s="1" t="s">
        <v>27</v>
      </c>
      <c r="J24" s="1" t="s">
        <v>28</v>
      </c>
      <c r="K24" s="1">
        <v>23.4</v>
      </c>
    </row>
    <row r="25" spans="1:11" hidden="1" x14ac:dyDescent="0.3">
      <c r="A25" s="1">
        <v>812</v>
      </c>
      <c r="B25" s="1">
        <v>3</v>
      </c>
      <c r="C25" s="1" t="s">
        <v>25</v>
      </c>
      <c r="D25" s="1">
        <v>-0.26500000000000001</v>
      </c>
      <c r="E25" s="1">
        <v>-0.28100000000000003</v>
      </c>
      <c r="F25" s="1">
        <v>100.621</v>
      </c>
      <c r="G25" s="1">
        <v>423.6</v>
      </c>
      <c r="H25" s="1" t="s">
        <v>12</v>
      </c>
      <c r="I25" s="1" t="s">
        <v>29</v>
      </c>
      <c r="J25" s="1" t="s">
        <v>30</v>
      </c>
      <c r="K25" s="1">
        <v>23.4</v>
      </c>
    </row>
    <row r="26" spans="1:11" hidden="1" x14ac:dyDescent="0.3">
      <c r="A26" s="1">
        <v>812</v>
      </c>
      <c r="B26" s="1">
        <v>4</v>
      </c>
      <c r="C26" s="1" t="s">
        <v>25</v>
      </c>
      <c r="D26" s="1">
        <v>-0.33100000000000002</v>
      </c>
      <c r="E26" s="1">
        <v>-0.34200000000000003</v>
      </c>
      <c r="F26" s="1">
        <v>100.788</v>
      </c>
      <c r="G26" s="1">
        <v>523.29999999999995</v>
      </c>
      <c r="H26" s="1" t="s">
        <v>12</v>
      </c>
      <c r="I26" s="1" t="s">
        <v>31</v>
      </c>
      <c r="J26" s="1" t="s">
        <v>32</v>
      </c>
      <c r="K26" s="1">
        <v>23.4</v>
      </c>
    </row>
    <row r="27" spans="1:11" hidden="1" x14ac:dyDescent="0.3">
      <c r="A27" s="1">
        <v>812</v>
      </c>
      <c r="B27" s="1">
        <v>5</v>
      </c>
      <c r="C27" s="1" t="s">
        <v>25</v>
      </c>
      <c r="D27" s="1">
        <v>-0.31</v>
      </c>
      <c r="E27" s="1">
        <v>-0.38</v>
      </c>
      <c r="F27" s="1">
        <v>100.67100000000001</v>
      </c>
      <c r="G27" s="1">
        <v>622.79999999999995</v>
      </c>
      <c r="H27" s="1" t="s">
        <v>12</v>
      </c>
      <c r="I27" s="1" t="s">
        <v>33</v>
      </c>
      <c r="J27" s="1" t="s">
        <v>34</v>
      </c>
      <c r="K27" s="1">
        <v>23.4</v>
      </c>
    </row>
    <row r="28" spans="1:11" hidden="1" x14ac:dyDescent="0.3">
      <c r="A28" s="1">
        <v>812</v>
      </c>
      <c r="B28" s="1">
        <v>6</v>
      </c>
      <c r="C28" s="1" t="s">
        <v>25</v>
      </c>
      <c r="D28" s="1">
        <v>999.61599999999999</v>
      </c>
      <c r="E28" s="1">
        <v>538.74300000000005</v>
      </c>
      <c r="F28" s="1">
        <v>2.6539999999999999</v>
      </c>
      <c r="G28" s="1">
        <v>1333.2</v>
      </c>
      <c r="H28" s="1" t="s">
        <v>12</v>
      </c>
      <c r="I28" s="1" t="s">
        <v>35</v>
      </c>
      <c r="J28" s="1" t="s">
        <v>23</v>
      </c>
      <c r="K28" s="1">
        <v>10</v>
      </c>
    </row>
    <row r="29" spans="1:11" x14ac:dyDescent="0.3">
      <c r="A29" s="1">
        <v>812</v>
      </c>
      <c r="B29" s="1">
        <v>7</v>
      </c>
      <c r="C29" s="1" t="s">
        <v>25</v>
      </c>
      <c r="D29" s="1">
        <v>41.597000000000001</v>
      </c>
      <c r="E29" s="1">
        <v>182.15899999999999</v>
      </c>
      <c r="F29" s="1">
        <v>18.873999999999999</v>
      </c>
      <c r="G29" s="1">
        <v>1360.8</v>
      </c>
      <c r="H29" s="1" t="s">
        <v>36</v>
      </c>
      <c r="I29" s="1" t="s">
        <v>33</v>
      </c>
      <c r="J29" s="1" t="s">
        <v>37</v>
      </c>
      <c r="K29" s="1">
        <v>18.2</v>
      </c>
    </row>
    <row r="30" spans="1:11" hidden="1" x14ac:dyDescent="0.3">
      <c r="A30" s="1">
        <v>813</v>
      </c>
      <c r="B30" s="1">
        <v>1</v>
      </c>
      <c r="C30" s="1" t="s">
        <v>38</v>
      </c>
      <c r="D30" s="1">
        <v>0</v>
      </c>
      <c r="E30" s="1">
        <v>0</v>
      </c>
      <c r="F30" s="1">
        <v>100.453</v>
      </c>
      <c r="G30" s="1">
        <v>224.7</v>
      </c>
      <c r="H30" s="1" t="s">
        <v>12</v>
      </c>
      <c r="I30" s="1" t="s">
        <v>39</v>
      </c>
      <c r="J30" s="1" t="s">
        <v>23</v>
      </c>
      <c r="K30" s="1">
        <v>23.4</v>
      </c>
    </row>
    <row r="31" spans="1:11" hidden="1" x14ac:dyDescent="0.3">
      <c r="A31" s="1">
        <v>813</v>
      </c>
      <c r="B31" s="1">
        <v>2</v>
      </c>
      <c r="C31" s="1" t="s">
        <v>38</v>
      </c>
      <c r="D31" s="1">
        <v>-0.109</v>
      </c>
      <c r="E31" s="1">
        <v>-0.114</v>
      </c>
      <c r="F31" s="1">
        <v>100.73699999999999</v>
      </c>
      <c r="G31" s="1">
        <v>324.2</v>
      </c>
      <c r="H31" s="1" t="s">
        <v>12</v>
      </c>
      <c r="I31" s="1" t="s">
        <v>39</v>
      </c>
      <c r="J31" s="1" t="s">
        <v>23</v>
      </c>
      <c r="K31" s="1">
        <v>23.4</v>
      </c>
    </row>
    <row r="32" spans="1:11" hidden="1" x14ac:dyDescent="0.3">
      <c r="A32" s="1">
        <v>813</v>
      </c>
      <c r="B32" s="1">
        <v>3</v>
      </c>
      <c r="C32" s="1" t="s">
        <v>38</v>
      </c>
      <c r="D32" s="1">
        <v>-0.16400000000000001</v>
      </c>
      <c r="E32" s="1">
        <v>-0.16400000000000001</v>
      </c>
      <c r="F32" s="1">
        <v>100.752</v>
      </c>
      <c r="G32" s="1">
        <v>423.6</v>
      </c>
      <c r="H32" s="1" t="s">
        <v>12</v>
      </c>
      <c r="I32" s="1" t="s">
        <v>40</v>
      </c>
      <c r="J32" s="1" t="s">
        <v>24</v>
      </c>
      <c r="K32" s="1">
        <v>23.4</v>
      </c>
    </row>
    <row r="33" spans="1:11" hidden="1" x14ac:dyDescent="0.3">
      <c r="A33" s="1">
        <v>813</v>
      </c>
      <c r="B33" s="1">
        <v>4</v>
      </c>
      <c r="C33" s="1" t="s">
        <v>38</v>
      </c>
      <c r="D33" s="1">
        <v>-0.189</v>
      </c>
      <c r="E33" s="1">
        <v>-0.20100000000000001</v>
      </c>
      <c r="F33" s="1">
        <v>100.971</v>
      </c>
      <c r="G33" s="1">
        <v>523.1</v>
      </c>
      <c r="H33" s="1" t="s">
        <v>12</v>
      </c>
      <c r="I33" s="1" t="s">
        <v>39</v>
      </c>
      <c r="J33" s="1" t="s">
        <v>24</v>
      </c>
      <c r="K33" s="1">
        <v>23.4</v>
      </c>
    </row>
    <row r="34" spans="1:11" hidden="1" x14ac:dyDescent="0.3">
      <c r="A34" s="1">
        <v>813</v>
      </c>
      <c r="B34" s="1">
        <v>5</v>
      </c>
      <c r="C34" s="1" t="s">
        <v>38</v>
      </c>
      <c r="D34" s="1">
        <v>-0.16300000000000001</v>
      </c>
      <c r="E34" s="1">
        <v>-0.22500000000000001</v>
      </c>
      <c r="F34" s="1">
        <v>100.863</v>
      </c>
      <c r="G34" s="1">
        <v>622.79999999999995</v>
      </c>
      <c r="H34" s="1" t="s">
        <v>12</v>
      </c>
      <c r="I34" s="1" t="s">
        <v>40</v>
      </c>
      <c r="J34" s="1" t="s">
        <v>41</v>
      </c>
      <c r="K34" s="1">
        <v>23.4</v>
      </c>
    </row>
    <row r="35" spans="1:11" hidden="1" x14ac:dyDescent="0.3">
      <c r="A35" s="1">
        <v>813</v>
      </c>
      <c r="B35" s="1">
        <v>6</v>
      </c>
      <c r="C35" s="1" t="s">
        <v>38</v>
      </c>
      <c r="D35" s="1">
        <v>996.02499999999998</v>
      </c>
      <c r="E35" s="1">
        <v>537.39300000000003</v>
      </c>
      <c r="F35" s="1">
        <v>0.89300000000000002</v>
      </c>
      <c r="G35" s="1">
        <v>1332.6</v>
      </c>
      <c r="H35" s="1" t="s">
        <v>12</v>
      </c>
      <c r="I35" s="1" t="s">
        <v>39</v>
      </c>
      <c r="J35" s="1" t="s">
        <v>17</v>
      </c>
      <c r="K35" s="1">
        <v>7.5</v>
      </c>
    </row>
    <row r="36" spans="1:11" x14ac:dyDescent="0.3">
      <c r="A36" s="1">
        <v>813</v>
      </c>
      <c r="B36" s="1">
        <v>7</v>
      </c>
      <c r="C36" s="1" t="s">
        <v>38</v>
      </c>
      <c r="D36" s="1">
        <v>-8.4740000000000002</v>
      </c>
      <c r="E36" s="1">
        <v>2.9009999999999998</v>
      </c>
      <c r="F36" s="1">
        <v>17.309999999999999</v>
      </c>
      <c r="G36" s="1">
        <v>1360.4</v>
      </c>
      <c r="H36" s="1" t="s">
        <v>22</v>
      </c>
      <c r="I36" s="1" t="s">
        <v>35</v>
      </c>
      <c r="J36" s="1" t="s">
        <v>23</v>
      </c>
      <c r="K36" s="1">
        <v>17.3</v>
      </c>
    </row>
    <row r="37" spans="1:11" hidden="1" x14ac:dyDescent="0.3">
      <c r="A37" s="1">
        <v>814</v>
      </c>
      <c r="B37" s="1">
        <v>1</v>
      </c>
      <c r="C37" s="1" t="s">
        <v>42</v>
      </c>
      <c r="D37" s="1">
        <v>0</v>
      </c>
      <c r="E37" s="1">
        <v>0</v>
      </c>
      <c r="F37" s="1">
        <v>100.714</v>
      </c>
      <c r="G37" s="1">
        <v>224.7</v>
      </c>
      <c r="H37" s="1" t="s">
        <v>12</v>
      </c>
      <c r="I37" s="1" t="s">
        <v>40</v>
      </c>
      <c r="J37" s="1" t="s">
        <v>20</v>
      </c>
      <c r="K37" s="1">
        <v>23.4</v>
      </c>
    </row>
    <row r="38" spans="1:11" hidden="1" x14ac:dyDescent="0.3">
      <c r="A38" s="1">
        <v>814</v>
      </c>
      <c r="B38" s="1">
        <v>2</v>
      </c>
      <c r="C38" s="1" t="s">
        <v>42</v>
      </c>
      <c r="D38" s="1">
        <v>-9.6000000000000002E-2</v>
      </c>
      <c r="E38" s="1">
        <v>-0.13100000000000001</v>
      </c>
      <c r="F38" s="1">
        <v>100.88800000000001</v>
      </c>
      <c r="G38" s="1">
        <v>324.2</v>
      </c>
      <c r="H38" s="1" t="s">
        <v>12</v>
      </c>
      <c r="I38" s="1" t="s">
        <v>40</v>
      </c>
      <c r="J38" s="1" t="s">
        <v>23</v>
      </c>
      <c r="K38" s="1">
        <v>23.4</v>
      </c>
    </row>
    <row r="39" spans="1:11" hidden="1" x14ac:dyDescent="0.3">
      <c r="A39" s="1">
        <v>814</v>
      </c>
      <c r="B39" s="1">
        <v>3</v>
      </c>
      <c r="C39" s="1" t="s">
        <v>42</v>
      </c>
      <c r="D39" s="1">
        <v>-0.14299999999999999</v>
      </c>
      <c r="E39" s="1">
        <v>-0.17899999999999999</v>
      </c>
      <c r="F39" s="1">
        <v>100.95399999999999</v>
      </c>
      <c r="G39" s="1">
        <v>423.6</v>
      </c>
      <c r="H39" s="1" t="s">
        <v>12</v>
      </c>
      <c r="I39" s="1" t="s">
        <v>40</v>
      </c>
      <c r="J39" s="1" t="s">
        <v>24</v>
      </c>
      <c r="K39" s="1">
        <v>23.4</v>
      </c>
    </row>
    <row r="40" spans="1:11" hidden="1" x14ac:dyDescent="0.3">
      <c r="A40" s="1">
        <v>814</v>
      </c>
      <c r="B40" s="1">
        <v>4</v>
      </c>
      <c r="C40" s="1" t="s">
        <v>42</v>
      </c>
      <c r="D40" s="1">
        <v>-0.13</v>
      </c>
      <c r="E40" s="1">
        <v>-0.189</v>
      </c>
      <c r="F40" s="1">
        <v>100.899</v>
      </c>
      <c r="G40" s="1">
        <v>523.29999999999995</v>
      </c>
      <c r="H40" s="1" t="s">
        <v>12</v>
      </c>
      <c r="I40" s="1" t="s">
        <v>40</v>
      </c>
      <c r="J40" s="1" t="s">
        <v>24</v>
      </c>
      <c r="K40" s="1">
        <v>23.2</v>
      </c>
    </row>
    <row r="41" spans="1:11" hidden="1" x14ac:dyDescent="0.3">
      <c r="A41" s="1">
        <v>814</v>
      </c>
      <c r="B41" s="1">
        <v>5</v>
      </c>
      <c r="C41" s="1" t="s">
        <v>42</v>
      </c>
      <c r="D41" s="1">
        <v>-0.17799999999999999</v>
      </c>
      <c r="E41" s="1">
        <v>-0.193</v>
      </c>
      <c r="F41" s="1">
        <v>100.877</v>
      </c>
      <c r="G41" s="1">
        <v>622.79999999999995</v>
      </c>
      <c r="H41" s="1" t="s">
        <v>12</v>
      </c>
      <c r="I41" s="1" t="s">
        <v>40</v>
      </c>
      <c r="J41" s="1" t="s">
        <v>24</v>
      </c>
      <c r="K41" s="1">
        <v>23.4</v>
      </c>
    </row>
    <row r="42" spans="1:11" hidden="1" x14ac:dyDescent="0.3">
      <c r="A42" s="1">
        <v>814</v>
      </c>
      <c r="B42" s="1">
        <v>6</v>
      </c>
      <c r="C42" s="1" t="s">
        <v>42</v>
      </c>
      <c r="D42" s="1">
        <v>997.05700000000002</v>
      </c>
      <c r="E42" s="1">
        <v>537.072</v>
      </c>
      <c r="F42" s="1">
        <v>1.093</v>
      </c>
      <c r="G42" s="1">
        <v>1332.4</v>
      </c>
      <c r="H42" s="1" t="s">
        <v>43</v>
      </c>
      <c r="I42" s="1" t="s">
        <v>16</v>
      </c>
      <c r="J42" s="1" t="s">
        <v>17</v>
      </c>
      <c r="K42" s="1">
        <v>7.7</v>
      </c>
    </row>
    <row r="43" spans="1:11" x14ac:dyDescent="0.3">
      <c r="A43" s="1">
        <v>814</v>
      </c>
      <c r="B43" s="1">
        <v>7</v>
      </c>
      <c r="C43" s="1" t="s">
        <v>42</v>
      </c>
      <c r="D43" s="1">
        <v>72.403000000000006</v>
      </c>
      <c r="E43" s="1">
        <v>7.4139999999999997</v>
      </c>
      <c r="F43" s="1">
        <v>19.010999999999999</v>
      </c>
      <c r="G43" s="1">
        <v>1360</v>
      </c>
      <c r="H43" s="1" t="s">
        <v>12</v>
      </c>
      <c r="I43" s="1" t="s">
        <v>40</v>
      </c>
      <c r="J43" s="1" t="s">
        <v>20</v>
      </c>
      <c r="K43" s="1">
        <v>17.8</v>
      </c>
    </row>
    <row r="44" spans="1:11" hidden="1" x14ac:dyDescent="0.3">
      <c r="A44" s="1">
        <v>815</v>
      </c>
      <c r="B44" s="1">
        <v>1</v>
      </c>
      <c r="C44" s="1" t="s">
        <v>44</v>
      </c>
      <c r="D44" s="1">
        <v>0</v>
      </c>
      <c r="E44" s="1">
        <v>0</v>
      </c>
      <c r="F44" s="1">
        <v>101.11799999999999</v>
      </c>
      <c r="G44" s="1">
        <v>224.7</v>
      </c>
      <c r="H44" s="1" t="s">
        <v>12</v>
      </c>
      <c r="I44" s="1" t="s">
        <v>16</v>
      </c>
      <c r="J44" s="1" t="s">
        <v>20</v>
      </c>
      <c r="K44" s="1">
        <v>23.4</v>
      </c>
    </row>
    <row r="45" spans="1:11" hidden="1" x14ac:dyDescent="0.3">
      <c r="A45" s="1">
        <v>815</v>
      </c>
      <c r="B45" s="1">
        <v>2</v>
      </c>
      <c r="C45" s="1" t="s">
        <v>44</v>
      </c>
      <c r="D45" s="1">
        <v>-0.10199999999999999</v>
      </c>
      <c r="E45" s="1">
        <v>-0.114</v>
      </c>
      <c r="F45" s="1">
        <v>101.33</v>
      </c>
      <c r="G45" s="1">
        <v>324.2</v>
      </c>
      <c r="H45" s="1" t="s">
        <v>12</v>
      </c>
      <c r="I45" s="1" t="s">
        <v>16</v>
      </c>
      <c r="J45" s="1" t="s">
        <v>23</v>
      </c>
      <c r="K45" s="1">
        <v>23.4</v>
      </c>
    </row>
    <row r="46" spans="1:11" hidden="1" x14ac:dyDescent="0.3">
      <c r="A46" s="1">
        <v>815</v>
      </c>
      <c r="B46" s="1">
        <v>3</v>
      </c>
      <c r="C46" s="1" t="s">
        <v>44</v>
      </c>
      <c r="D46" s="1">
        <v>-0.11899999999999999</v>
      </c>
      <c r="E46" s="1">
        <v>-0.16</v>
      </c>
      <c r="F46" s="1">
        <v>101.538</v>
      </c>
      <c r="G46" s="1">
        <v>423.6</v>
      </c>
      <c r="H46" s="1" t="s">
        <v>12</v>
      </c>
      <c r="I46" s="1" t="s">
        <v>16</v>
      </c>
      <c r="J46" s="1" t="s">
        <v>24</v>
      </c>
      <c r="K46" s="1">
        <v>23.4</v>
      </c>
    </row>
    <row r="47" spans="1:11" hidden="1" x14ac:dyDescent="0.3">
      <c r="A47" s="1">
        <v>815</v>
      </c>
      <c r="B47" s="1">
        <v>4</v>
      </c>
      <c r="C47" s="1" t="s">
        <v>44</v>
      </c>
      <c r="D47" s="1">
        <v>-0.14799999999999999</v>
      </c>
      <c r="E47" s="1">
        <v>-0.20399999999999999</v>
      </c>
      <c r="F47" s="1">
        <v>101.392</v>
      </c>
      <c r="G47" s="1">
        <v>523.29999999999995</v>
      </c>
      <c r="H47" s="1" t="s">
        <v>12</v>
      </c>
      <c r="I47" s="1" t="s">
        <v>16</v>
      </c>
      <c r="J47" s="1" t="s">
        <v>24</v>
      </c>
      <c r="K47" s="1">
        <v>23.4</v>
      </c>
    </row>
    <row r="48" spans="1:11" hidden="1" x14ac:dyDescent="0.3">
      <c r="A48" s="1">
        <v>815</v>
      </c>
      <c r="B48" s="1">
        <v>5</v>
      </c>
      <c r="C48" s="1" t="s">
        <v>44</v>
      </c>
      <c r="D48" s="1">
        <v>-0.186</v>
      </c>
      <c r="E48" s="1">
        <v>-0.19500000000000001</v>
      </c>
      <c r="F48" s="1">
        <v>101.672</v>
      </c>
      <c r="G48" s="1">
        <v>622.79999999999995</v>
      </c>
      <c r="H48" s="1" t="s">
        <v>12</v>
      </c>
      <c r="I48" s="1" t="s">
        <v>16</v>
      </c>
      <c r="J48" s="1" t="s">
        <v>24</v>
      </c>
      <c r="K48" s="1">
        <v>23.4</v>
      </c>
    </row>
    <row r="49" spans="1:11" hidden="1" x14ac:dyDescent="0.3">
      <c r="A49" s="1">
        <v>815</v>
      </c>
      <c r="B49" s="1">
        <v>6</v>
      </c>
      <c r="C49" s="1" t="s">
        <v>44</v>
      </c>
      <c r="D49" s="1">
        <v>996.76800000000003</v>
      </c>
      <c r="E49" s="1">
        <v>538.14700000000005</v>
      </c>
      <c r="F49" s="1">
        <v>0.89300000000000002</v>
      </c>
      <c r="G49" s="1">
        <v>1334.7</v>
      </c>
      <c r="H49" s="1" t="s">
        <v>43</v>
      </c>
      <c r="I49" s="1" t="s">
        <v>13</v>
      </c>
      <c r="J49" s="1" t="s">
        <v>15</v>
      </c>
      <c r="K49" s="1">
        <v>8.6</v>
      </c>
    </row>
    <row r="50" spans="1:11" x14ac:dyDescent="0.3">
      <c r="A50" s="1">
        <v>815</v>
      </c>
      <c r="B50" s="1">
        <v>7</v>
      </c>
      <c r="C50" s="1" t="s">
        <v>44</v>
      </c>
      <c r="D50" s="1">
        <v>79.296000000000006</v>
      </c>
      <c r="E50" s="1">
        <v>4.556</v>
      </c>
      <c r="F50" s="1">
        <v>18.382999999999999</v>
      </c>
      <c r="G50" s="1">
        <v>1362.5</v>
      </c>
      <c r="H50" s="1" t="s">
        <v>12</v>
      </c>
      <c r="I50" s="1" t="s">
        <v>16</v>
      </c>
      <c r="J50" s="1" t="s">
        <v>17</v>
      </c>
      <c r="K50" s="1">
        <v>18.399999999999999</v>
      </c>
    </row>
    <row r="51" spans="1:11" hidden="1" x14ac:dyDescent="0.3">
      <c r="A51" s="1">
        <v>816</v>
      </c>
      <c r="B51" s="1">
        <v>1</v>
      </c>
      <c r="C51" s="1" t="s">
        <v>45</v>
      </c>
      <c r="D51" s="1">
        <v>0</v>
      </c>
      <c r="E51" s="1">
        <v>0</v>
      </c>
      <c r="F51" s="1">
        <v>101.53100000000001</v>
      </c>
      <c r="G51" s="1">
        <v>224.7</v>
      </c>
      <c r="H51" s="1" t="s">
        <v>12</v>
      </c>
      <c r="I51" s="1" t="s">
        <v>46</v>
      </c>
      <c r="J51" s="1" t="s">
        <v>47</v>
      </c>
      <c r="K51" s="1">
        <v>23.4</v>
      </c>
    </row>
    <row r="52" spans="1:11" hidden="1" x14ac:dyDescent="0.3">
      <c r="A52" s="1">
        <v>816</v>
      </c>
      <c r="B52" s="1">
        <v>2</v>
      </c>
      <c r="C52" s="1" t="s">
        <v>45</v>
      </c>
      <c r="D52" s="1">
        <v>-0.26600000000000001</v>
      </c>
      <c r="E52" s="1">
        <v>-0.21</v>
      </c>
      <c r="F52" s="1">
        <v>101.586</v>
      </c>
      <c r="G52" s="1">
        <v>324.2</v>
      </c>
      <c r="H52" s="1" t="s">
        <v>12</v>
      </c>
      <c r="I52" s="1" t="s">
        <v>48</v>
      </c>
      <c r="J52" s="1" t="s">
        <v>49</v>
      </c>
      <c r="K52" s="1">
        <v>23.4</v>
      </c>
    </row>
    <row r="53" spans="1:11" hidden="1" x14ac:dyDescent="0.3">
      <c r="A53" s="1">
        <v>816</v>
      </c>
      <c r="B53" s="1">
        <v>3</v>
      </c>
      <c r="C53" s="1" t="s">
        <v>45</v>
      </c>
      <c r="D53" s="1">
        <v>-0.21199999999999999</v>
      </c>
      <c r="E53" s="1">
        <v>-0.21199999999999999</v>
      </c>
      <c r="F53" s="1">
        <v>101.846</v>
      </c>
      <c r="G53" s="1">
        <v>423.6</v>
      </c>
      <c r="H53" s="1" t="s">
        <v>12</v>
      </c>
      <c r="I53" s="1" t="s">
        <v>21</v>
      </c>
      <c r="J53" s="1" t="s">
        <v>50</v>
      </c>
      <c r="K53" s="1">
        <v>23.4</v>
      </c>
    </row>
    <row r="54" spans="1:11" hidden="1" x14ac:dyDescent="0.3">
      <c r="A54" s="1">
        <v>816</v>
      </c>
      <c r="B54" s="1">
        <v>4</v>
      </c>
      <c r="C54" s="1" t="s">
        <v>45</v>
      </c>
      <c r="D54" s="1">
        <v>-0.13800000000000001</v>
      </c>
      <c r="E54" s="1">
        <v>-0.191</v>
      </c>
      <c r="F54" s="1">
        <v>101.946</v>
      </c>
      <c r="G54" s="1">
        <v>523.29999999999995</v>
      </c>
      <c r="H54" s="1" t="s">
        <v>12</v>
      </c>
      <c r="I54" s="1" t="s">
        <v>51</v>
      </c>
      <c r="J54" s="1" t="s">
        <v>52</v>
      </c>
      <c r="K54" s="1">
        <v>23.4</v>
      </c>
    </row>
    <row r="55" spans="1:11" hidden="1" x14ac:dyDescent="0.3">
      <c r="A55" s="1">
        <v>816</v>
      </c>
      <c r="B55" s="1">
        <v>5</v>
      </c>
      <c r="C55" s="1" t="s">
        <v>45</v>
      </c>
      <c r="D55" s="1">
        <v>-0.13600000000000001</v>
      </c>
      <c r="E55" s="1">
        <v>-0.214</v>
      </c>
      <c r="F55" s="1">
        <v>101.898</v>
      </c>
      <c r="G55" s="1">
        <v>622.79999999999995</v>
      </c>
      <c r="H55" s="1" t="s">
        <v>12</v>
      </c>
      <c r="I55" s="1" t="s">
        <v>23</v>
      </c>
      <c r="J55" s="1" t="s">
        <v>53</v>
      </c>
      <c r="K55" s="1">
        <v>23.4</v>
      </c>
    </row>
    <row r="56" spans="1:11" hidden="1" x14ac:dyDescent="0.3">
      <c r="A56" s="1">
        <v>816</v>
      </c>
      <c r="B56" s="1">
        <v>6</v>
      </c>
      <c r="C56" s="1" t="s">
        <v>45</v>
      </c>
      <c r="D56" s="1">
        <v>1008.256</v>
      </c>
      <c r="E56" s="1">
        <v>542.89200000000005</v>
      </c>
      <c r="F56" s="1">
        <v>1.4</v>
      </c>
      <c r="G56" s="1">
        <v>1332.4</v>
      </c>
      <c r="H56" s="1" t="s">
        <v>12</v>
      </c>
      <c r="I56" s="1" t="s">
        <v>54</v>
      </c>
      <c r="J56" s="1" t="s">
        <v>55</v>
      </c>
      <c r="K56" s="1">
        <v>8.6</v>
      </c>
    </row>
    <row r="57" spans="1:11" x14ac:dyDescent="0.3">
      <c r="A57" s="1">
        <v>816</v>
      </c>
      <c r="B57" s="1">
        <v>7</v>
      </c>
      <c r="C57" s="1" t="s">
        <v>45</v>
      </c>
      <c r="D57" s="1">
        <v>77.731999999999999</v>
      </c>
      <c r="E57" s="1">
        <v>6.5960000000000001</v>
      </c>
      <c r="F57" s="1">
        <v>17.280999999999999</v>
      </c>
      <c r="G57" s="1">
        <v>1360.4</v>
      </c>
      <c r="H57" s="1" t="s">
        <v>22</v>
      </c>
      <c r="I57" s="1" t="s">
        <v>56</v>
      </c>
      <c r="J57" s="1" t="s">
        <v>57</v>
      </c>
      <c r="K57" s="1">
        <v>17.600000000000001</v>
      </c>
    </row>
    <row r="58" spans="1:11" hidden="1" x14ac:dyDescent="0.3">
      <c r="A58" s="1">
        <v>817</v>
      </c>
      <c r="B58" s="1">
        <v>1</v>
      </c>
      <c r="C58" s="1" t="s">
        <v>58</v>
      </c>
      <c r="D58" s="1">
        <v>0</v>
      </c>
      <c r="E58" s="1">
        <v>0</v>
      </c>
      <c r="F58" s="1">
        <v>101.483</v>
      </c>
      <c r="G58" s="1">
        <v>224.7</v>
      </c>
      <c r="H58" s="1" t="s">
        <v>12</v>
      </c>
      <c r="I58" s="1" t="s">
        <v>59</v>
      </c>
      <c r="J58" s="1" t="s">
        <v>49</v>
      </c>
      <c r="K58" s="1">
        <v>23.4</v>
      </c>
    </row>
    <row r="59" spans="1:11" hidden="1" x14ac:dyDescent="0.3">
      <c r="A59" s="1">
        <v>817</v>
      </c>
      <c r="B59" s="1">
        <v>2</v>
      </c>
      <c r="C59" s="1" t="s">
        <v>58</v>
      </c>
      <c r="D59" s="1">
        <v>-0.72</v>
      </c>
      <c r="E59" s="1">
        <v>-0.48699999999999999</v>
      </c>
      <c r="F59" s="1">
        <v>101.50700000000001</v>
      </c>
      <c r="G59" s="1">
        <v>324.2</v>
      </c>
      <c r="H59" s="1" t="s">
        <v>12</v>
      </c>
      <c r="I59" s="1" t="s">
        <v>60</v>
      </c>
      <c r="J59" s="1" t="s">
        <v>61</v>
      </c>
      <c r="K59" s="1">
        <v>23.4</v>
      </c>
    </row>
    <row r="60" spans="1:11" hidden="1" x14ac:dyDescent="0.3">
      <c r="A60" s="1">
        <v>817</v>
      </c>
      <c r="B60" s="1">
        <v>3</v>
      </c>
      <c r="C60" s="1" t="s">
        <v>58</v>
      </c>
      <c r="D60" s="1">
        <v>-0.66800000000000004</v>
      </c>
      <c r="E60" s="1">
        <v>-0.47399999999999998</v>
      </c>
      <c r="F60" s="1">
        <v>101.61199999999999</v>
      </c>
      <c r="G60" s="1">
        <v>423.6</v>
      </c>
      <c r="H60" s="1" t="s">
        <v>12</v>
      </c>
      <c r="I60" s="1" t="s">
        <v>62</v>
      </c>
      <c r="J60" s="1" t="s">
        <v>63</v>
      </c>
      <c r="K60" s="1">
        <v>23.4</v>
      </c>
    </row>
    <row r="61" spans="1:11" hidden="1" x14ac:dyDescent="0.3">
      <c r="A61" s="1">
        <v>817</v>
      </c>
      <c r="B61" s="1">
        <v>4</v>
      </c>
      <c r="C61" s="1" t="s">
        <v>58</v>
      </c>
      <c r="D61" s="1">
        <v>-0.57999999999999996</v>
      </c>
      <c r="E61" s="1">
        <v>-0.45</v>
      </c>
      <c r="F61" s="1">
        <v>101.75</v>
      </c>
      <c r="G61" s="1">
        <v>523.1</v>
      </c>
      <c r="H61" s="1" t="s">
        <v>12</v>
      </c>
      <c r="I61" s="1" t="s">
        <v>64</v>
      </c>
      <c r="J61" s="1" t="s">
        <v>65</v>
      </c>
      <c r="K61" s="1">
        <v>23.4</v>
      </c>
    </row>
    <row r="62" spans="1:11" hidden="1" x14ac:dyDescent="0.3">
      <c r="A62" s="1">
        <v>817</v>
      </c>
      <c r="B62" s="1">
        <v>5</v>
      </c>
      <c r="C62" s="1" t="s">
        <v>58</v>
      </c>
      <c r="D62" s="1">
        <v>-0.57799999999999996</v>
      </c>
      <c r="E62" s="1">
        <v>-0.47099999999999997</v>
      </c>
      <c r="F62" s="1">
        <v>101.81699999999999</v>
      </c>
      <c r="G62" s="1">
        <v>622.79999999999995</v>
      </c>
      <c r="H62" s="1" t="s">
        <v>12</v>
      </c>
      <c r="I62" s="1" t="s">
        <v>41</v>
      </c>
      <c r="J62" s="1" t="s">
        <v>66</v>
      </c>
      <c r="K62" s="1">
        <v>23.4</v>
      </c>
    </row>
    <row r="63" spans="1:11" hidden="1" x14ac:dyDescent="0.3">
      <c r="A63" s="1">
        <v>817</v>
      </c>
      <c r="B63" s="1">
        <v>6</v>
      </c>
      <c r="C63" s="1" t="s">
        <v>58</v>
      </c>
      <c r="D63" s="1">
        <v>1008.981</v>
      </c>
      <c r="E63" s="1">
        <v>542.976</v>
      </c>
      <c r="F63" s="1">
        <v>1.4</v>
      </c>
      <c r="G63" s="1">
        <v>1331.7</v>
      </c>
      <c r="H63" s="1" t="s">
        <v>12</v>
      </c>
      <c r="I63" s="1" t="s">
        <v>56</v>
      </c>
      <c r="J63" s="1" t="s">
        <v>57</v>
      </c>
      <c r="K63" s="1">
        <v>8.1999999999999993</v>
      </c>
    </row>
    <row r="64" spans="1:11" x14ac:dyDescent="0.3">
      <c r="A64" s="1">
        <v>817</v>
      </c>
      <c r="B64" s="1">
        <v>7</v>
      </c>
      <c r="C64" s="1" t="s">
        <v>58</v>
      </c>
      <c r="D64" s="1">
        <v>78.748000000000005</v>
      </c>
      <c r="E64" s="1">
        <v>6.2910000000000004</v>
      </c>
      <c r="F64" s="1">
        <v>17.806000000000001</v>
      </c>
      <c r="G64" s="1">
        <v>1359.8</v>
      </c>
      <c r="H64" s="1" t="s">
        <v>22</v>
      </c>
      <c r="I64" s="1" t="s">
        <v>33</v>
      </c>
      <c r="J64" s="1" t="s">
        <v>51</v>
      </c>
      <c r="K64" s="1">
        <v>17.100000000000001</v>
      </c>
    </row>
    <row r="65" spans="1:11" hidden="1" x14ac:dyDescent="0.3">
      <c r="A65" s="1">
        <v>818</v>
      </c>
      <c r="B65" s="1">
        <v>1</v>
      </c>
      <c r="C65" s="1" t="s">
        <v>67</v>
      </c>
      <c r="D65" s="1">
        <v>0</v>
      </c>
      <c r="E65" s="1">
        <v>0</v>
      </c>
      <c r="F65" s="1">
        <v>101.538</v>
      </c>
      <c r="G65" s="1">
        <v>224.7</v>
      </c>
      <c r="H65" s="1" t="s">
        <v>22</v>
      </c>
      <c r="I65" s="1" t="s">
        <v>64</v>
      </c>
      <c r="J65" s="1" t="s">
        <v>48</v>
      </c>
      <c r="K65" s="1">
        <v>23.4</v>
      </c>
    </row>
    <row r="66" spans="1:11" hidden="1" x14ac:dyDescent="0.3">
      <c r="A66" s="1">
        <v>818</v>
      </c>
      <c r="B66" s="1">
        <v>2</v>
      </c>
      <c r="C66" s="1" t="s">
        <v>67</v>
      </c>
      <c r="D66" s="1">
        <v>-1.0409999999999999</v>
      </c>
      <c r="E66" s="1">
        <v>-0.66800000000000004</v>
      </c>
      <c r="F66" s="1">
        <v>101.92100000000001</v>
      </c>
      <c r="G66" s="1">
        <v>324.2</v>
      </c>
      <c r="H66" s="1" t="s">
        <v>22</v>
      </c>
      <c r="I66" s="1" t="s">
        <v>68</v>
      </c>
      <c r="J66" s="1" t="s">
        <v>69</v>
      </c>
      <c r="K66" s="1">
        <v>23.4</v>
      </c>
    </row>
    <row r="67" spans="1:11" hidden="1" x14ac:dyDescent="0.3">
      <c r="A67" s="1">
        <v>818</v>
      </c>
      <c r="B67" s="1">
        <v>3</v>
      </c>
      <c r="C67" s="1" t="s">
        <v>67</v>
      </c>
      <c r="D67" s="1">
        <v>-1.0229999999999999</v>
      </c>
      <c r="E67" s="1">
        <v>-0.67200000000000004</v>
      </c>
      <c r="F67" s="1">
        <v>101.80800000000001</v>
      </c>
      <c r="G67" s="1">
        <v>423.6</v>
      </c>
      <c r="H67" s="1" t="s">
        <v>22</v>
      </c>
      <c r="I67" s="1" t="s">
        <v>70</v>
      </c>
      <c r="J67" s="1" t="s">
        <v>71</v>
      </c>
      <c r="K67" s="1">
        <v>23.4</v>
      </c>
    </row>
    <row r="68" spans="1:11" hidden="1" x14ac:dyDescent="0.3">
      <c r="A68" s="1">
        <v>818</v>
      </c>
      <c r="B68" s="1">
        <v>4</v>
      </c>
      <c r="C68" s="1" t="s">
        <v>67</v>
      </c>
      <c r="D68" s="1">
        <v>-0.97399999999999998</v>
      </c>
      <c r="E68" s="1">
        <v>-0.65400000000000003</v>
      </c>
      <c r="F68" s="1">
        <v>101.986</v>
      </c>
      <c r="G68" s="1">
        <v>523.1</v>
      </c>
      <c r="H68" s="1" t="s">
        <v>22</v>
      </c>
      <c r="I68" s="1" t="s">
        <v>72</v>
      </c>
      <c r="J68" s="1" t="s">
        <v>73</v>
      </c>
      <c r="K68" s="1">
        <v>23.4</v>
      </c>
    </row>
    <row r="69" spans="1:11" hidden="1" x14ac:dyDescent="0.3">
      <c r="A69" s="1">
        <v>818</v>
      </c>
      <c r="B69" s="1">
        <v>5</v>
      </c>
      <c r="C69" s="1" t="s">
        <v>67</v>
      </c>
      <c r="D69" s="1">
        <v>-0.93200000000000005</v>
      </c>
      <c r="E69" s="1">
        <v>-0.67800000000000005</v>
      </c>
      <c r="F69" s="1">
        <v>101.961</v>
      </c>
      <c r="G69" s="1">
        <v>622.79999999999995</v>
      </c>
      <c r="H69" s="1" t="s">
        <v>22</v>
      </c>
      <c r="I69" s="1" t="s">
        <v>37</v>
      </c>
      <c r="J69" s="1" t="s">
        <v>74</v>
      </c>
      <c r="K69" s="1">
        <v>23.4</v>
      </c>
    </row>
    <row r="70" spans="1:11" hidden="1" x14ac:dyDescent="0.3">
      <c r="A70" s="1">
        <v>818</v>
      </c>
      <c r="B70" s="1">
        <v>6</v>
      </c>
      <c r="C70" s="1" t="s">
        <v>67</v>
      </c>
      <c r="D70" s="1">
        <v>1005.042</v>
      </c>
      <c r="E70" s="1">
        <v>542.45600000000002</v>
      </c>
      <c r="F70" s="1">
        <v>1.0940000000000001</v>
      </c>
      <c r="G70" s="1">
        <v>1332.8</v>
      </c>
      <c r="H70" s="1" t="s">
        <v>12</v>
      </c>
      <c r="I70" s="1" t="s">
        <v>56</v>
      </c>
      <c r="J70" s="1" t="s">
        <v>57</v>
      </c>
      <c r="K70" s="1">
        <v>8.1999999999999993</v>
      </c>
    </row>
    <row r="71" spans="1:11" x14ac:dyDescent="0.3">
      <c r="A71" s="1">
        <v>818</v>
      </c>
      <c r="B71" s="1">
        <v>7</v>
      </c>
      <c r="C71" s="1" t="s">
        <v>67</v>
      </c>
      <c r="D71" s="1">
        <v>84.959000000000003</v>
      </c>
      <c r="E71" s="1">
        <v>4.8730000000000002</v>
      </c>
      <c r="F71" s="1">
        <v>17.167000000000002</v>
      </c>
      <c r="G71" s="1">
        <v>1361</v>
      </c>
      <c r="H71" s="1" t="s">
        <v>22</v>
      </c>
      <c r="I71" s="1" t="s">
        <v>33</v>
      </c>
      <c r="J71" s="1" t="s">
        <v>51</v>
      </c>
      <c r="K71" s="1">
        <v>17.3</v>
      </c>
    </row>
    <row r="72" spans="1:11" hidden="1" x14ac:dyDescent="0.3">
      <c r="A72" s="1">
        <v>819</v>
      </c>
      <c r="B72" s="1">
        <v>1</v>
      </c>
      <c r="C72" s="1" t="s">
        <v>75</v>
      </c>
      <c r="D72" s="1">
        <v>0</v>
      </c>
      <c r="E72" s="1">
        <v>0</v>
      </c>
      <c r="F72" s="1">
        <v>101.672</v>
      </c>
      <c r="G72" s="1">
        <v>224.7</v>
      </c>
      <c r="H72" s="1" t="s">
        <v>22</v>
      </c>
      <c r="I72" s="1" t="s">
        <v>29</v>
      </c>
      <c r="J72" s="1" t="s">
        <v>30</v>
      </c>
      <c r="K72" s="1">
        <v>23.4</v>
      </c>
    </row>
    <row r="73" spans="1:11" hidden="1" x14ac:dyDescent="0.3">
      <c r="A73" s="1">
        <v>819</v>
      </c>
      <c r="B73" s="1">
        <v>2</v>
      </c>
      <c r="C73" s="1" t="s">
        <v>75</v>
      </c>
      <c r="D73" s="1">
        <v>-0.70299999999999996</v>
      </c>
      <c r="E73" s="1">
        <v>-0.51500000000000001</v>
      </c>
      <c r="F73" s="1">
        <v>101.907</v>
      </c>
      <c r="G73" s="1">
        <v>324.2</v>
      </c>
      <c r="H73" s="1" t="s">
        <v>22</v>
      </c>
      <c r="I73" s="1" t="s">
        <v>76</v>
      </c>
      <c r="J73" s="1" t="s">
        <v>77</v>
      </c>
      <c r="K73" s="1">
        <v>23.4</v>
      </c>
    </row>
    <row r="74" spans="1:11" hidden="1" x14ac:dyDescent="0.3">
      <c r="A74" s="1">
        <v>819</v>
      </c>
      <c r="B74" s="1">
        <v>3</v>
      </c>
      <c r="C74" s="1" t="s">
        <v>75</v>
      </c>
      <c r="D74" s="1">
        <v>-0.81100000000000005</v>
      </c>
      <c r="E74" s="1">
        <v>-0.58899999999999997</v>
      </c>
      <c r="F74" s="1">
        <v>102.04900000000001</v>
      </c>
      <c r="G74" s="1">
        <v>423.6</v>
      </c>
      <c r="H74" s="1" t="s">
        <v>36</v>
      </c>
      <c r="I74" s="1" t="s">
        <v>78</v>
      </c>
      <c r="J74" s="1" t="s">
        <v>79</v>
      </c>
      <c r="K74" s="1">
        <v>23.4</v>
      </c>
    </row>
    <row r="75" spans="1:11" hidden="1" x14ac:dyDescent="0.3">
      <c r="A75" s="1">
        <v>819</v>
      </c>
      <c r="B75" s="1">
        <v>4</v>
      </c>
      <c r="C75" s="1" t="s">
        <v>75</v>
      </c>
      <c r="D75" s="1">
        <v>-0.76100000000000001</v>
      </c>
      <c r="E75" s="1">
        <v>-0.55800000000000005</v>
      </c>
      <c r="F75" s="1">
        <v>102.07899999999999</v>
      </c>
      <c r="G75" s="1">
        <v>523.1</v>
      </c>
      <c r="H75" s="1" t="s">
        <v>36</v>
      </c>
      <c r="I75" s="1" t="s">
        <v>26</v>
      </c>
      <c r="J75" s="1" t="s">
        <v>80</v>
      </c>
      <c r="K75" s="1">
        <v>23.4</v>
      </c>
    </row>
    <row r="76" spans="1:11" hidden="1" x14ac:dyDescent="0.3">
      <c r="A76" s="1">
        <v>819</v>
      </c>
      <c r="B76" s="1">
        <v>5</v>
      </c>
      <c r="C76" s="1" t="s">
        <v>75</v>
      </c>
      <c r="D76" s="1">
        <v>-0.73199999999999998</v>
      </c>
      <c r="E76" s="1">
        <v>-0.54</v>
      </c>
      <c r="F76" s="1">
        <v>102.16</v>
      </c>
      <c r="G76" s="1">
        <v>622.6</v>
      </c>
      <c r="H76" s="1" t="s">
        <v>22</v>
      </c>
      <c r="I76" s="1" t="s">
        <v>51</v>
      </c>
      <c r="J76" s="1" t="s">
        <v>78</v>
      </c>
      <c r="K76" s="1">
        <v>23.4</v>
      </c>
    </row>
    <row r="77" spans="1:11" hidden="1" x14ac:dyDescent="0.3">
      <c r="A77" s="1">
        <v>819</v>
      </c>
      <c r="B77" s="1">
        <v>6</v>
      </c>
      <c r="C77" s="1" t="s">
        <v>75</v>
      </c>
      <c r="D77" s="1">
        <v>1007.925</v>
      </c>
      <c r="E77" s="1">
        <v>543.38400000000001</v>
      </c>
      <c r="F77" s="1">
        <v>1.4470000000000001</v>
      </c>
      <c r="G77" s="1">
        <v>1334.3</v>
      </c>
      <c r="H77" s="1" t="s">
        <v>12</v>
      </c>
      <c r="I77" s="1" t="s">
        <v>56</v>
      </c>
      <c r="J77" s="1" t="s">
        <v>55</v>
      </c>
      <c r="K77" s="1">
        <v>9</v>
      </c>
    </row>
    <row r="78" spans="1:11" x14ac:dyDescent="0.3">
      <c r="A78" s="1">
        <v>819</v>
      </c>
      <c r="B78" s="1">
        <v>7</v>
      </c>
      <c r="C78" s="1" t="s">
        <v>75</v>
      </c>
      <c r="D78" s="1">
        <v>80.091999999999999</v>
      </c>
      <c r="E78" s="1">
        <v>4.4569999999999999</v>
      </c>
      <c r="F78" s="1">
        <v>11.71</v>
      </c>
      <c r="G78" s="1">
        <v>1363.1</v>
      </c>
      <c r="H78" s="1" t="s">
        <v>22</v>
      </c>
      <c r="I78" s="1" t="s">
        <v>33</v>
      </c>
      <c r="J78" s="1" t="s">
        <v>51</v>
      </c>
      <c r="K78" s="1">
        <v>16.100000000000001</v>
      </c>
    </row>
    <row r="79" spans="1:11" hidden="1" x14ac:dyDescent="0.3">
      <c r="A79" s="1">
        <v>820</v>
      </c>
      <c r="B79" s="1">
        <v>1</v>
      </c>
      <c r="C79" s="1" t="s">
        <v>81</v>
      </c>
      <c r="D79" s="1">
        <v>0</v>
      </c>
      <c r="E79" s="1">
        <v>0</v>
      </c>
      <c r="F79" s="1">
        <v>101.85</v>
      </c>
      <c r="G79" s="1">
        <v>224.7</v>
      </c>
      <c r="H79" s="1" t="s">
        <v>22</v>
      </c>
      <c r="I79" s="1" t="s">
        <v>54</v>
      </c>
      <c r="J79" s="1" t="s">
        <v>55</v>
      </c>
      <c r="K79" s="1">
        <v>23.4</v>
      </c>
    </row>
    <row r="80" spans="1:11" hidden="1" x14ac:dyDescent="0.3">
      <c r="A80" s="1">
        <v>820</v>
      </c>
      <c r="B80" s="1">
        <v>2</v>
      </c>
      <c r="C80" s="1" t="s">
        <v>81</v>
      </c>
      <c r="D80" s="1">
        <v>-0.14499999999999999</v>
      </c>
      <c r="E80" s="1">
        <v>-0.127</v>
      </c>
      <c r="F80" s="1">
        <v>102.05800000000001</v>
      </c>
      <c r="G80" s="1">
        <v>324.2</v>
      </c>
      <c r="H80" s="1" t="s">
        <v>22</v>
      </c>
      <c r="I80" s="1" t="s">
        <v>65</v>
      </c>
      <c r="J80" s="1" t="s">
        <v>82</v>
      </c>
      <c r="K80" s="1">
        <v>23.4</v>
      </c>
    </row>
    <row r="81" spans="1:11" hidden="1" x14ac:dyDescent="0.3">
      <c r="A81" s="1">
        <v>820</v>
      </c>
      <c r="B81" s="1">
        <v>3</v>
      </c>
      <c r="C81" s="1" t="s">
        <v>81</v>
      </c>
      <c r="D81" s="1">
        <v>-0.41799999999999998</v>
      </c>
      <c r="E81" s="1">
        <v>-0.34100000000000003</v>
      </c>
      <c r="F81" s="1">
        <v>102.027</v>
      </c>
      <c r="G81" s="1">
        <v>423.6</v>
      </c>
      <c r="H81" s="1" t="s">
        <v>36</v>
      </c>
      <c r="I81" s="1" t="s">
        <v>83</v>
      </c>
      <c r="J81" s="1" t="s">
        <v>84</v>
      </c>
      <c r="K81" s="1">
        <v>23.4</v>
      </c>
    </row>
    <row r="82" spans="1:11" hidden="1" x14ac:dyDescent="0.3">
      <c r="A82" s="1">
        <v>820</v>
      </c>
      <c r="B82" s="1">
        <v>4</v>
      </c>
      <c r="C82" s="1" t="s">
        <v>81</v>
      </c>
      <c r="D82" s="1">
        <v>-0.35799999999999998</v>
      </c>
      <c r="E82" s="1">
        <v>-0.29899999999999999</v>
      </c>
      <c r="F82" s="1">
        <v>102.148</v>
      </c>
      <c r="G82" s="1">
        <v>523.29999999999995</v>
      </c>
      <c r="H82" s="1" t="s">
        <v>22</v>
      </c>
      <c r="I82" s="1" t="s">
        <v>85</v>
      </c>
      <c r="J82" s="1" t="s">
        <v>86</v>
      </c>
      <c r="K82" s="1">
        <v>23.2</v>
      </c>
    </row>
    <row r="83" spans="1:11" hidden="1" x14ac:dyDescent="0.3">
      <c r="A83" s="1">
        <v>820</v>
      </c>
      <c r="B83" s="1">
        <v>5</v>
      </c>
      <c r="C83" s="1" t="s">
        <v>81</v>
      </c>
      <c r="D83" s="1">
        <v>-0.33300000000000002</v>
      </c>
      <c r="E83" s="1">
        <v>-0.29899999999999999</v>
      </c>
      <c r="F83" s="1">
        <v>102.221</v>
      </c>
      <c r="G83" s="1">
        <v>622.79999999999995</v>
      </c>
      <c r="H83" s="1" t="s">
        <v>22</v>
      </c>
      <c r="I83" s="1" t="s">
        <v>55</v>
      </c>
      <c r="J83" s="1" t="s">
        <v>83</v>
      </c>
      <c r="K83" s="1">
        <v>23.4</v>
      </c>
    </row>
    <row r="84" spans="1:11" hidden="1" x14ac:dyDescent="0.3">
      <c r="A84" s="1">
        <v>820</v>
      </c>
      <c r="B84" s="1">
        <v>6</v>
      </c>
      <c r="C84" s="1" t="s">
        <v>81</v>
      </c>
      <c r="D84" s="1">
        <v>1007.164</v>
      </c>
      <c r="E84" s="1">
        <v>544.03200000000004</v>
      </c>
      <c r="F84" s="1">
        <v>1.3080000000000001</v>
      </c>
      <c r="G84" s="1">
        <v>1333.2</v>
      </c>
      <c r="H84" s="1" t="s">
        <v>12</v>
      </c>
      <c r="I84" s="1" t="s">
        <v>54</v>
      </c>
      <c r="J84" s="1" t="s">
        <v>55</v>
      </c>
      <c r="K84" s="1">
        <v>8.6</v>
      </c>
    </row>
    <row r="85" spans="1:11" x14ac:dyDescent="0.3">
      <c r="A85" s="1">
        <v>820</v>
      </c>
      <c r="B85" s="1">
        <v>7</v>
      </c>
      <c r="C85" s="1" t="s">
        <v>81</v>
      </c>
      <c r="D85" s="1">
        <v>78.177000000000007</v>
      </c>
      <c r="E85" s="1">
        <v>6.7380000000000004</v>
      </c>
      <c r="F85" s="1">
        <v>16.678000000000001</v>
      </c>
      <c r="G85" s="1">
        <v>1361</v>
      </c>
      <c r="H85" s="1" t="s">
        <v>22</v>
      </c>
      <c r="I85" s="1" t="s">
        <v>56</v>
      </c>
      <c r="J85" s="1" t="s">
        <v>57</v>
      </c>
      <c r="K85" s="1">
        <v>17.600000000000001</v>
      </c>
    </row>
    <row r="86" spans="1:11" hidden="1" x14ac:dyDescent="0.3">
      <c r="A86" s="1">
        <v>821</v>
      </c>
      <c r="B86" s="1">
        <v>1</v>
      </c>
      <c r="C86" s="1" t="s">
        <v>87</v>
      </c>
      <c r="D86" s="1">
        <v>0</v>
      </c>
      <c r="E86" s="1">
        <v>0</v>
      </c>
      <c r="F86" s="1">
        <v>101.892</v>
      </c>
      <c r="G86" s="1">
        <v>224.7</v>
      </c>
      <c r="H86" s="1" t="s">
        <v>12</v>
      </c>
      <c r="I86" s="1" t="s">
        <v>19</v>
      </c>
      <c r="J86" s="1" t="s">
        <v>26</v>
      </c>
      <c r="K86" s="1">
        <v>23.4</v>
      </c>
    </row>
    <row r="87" spans="1:11" hidden="1" x14ac:dyDescent="0.3">
      <c r="A87" s="1">
        <v>821</v>
      </c>
      <c r="B87" s="1">
        <v>2</v>
      </c>
      <c r="C87" s="1" t="s">
        <v>87</v>
      </c>
      <c r="D87" s="1">
        <v>-0.92</v>
      </c>
      <c r="E87" s="1">
        <v>-0.63400000000000001</v>
      </c>
      <c r="F87" s="1">
        <v>102.268</v>
      </c>
      <c r="G87" s="1">
        <v>324.2</v>
      </c>
      <c r="H87" s="1" t="s">
        <v>22</v>
      </c>
      <c r="I87" s="1" t="s">
        <v>88</v>
      </c>
      <c r="J87" s="1" t="s">
        <v>89</v>
      </c>
      <c r="K87" s="1">
        <v>23.4</v>
      </c>
    </row>
    <row r="88" spans="1:11" hidden="1" x14ac:dyDescent="0.3">
      <c r="A88" s="1">
        <v>821</v>
      </c>
      <c r="B88" s="1">
        <v>3</v>
      </c>
      <c r="C88" s="1" t="s">
        <v>87</v>
      </c>
      <c r="D88" s="1">
        <v>-1.01</v>
      </c>
      <c r="E88" s="1">
        <v>-0.7</v>
      </c>
      <c r="F88" s="1">
        <v>102.387</v>
      </c>
      <c r="G88" s="1">
        <v>423.6</v>
      </c>
      <c r="H88" s="1" t="s">
        <v>22</v>
      </c>
      <c r="I88" s="1" t="s">
        <v>78</v>
      </c>
      <c r="J88" s="1" t="s">
        <v>90</v>
      </c>
      <c r="K88" s="1">
        <v>23.4</v>
      </c>
    </row>
    <row r="89" spans="1:11" hidden="1" x14ac:dyDescent="0.3">
      <c r="A89" s="1">
        <v>821</v>
      </c>
      <c r="B89" s="1">
        <v>4</v>
      </c>
      <c r="C89" s="1" t="s">
        <v>87</v>
      </c>
      <c r="D89" s="1">
        <v>-0.94299999999999995</v>
      </c>
      <c r="E89" s="1">
        <v>-0.67900000000000005</v>
      </c>
      <c r="F89" s="1">
        <v>102.446</v>
      </c>
      <c r="G89" s="1">
        <v>523.1</v>
      </c>
      <c r="H89" s="1" t="s">
        <v>22</v>
      </c>
      <c r="I89" s="1" t="s">
        <v>26</v>
      </c>
      <c r="J89" s="1" t="s">
        <v>91</v>
      </c>
      <c r="K89" s="1">
        <v>23.4</v>
      </c>
    </row>
    <row r="90" spans="1:11" hidden="1" x14ac:dyDescent="0.3">
      <c r="A90" s="1">
        <v>821</v>
      </c>
      <c r="B90" s="1">
        <v>5</v>
      </c>
      <c r="C90" s="1" t="s">
        <v>87</v>
      </c>
      <c r="D90" s="1">
        <v>-0.88700000000000001</v>
      </c>
      <c r="E90" s="1">
        <v>-0.66800000000000004</v>
      </c>
      <c r="F90" s="1">
        <v>102.43</v>
      </c>
      <c r="G90" s="1">
        <v>622.79999999999995</v>
      </c>
      <c r="H90" s="1" t="s">
        <v>22</v>
      </c>
      <c r="I90" s="1" t="s">
        <v>51</v>
      </c>
      <c r="J90" s="1" t="s">
        <v>92</v>
      </c>
      <c r="K90" s="1">
        <v>23.4</v>
      </c>
    </row>
    <row r="91" spans="1:11" hidden="1" x14ac:dyDescent="0.3">
      <c r="A91" s="1">
        <v>821</v>
      </c>
      <c r="B91" s="1">
        <v>6</v>
      </c>
      <c r="C91" s="1" t="s">
        <v>87</v>
      </c>
      <c r="D91" s="1">
        <v>1011.827</v>
      </c>
      <c r="E91" s="1">
        <v>545.75</v>
      </c>
      <c r="F91" s="1">
        <v>1.9570000000000001</v>
      </c>
      <c r="G91" s="1">
        <v>1331.3</v>
      </c>
      <c r="H91" s="1" t="s">
        <v>12</v>
      </c>
      <c r="I91" s="1" t="s">
        <v>54</v>
      </c>
      <c r="J91" s="1" t="s">
        <v>57</v>
      </c>
      <c r="K91" s="1">
        <v>9</v>
      </c>
    </row>
    <row r="92" spans="1:11" x14ac:dyDescent="0.3">
      <c r="A92" s="1">
        <v>821</v>
      </c>
      <c r="B92" s="1">
        <v>7</v>
      </c>
      <c r="C92" s="1" t="s">
        <v>87</v>
      </c>
      <c r="D92" s="1">
        <v>79.221999999999994</v>
      </c>
      <c r="E92" s="1">
        <v>5.5179999999999998</v>
      </c>
      <c r="F92" s="1">
        <v>15.82</v>
      </c>
      <c r="G92" s="1">
        <v>1359.5</v>
      </c>
      <c r="H92" s="1" t="s">
        <v>22</v>
      </c>
      <c r="I92" s="1" t="s">
        <v>33</v>
      </c>
      <c r="J92" s="1" t="s">
        <v>34</v>
      </c>
      <c r="K92" s="1">
        <v>16.899999999999999</v>
      </c>
    </row>
    <row r="93" spans="1:11" hidden="1" x14ac:dyDescent="0.3">
      <c r="A93" s="1">
        <v>822</v>
      </c>
      <c r="B93" s="1">
        <v>1</v>
      </c>
      <c r="C93" s="1" t="s">
        <v>93</v>
      </c>
      <c r="D93" s="1">
        <v>0</v>
      </c>
      <c r="E93" s="1">
        <v>0</v>
      </c>
      <c r="F93" s="1">
        <v>101.962</v>
      </c>
      <c r="G93" s="1">
        <v>224.7</v>
      </c>
      <c r="H93" s="1" t="s">
        <v>12</v>
      </c>
      <c r="I93" s="1" t="s">
        <v>55</v>
      </c>
      <c r="J93" s="1" t="s">
        <v>83</v>
      </c>
      <c r="K93" s="1">
        <v>23.4</v>
      </c>
    </row>
    <row r="94" spans="1:11" hidden="1" x14ac:dyDescent="0.3">
      <c r="A94" s="1">
        <v>822</v>
      </c>
      <c r="B94" s="1">
        <v>2</v>
      </c>
      <c r="C94" s="1" t="s">
        <v>93</v>
      </c>
      <c r="D94" s="1">
        <v>-1.133</v>
      </c>
      <c r="E94" s="1">
        <v>-0.73799999999999999</v>
      </c>
      <c r="F94" s="1">
        <v>102.148</v>
      </c>
      <c r="G94" s="1">
        <v>324.2</v>
      </c>
      <c r="H94" s="1" t="s">
        <v>22</v>
      </c>
      <c r="I94" s="1" t="s">
        <v>94</v>
      </c>
      <c r="J94" s="1" t="s">
        <v>95</v>
      </c>
      <c r="K94" s="1">
        <v>23.4</v>
      </c>
    </row>
    <row r="95" spans="1:11" hidden="1" x14ac:dyDescent="0.3">
      <c r="A95" s="1">
        <v>822</v>
      </c>
      <c r="B95" s="1">
        <v>3</v>
      </c>
      <c r="C95" s="1" t="s">
        <v>93</v>
      </c>
      <c r="D95" s="1">
        <v>-1.155</v>
      </c>
      <c r="E95" s="1">
        <v>-0.76600000000000001</v>
      </c>
      <c r="F95" s="1">
        <v>102.19</v>
      </c>
      <c r="G95" s="1">
        <v>423.6</v>
      </c>
      <c r="H95" s="1" t="s">
        <v>22</v>
      </c>
      <c r="I95" s="1" t="s">
        <v>96</v>
      </c>
      <c r="J95" s="1" t="s">
        <v>79</v>
      </c>
      <c r="K95" s="1">
        <v>23.4</v>
      </c>
    </row>
    <row r="96" spans="1:11" hidden="1" x14ac:dyDescent="0.3">
      <c r="A96" s="1">
        <v>822</v>
      </c>
      <c r="B96" s="1">
        <v>4</v>
      </c>
      <c r="C96" s="1" t="s">
        <v>93</v>
      </c>
      <c r="D96" s="1">
        <v>-1.0589999999999999</v>
      </c>
      <c r="E96" s="1">
        <v>-0.753</v>
      </c>
      <c r="F96" s="1">
        <v>102.283</v>
      </c>
      <c r="G96" s="1">
        <v>523.1</v>
      </c>
      <c r="H96" s="1" t="s">
        <v>22</v>
      </c>
      <c r="I96" s="1" t="s">
        <v>97</v>
      </c>
      <c r="J96" s="1" t="s">
        <v>80</v>
      </c>
      <c r="K96" s="1">
        <v>23.4</v>
      </c>
    </row>
    <row r="97" spans="1:11" hidden="1" x14ac:dyDescent="0.3">
      <c r="A97" s="1">
        <v>822</v>
      </c>
      <c r="B97" s="1">
        <v>5</v>
      </c>
      <c r="C97" s="1" t="s">
        <v>93</v>
      </c>
      <c r="D97" s="1">
        <v>-1.0649999999999999</v>
      </c>
      <c r="E97" s="1">
        <v>-0.76400000000000001</v>
      </c>
      <c r="F97" s="1">
        <v>102.43</v>
      </c>
      <c r="G97" s="1">
        <v>622.79999999999995</v>
      </c>
      <c r="H97" s="1" t="s">
        <v>22</v>
      </c>
      <c r="I97" s="1" t="s">
        <v>57</v>
      </c>
      <c r="J97" s="1" t="s">
        <v>92</v>
      </c>
      <c r="K97" s="1">
        <v>23.4</v>
      </c>
    </row>
    <row r="98" spans="1:11" hidden="1" x14ac:dyDescent="0.3">
      <c r="A98" s="1">
        <v>822</v>
      </c>
      <c r="B98" s="1">
        <v>6</v>
      </c>
      <c r="C98" s="1" t="s">
        <v>93</v>
      </c>
      <c r="D98" s="1">
        <v>1008.072</v>
      </c>
      <c r="E98" s="1">
        <v>543.87300000000005</v>
      </c>
      <c r="F98" s="1">
        <v>1.3240000000000001</v>
      </c>
      <c r="G98" s="1">
        <v>1333.4</v>
      </c>
      <c r="H98" s="1" t="s">
        <v>43</v>
      </c>
      <c r="I98" s="1" t="s">
        <v>54</v>
      </c>
      <c r="J98" s="1" t="s">
        <v>55</v>
      </c>
      <c r="K98" s="1">
        <v>8.8000000000000007</v>
      </c>
    </row>
    <row r="99" spans="1:11" x14ac:dyDescent="0.3">
      <c r="A99" s="1">
        <v>822</v>
      </c>
      <c r="B99" s="1">
        <v>7</v>
      </c>
      <c r="C99" s="1" t="s">
        <v>93</v>
      </c>
      <c r="D99" s="1">
        <v>85.629000000000005</v>
      </c>
      <c r="E99" s="1">
        <v>4.0229999999999997</v>
      </c>
      <c r="F99" s="1">
        <v>17.457000000000001</v>
      </c>
      <c r="G99" s="1">
        <v>1361.6</v>
      </c>
      <c r="H99" s="1" t="s">
        <v>22</v>
      </c>
      <c r="I99" s="1" t="s">
        <v>56</v>
      </c>
      <c r="J99" s="1" t="s">
        <v>57</v>
      </c>
      <c r="K99" s="1">
        <v>18</v>
      </c>
    </row>
    <row r="100" spans="1:11" hidden="1" x14ac:dyDescent="0.3">
      <c r="A100" s="1">
        <v>823</v>
      </c>
      <c r="B100" s="1">
        <v>1</v>
      </c>
      <c r="C100" s="1" t="s">
        <v>98</v>
      </c>
      <c r="D100" s="1">
        <v>0</v>
      </c>
      <c r="E100" s="1">
        <v>0</v>
      </c>
      <c r="F100" s="1">
        <v>101.995</v>
      </c>
      <c r="G100" s="1">
        <v>224.7</v>
      </c>
      <c r="H100" s="1" t="s">
        <v>12</v>
      </c>
      <c r="I100" s="1" t="s">
        <v>15</v>
      </c>
      <c r="J100" s="1" t="s">
        <v>99</v>
      </c>
      <c r="K100" s="1">
        <v>23.4</v>
      </c>
    </row>
    <row r="101" spans="1:11" hidden="1" x14ac:dyDescent="0.3">
      <c r="A101" s="1">
        <v>823</v>
      </c>
      <c r="B101" s="1">
        <v>2</v>
      </c>
      <c r="C101" s="1" t="s">
        <v>98</v>
      </c>
      <c r="D101" s="1">
        <v>-0.88300000000000001</v>
      </c>
      <c r="E101" s="1">
        <v>-0.59399999999999997</v>
      </c>
      <c r="F101" s="1">
        <v>102.164</v>
      </c>
      <c r="G101" s="1">
        <v>324.2</v>
      </c>
      <c r="H101" s="1" t="s">
        <v>22</v>
      </c>
      <c r="I101" s="1" t="s">
        <v>68</v>
      </c>
      <c r="J101" s="1" t="s">
        <v>69</v>
      </c>
      <c r="K101" s="1">
        <v>23.4</v>
      </c>
    </row>
    <row r="102" spans="1:11" hidden="1" x14ac:dyDescent="0.3">
      <c r="A102" s="1">
        <v>823</v>
      </c>
      <c r="B102" s="1">
        <v>3</v>
      </c>
      <c r="C102" s="1" t="s">
        <v>98</v>
      </c>
      <c r="D102" s="1">
        <v>-0.91700000000000004</v>
      </c>
      <c r="E102" s="1">
        <v>-0.63400000000000001</v>
      </c>
      <c r="F102" s="1">
        <v>102.23699999999999</v>
      </c>
      <c r="G102" s="1">
        <v>423.6</v>
      </c>
      <c r="H102" s="1" t="s">
        <v>22</v>
      </c>
      <c r="I102" s="1" t="s">
        <v>100</v>
      </c>
      <c r="J102" s="1" t="s">
        <v>101</v>
      </c>
      <c r="K102" s="1">
        <v>23.4</v>
      </c>
    </row>
    <row r="103" spans="1:11" hidden="1" x14ac:dyDescent="0.3">
      <c r="A103" s="1">
        <v>823</v>
      </c>
      <c r="B103" s="1">
        <v>4</v>
      </c>
      <c r="C103" s="1" t="s">
        <v>98</v>
      </c>
      <c r="D103" s="1">
        <v>-0.86599999999999999</v>
      </c>
      <c r="E103" s="1">
        <v>-0.63200000000000001</v>
      </c>
      <c r="F103" s="1">
        <v>102.236</v>
      </c>
      <c r="G103" s="1">
        <v>523.29999999999995</v>
      </c>
      <c r="H103" s="1" t="s">
        <v>22</v>
      </c>
      <c r="I103" s="1" t="s">
        <v>28</v>
      </c>
      <c r="J103" s="1" t="s">
        <v>102</v>
      </c>
      <c r="K103" s="1">
        <v>23.4</v>
      </c>
    </row>
    <row r="104" spans="1:11" hidden="1" x14ac:dyDescent="0.3">
      <c r="A104" s="1">
        <v>823</v>
      </c>
      <c r="B104" s="1">
        <v>5</v>
      </c>
      <c r="C104" s="1" t="s">
        <v>98</v>
      </c>
      <c r="D104" s="1">
        <v>-0.79900000000000004</v>
      </c>
      <c r="E104" s="1">
        <v>-0.60599999999999998</v>
      </c>
      <c r="F104" s="1">
        <v>102.211</v>
      </c>
      <c r="G104" s="1">
        <v>622.79999999999995</v>
      </c>
      <c r="H104" s="1" t="s">
        <v>22</v>
      </c>
      <c r="I104" s="1" t="s">
        <v>103</v>
      </c>
      <c r="J104" s="1" t="s">
        <v>104</v>
      </c>
      <c r="K104" s="1">
        <v>23.4</v>
      </c>
    </row>
    <row r="105" spans="1:11" hidden="1" x14ac:dyDescent="0.3">
      <c r="A105" s="1">
        <v>823</v>
      </c>
      <c r="B105" s="1">
        <v>6</v>
      </c>
      <c r="C105" s="1" t="s">
        <v>98</v>
      </c>
      <c r="D105" s="1">
        <v>1009.475</v>
      </c>
      <c r="E105" s="1">
        <v>543.88099999999997</v>
      </c>
      <c r="F105" s="1">
        <v>1.427</v>
      </c>
      <c r="G105" s="1">
        <v>1332.8</v>
      </c>
      <c r="H105" s="1" t="s">
        <v>12</v>
      </c>
      <c r="I105" s="1" t="s">
        <v>54</v>
      </c>
      <c r="J105" s="1" t="s">
        <v>103</v>
      </c>
      <c r="K105" s="1">
        <v>8.1999999999999993</v>
      </c>
    </row>
    <row r="106" spans="1:11" x14ac:dyDescent="0.3">
      <c r="A106" s="1">
        <v>823</v>
      </c>
      <c r="B106" s="1">
        <v>7</v>
      </c>
      <c r="C106" s="1" t="s">
        <v>98</v>
      </c>
      <c r="D106" s="1">
        <v>39.802999999999997</v>
      </c>
      <c r="E106" s="1">
        <v>1.9550000000000001</v>
      </c>
      <c r="F106" s="1">
        <v>19.157</v>
      </c>
      <c r="G106" s="1">
        <v>1360.6</v>
      </c>
      <c r="H106" s="1" t="s">
        <v>22</v>
      </c>
      <c r="I106" s="1" t="s">
        <v>56</v>
      </c>
      <c r="J106" s="1" t="s">
        <v>57</v>
      </c>
      <c r="K106" s="1">
        <v>17.8</v>
      </c>
    </row>
    <row r="107" spans="1:11" hidden="1" x14ac:dyDescent="0.3">
      <c r="A107" s="1">
        <v>824</v>
      </c>
      <c r="B107" s="1">
        <v>1</v>
      </c>
      <c r="C107" s="1" t="s">
        <v>25</v>
      </c>
      <c r="D107" s="1">
        <v>0</v>
      </c>
      <c r="E107" s="1">
        <v>0</v>
      </c>
      <c r="F107" s="1">
        <v>102.126</v>
      </c>
      <c r="G107" s="1">
        <v>224.7</v>
      </c>
      <c r="H107" s="1" t="s">
        <v>12</v>
      </c>
      <c r="I107" s="1" t="s">
        <v>54</v>
      </c>
      <c r="J107" s="1" t="s">
        <v>55</v>
      </c>
      <c r="K107" s="1">
        <v>23.4</v>
      </c>
    </row>
    <row r="108" spans="1:11" hidden="1" x14ac:dyDescent="0.3">
      <c r="A108" s="1">
        <v>824</v>
      </c>
      <c r="B108" s="1">
        <v>2</v>
      </c>
      <c r="C108" s="1" t="s">
        <v>25</v>
      </c>
      <c r="D108" s="1">
        <v>-0.27500000000000002</v>
      </c>
      <c r="E108" s="1">
        <v>-0.20499999999999999</v>
      </c>
      <c r="F108" s="1">
        <v>102.16500000000001</v>
      </c>
      <c r="G108" s="1">
        <v>324.2</v>
      </c>
      <c r="H108" s="1" t="s">
        <v>22</v>
      </c>
      <c r="I108" s="1" t="s">
        <v>105</v>
      </c>
      <c r="J108" s="1" t="s">
        <v>106</v>
      </c>
      <c r="K108" s="1">
        <v>23.4</v>
      </c>
    </row>
    <row r="109" spans="1:11" hidden="1" x14ac:dyDescent="0.3">
      <c r="A109" s="1">
        <v>824</v>
      </c>
      <c r="B109" s="1">
        <v>3</v>
      </c>
      <c r="C109" s="1" t="s">
        <v>25</v>
      </c>
      <c r="D109" s="1">
        <v>-0.49399999999999999</v>
      </c>
      <c r="E109" s="1">
        <v>-0.36899999999999999</v>
      </c>
      <c r="F109" s="1">
        <v>102.199</v>
      </c>
      <c r="G109" s="1">
        <v>423.6</v>
      </c>
      <c r="H109" s="1" t="s">
        <v>22</v>
      </c>
      <c r="I109" s="1" t="s">
        <v>66</v>
      </c>
      <c r="J109" s="1" t="s">
        <v>107</v>
      </c>
      <c r="K109" s="1">
        <v>23.4</v>
      </c>
    </row>
    <row r="110" spans="1:11" hidden="1" x14ac:dyDescent="0.3">
      <c r="A110" s="1">
        <v>824</v>
      </c>
      <c r="B110" s="1">
        <v>4</v>
      </c>
      <c r="C110" s="1" t="s">
        <v>25</v>
      </c>
      <c r="D110" s="1">
        <v>-0.46300000000000002</v>
      </c>
      <c r="E110" s="1">
        <v>-0.33900000000000002</v>
      </c>
      <c r="F110" s="1">
        <v>102.254</v>
      </c>
      <c r="G110" s="1">
        <v>523.1</v>
      </c>
      <c r="H110" s="1" t="s">
        <v>22</v>
      </c>
      <c r="I110" s="1" t="s">
        <v>28</v>
      </c>
      <c r="J110" s="1" t="s">
        <v>60</v>
      </c>
      <c r="K110" s="1">
        <v>23.4</v>
      </c>
    </row>
    <row r="111" spans="1:11" hidden="1" x14ac:dyDescent="0.3">
      <c r="A111" s="1">
        <v>824</v>
      </c>
      <c r="B111" s="1">
        <v>5</v>
      </c>
      <c r="C111" s="1" t="s">
        <v>25</v>
      </c>
      <c r="D111" s="1">
        <v>-0.39400000000000002</v>
      </c>
      <c r="E111" s="1">
        <v>-0.32600000000000001</v>
      </c>
      <c r="F111" s="1">
        <v>102.34399999999999</v>
      </c>
      <c r="G111" s="1">
        <v>622.79999999999995</v>
      </c>
      <c r="H111" s="1" t="s">
        <v>22</v>
      </c>
      <c r="I111" s="1" t="s">
        <v>103</v>
      </c>
      <c r="J111" s="1" t="s">
        <v>104</v>
      </c>
      <c r="K111" s="1">
        <v>23.4</v>
      </c>
    </row>
    <row r="112" spans="1:11" hidden="1" x14ac:dyDescent="0.3">
      <c r="A112" s="1">
        <v>824</v>
      </c>
      <c r="B112" s="1">
        <v>6</v>
      </c>
      <c r="C112" s="1" t="s">
        <v>25</v>
      </c>
      <c r="D112" s="1">
        <v>1008.82</v>
      </c>
      <c r="E112" s="1">
        <v>544.47</v>
      </c>
      <c r="F112" s="1">
        <v>1.3520000000000001</v>
      </c>
      <c r="G112" s="1">
        <v>1333.2</v>
      </c>
      <c r="H112" s="1" t="s">
        <v>12</v>
      </c>
      <c r="I112" s="1" t="s">
        <v>54</v>
      </c>
      <c r="J112" s="1" t="s">
        <v>103</v>
      </c>
      <c r="K112" s="1">
        <v>8.8000000000000007</v>
      </c>
    </row>
    <row r="113" spans="1:11" x14ac:dyDescent="0.3">
      <c r="A113" s="1">
        <v>824</v>
      </c>
      <c r="B113" s="1">
        <v>7</v>
      </c>
      <c r="C113" s="1" t="s">
        <v>25</v>
      </c>
      <c r="D113" s="1">
        <v>41.738999999999997</v>
      </c>
      <c r="E113" s="1">
        <v>181.89099999999999</v>
      </c>
      <c r="F113" s="1">
        <v>19.702000000000002</v>
      </c>
      <c r="G113" s="1">
        <v>1361.4</v>
      </c>
      <c r="H113" s="1" t="s">
        <v>22</v>
      </c>
      <c r="I113" s="1" t="s">
        <v>56</v>
      </c>
      <c r="J113" s="1" t="s">
        <v>57</v>
      </c>
      <c r="K113" s="1">
        <v>18.2</v>
      </c>
    </row>
    <row r="114" spans="1:11" hidden="1" x14ac:dyDescent="0.3">
      <c r="A114" s="1">
        <v>825</v>
      </c>
      <c r="B114" s="1">
        <v>1</v>
      </c>
      <c r="C114" s="1" t="s">
        <v>38</v>
      </c>
      <c r="D114" s="1">
        <v>0</v>
      </c>
      <c r="E114" s="1">
        <v>0</v>
      </c>
      <c r="F114" s="1">
        <v>101.342</v>
      </c>
      <c r="G114" s="1">
        <v>224.7</v>
      </c>
      <c r="H114" s="1" t="s">
        <v>12</v>
      </c>
      <c r="I114" s="1" t="s">
        <v>35</v>
      </c>
      <c r="J114" s="1" t="s">
        <v>37</v>
      </c>
      <c r="K114" s="1">
        <v>23.4</v>
      </c>
    </row>
    <row r="115" spans="1:11" hidden="1" x14ac:dyDescent="0.3">
      <c r="A115" s="1">
        <v>825</v>
      </c>
      <c r="B115" s="1">
        <v>2</v>
      </c>
      <c r="C115" s="1" t="s">
        <v>38</v>
      </c>
      <c r="D115" s="1">
        <v>0.30599999999999999</v>
      </c>
      <c r="E115" s="1">
        <v>0.16700000000000001</v>
      </c>
      <c r="F115" s="1">
        <v>101.41200000000001</v>
      </c>
      <c r="G115" s="1">
        <v>324.2</v>
      </c>
      <c r="H115" s="1" t="s">
        <v>12</v>
      </c>
      <c r="I115" s="1" t="s">
        <v>108</v>
      </c>
      <c r="J115" s="1" t="s">
        <v>102</v>
      </c>
      <c r="K115" s="1">
        <v>23.4</v>
      </c>
    </row>
    <row r="116" spans="1:11" hidden="1" x14ac:dyDescent="0.3">
      <c r="A116" s="1">
        <v>825</v>
      </c>
      <c r="B116" s="1">
        <v>3</v>
      </c>
      <c r="C116" s="1" t="s">
        <v>38</v>
      </c>
      <c r="D116" s="1">
        <v>-0.317</v>
      </c>
      <c r="E116" s="1">
        <v>-0.219</v>
      </c>
      <c r="F116" s="1">
        <v>101.88800000000001</v>
      </c>
      <c r="G116" s="1">
        <v>423.6</v>
      </c>
      <c r="H116" s="1" t="s">
        <v>22</v>
      </c>
      <c r="I116" s="1" t="s">
        <v>100</v>
      </c>
      <c r="J116" s="1" t="s">
        <v>107</v>
      </c>
      <c r="K116" s="1">
        <v>23.4</v>
      </c>
    </row>
    <row r="117" spans="1:11" hidden="1" x14ac:dyDescent="0.3">
      <c r="A117" s="1">
        <v>825</v>
      </c>
      <c r="B117" s="1">
        <v>4</v>
      </c>
      <c r="C117" s="1" t="s">
        <v>38</v>
      </c>
      <c r="D117" s="1">
        <v>-0.25800000000000001</v>
      </c>
      <c r="E117" s="1">
        <v>-0.216</v>
      </c>
      <c r="F117" s="1">
        <v>102.22</v>
      </c>
      <c r="G117" s="1">
        <v>523.1</v>
      </c>
      <c r="H117" s="1" t="s">
        <v>22</v>
      </c>
      <c r="I117" s="1" t="s">
        <v>28</v>
      </c>
      <c r="J117" s="1" t="s">
        <v>60</v>
      </c>
      <c r="K117" s="1">
        <v>23.4</v>
      </c>
    </row>
    <row r="118" spans="1:11" hidden="1" x14ac:dyDescent="0.3">
      <c r="A118" s="1">
        <v>825</v>
      </c>
      <c r="B118" s="1">
        <v>5</v>
      </c>
      <c r="C118" s="1" t="s">
        <v>38</v>
      </c>
      <c r="D118" s="1">
        <v>-0.21199999999999999</v>
      </c>
      <c r="E118" s="1">
        <v>-0.21299999999999999</v>
      </c>
      <c r="F118" s="1">
        <v>102.444</v>
      </c>
      <c r="G118" s="1">
        <v>622.79999999999995</v>
      </c>
      <c r="H118" s="1" t="s">
        <v>22</v>
      </c>
      <c r="I118" s="1" t="s">
        <v>37</v>
      </c>
      <c r="J118" s="1" t="s">
        <v>66</v>
      </c>
      <c r="K118" s="1">
        <v>23.4</v>
      </c>
    </row>
    <row r="119" spans="1:11" hidden="1" x14ac:dyDescent="0.3">
      <c r="A119" s="1">
        <v>825</v>
      </c>
      <c r="B119" s="1">
        <v>6</v>
      </c>
      <c r="C119" s="1" t="s">
        <v>38</v>
      </c>
      <c r="D119" s="1">
        <v>1006.071</v>
      </c>
      <c r="E119" s="1">
        <v>543.83399999999995</v>
      </c>
      <c r="F119" s="1">
        <v>1.1359999999999999</v>
      </c>
      <c r="G119" s="1">
        <v>1330.9</v>
      </c>
      <c r="H119" s="1" t="s">
        <v>12</v>
      </c>
      <c r="I119" s="1" t="s">
        <v>54</v>
      </c>
      <c r="J119" s="1" t="s">
        <v>103</v>
      </c>
      <c r="K119" s="1">
        <v>7.9</v>
      </c>
    </row>
    <row r="120" spans="1:11" x14ac:dyDescent="0.3">
      <c r="A120" s="1">
        <v>825</v>
      </c>
      <c r="B120" s="1">
        <v>7</v>
      </c>
      <c r="C120" s="1" t="s">
        <v>38</v>
      </c>
      <c r="D120" s="1">
        <v>-8.7970000000000006</v>
      </c>
      <c r="E120" s="1">
        <v>2.266</v>
      </c>
      <c r="F120" s="1">
        <v>16.273</v>
      </c>
      <c r="G120" s="1">
        <v>1358.9</v>
      </c>
      <c r="H120" s="1" t="s">
        <v>22</v>
      </c>
      <c r="I120" s="1" t="s">
        <v>56</v>
      </c>
      <c r="J120" s="1" t="s">
        <v>55</v>
      </c>
      <c r="K120" s="1">
        <v>16.7</v>
      </c>
    </row>
    <row r="121" spans="1:11" hidden="1" x14ac:dyDescent="0.3">
      <c r="A121" s="1">
        <v>826</v>
      </c>
      <c r="B121" s="1">
        <v>1</v>
      </c>
      <c r="C121" s="1" t="s">
        <v>42</v>
      </c>
      <c r="D121" s="1">
        <v>0</v>
      </c>
      <c r="E121" s="1">
        <v>0</v>
      </c>
      <c r="F121" s="1">
        <v>101.09</v>
      </c>
      <c r="G121" s="1">
        <v>224.7</v>
      </c>
      <c r="H121" s="1" t="s">
        <v>12</v>
      </c>
      <c r="I121" s="1" t="s">
        <v>35</v>
      </c>
      <c r="J121" s="1" t="s">
        <v>37</v>
      </c>
      <c r="K121" s="1">
        <v>23.4</v>
      </c>
    </row>
    <row r="122" spans="1:11" hidden="1" x14ac:dyDescent="0.3">
      <c r="A122" s="1">
        <v>826</v>
      </c>
      <c r="B122" s="1">
        <v>2</v>
      </c>
      <c r="C122" s="1" t="s">
        <v>42</v>
      </c>
      <c r="D122" s="1">
        <v>7.5999999999999998E-2</v>
      </c>
      <c r="E122" s="1">
        <v>1.4999999999999999E-2</v>
      </c>
      <c r="F122" s="1">
        <v>101.17</v>
      </c>
      <c r="G122" s="1">
        <v>324.2</v>
      </c>
      <c r="H122" s="1" t="s">
        <v>22</v>
      </c>
      <c r="I122" s="1" t="s">
        <v>50</v>
      </c>
      <c r="J122" s="1" t="s">
        <v>109</v>
      </c>
      <c r="K122" s="1">
        <v>23.4</v>
      </c>
    </row>
    <row r="123" spans="1:11" hidden="1" x14ac:dyDescent="0.3">
      <c r="A123" s="1">
        <v>826</v>
      </c>
      <c r="B123" s="1">
        <v>3</v>
      </c>
      <c r="C123" s="1" t="s">
        <v>42</v>
      </c>
      <c r="D123" s="1">
        <v>-0.44800000000000001</v>
      </c>
      <c r="E123" s="1">
        <v>-0.35799999999999998</v>
      </c>
      <c r="F123" s="1">
        <v>101.645</v>
      </c>
      <c r="G123" s="1">
        <v>423.6</v>
      </c>
      <c r="H123" s="1" t="s">
        <v>22</v>
      </c>
      <c r="I123" s="1" t="s">
        <v>110</v>
      </c>
      <c r="J123" s="1" t="s">
        <v>111</v>
      </c>
      <c r="K123" s="1">
        <v>23.4</v>
      </c>
    </row>
    <row r="124" spans="1:11" hidden="1" x14ac:dyDescent="0.3">
      <c r="A124" s="1">
        <v>826</v>
      </c>
      <c r="B124" s="1">
        <v>4</v>
      </c>
      <c r="C124" s="1" t="s">
        <v>42</v>
      </c>
      <c r="D124" s="1">
        <v>-0.39200000000000002</v>
      </c>
      <c r="E124" s="1">
        <v>-0.309</v>
      </c>
      <c r="F124" s="1">
        <v>101.854</v>
      </c>
      <c r="G124" s="1">
        <v>523.1</v>
      </c>
      <c r="H124" s="1" t="s">
        <v>22</v>
      </c>
      <c r="I124" s="1" t="s">
        <v>70</v>
      </c>
      <c r="J124" s="1" t="s">
        <v>71</v>
      </c>
      <c r="K124" s="1">
        <v>23.4</v>
      </c>
    </row>
    <row r="125" spans="1:11" hidden="1" x14ac:dyDescent="0.3">
      <c r="A125" s="1">
        <v>826</v>
      </c>
      <c r="B125" s="1">
        <v>5</v>
      </c>
      <c r="C125" s="1" t="s">
        <v>42</v>
      </c>
      <c r="D125" s="1">
        <v>-0.29299999999999998</v>
      </c>
      <c r="E125" s="1">
        <v>-0.26900000000000002</v>
      </c>
      <c r="F125" s="1">
        <v>102.053</v>
      </c>
      <c r="G125" s="1">
        <v>622.6</v>
      </c>
      <c r="H125" s="1" t="s">
        <v>22</v>
      </c>
      <c r="I125" s="1" t="s">
        <v>72</v>
      </c>
      <c r="J125" s="1" t="s">
        <v>73</v>
      </c>
      <c r="K125" s="1">
        <v>23.4</v>
      </c>
    </row>
    <row r="126" spans="1:11" hidden="1" x14ac:dyDescent="0.3">
      <c r="A126" s="1">
        <v>826</v>
      </c>
      <c r="B126" s="1">
        <v>6</v>
      </c>
      <c r="C126" s="1" t="s">
        <v>42</v>
      </c>
      <c r="D126" s="1">
        <v>1003.515</v>
      </c>
      <c r="E126" s="1">
        <v>542.30600000000004</v>
      </c>
      <c r="F126" s="1">
        <v>0.97599999999999998</v>
      </c>
      <c r="G126" s="1">
        <v>1329.9</v>
      </c>
      <c r="H126" s="1" t="s">
        <v>12</v>
      </c>
      <c r="I126" s="1" t="s">
        <v>56</v>
      </c>
      <c r="J126" s="1" t="s">
        <v>55</v>
      </c>
      <c r="K126" s="1">
        <v>7.7</v>
      </c>
    </row>
    <row r="127" spans="1:11" x14ac:dyDescent="0.3">
      <c r="A127" s="1">
        <v>826</v>
      </c>
      <c r="B127" s="1">
        <v>7</v>
      </c>
      <c r="C127" s="1" t="s">
        <v>42</v>
      </c>
      <c r="D127" s="1">
        <v>72.367999999999995</v>
      </c>
      <c r="E127" s="1">
        <v>7.7949999999999999</v>
      </c>
      <c r="F127" s="1">
        <v>19.805</v>
      </c>
      <c r="G127" s="1">
        <v>1357</v>
      </c>
      <c r="H127" s="1" t="s">
        <v>22</v>
      </c>
      <c r="I127" s="1" t="s">
        <v>56</v>
      </c>
      <c r="J127" s="1" t="s">
        <v>57</v>
      </c>
      <c r="K127" s="1">
        <v>18</v>
      </c>
    </row>
    <row r="128" spans="1:11" hidden="1" x14ac:dyDescent="0.3">
      <c r="A128" s="1">
        <v>827</v>
      </c>
      <c r="B128" s="1">
        <v>1</v>
      </c>
      <c r="C128" s="1" t="s">
        <v>44</v>
      </c>
      <c r="D128" s="1">
        <v>0</v>
      </c>
      <c r="E128" s="1">
        <v>0</v>
      </c>
      <c r="F128" s="1">
        <v>101.655</v>
      </c>
      <c r="G128" s="1">
        <v>224.7</v>
      </c>
      <c r="H128" s="1" t="s">
        <v>12</v>
      </c>
      <c r="I128" s="1" t="s">
        <v>20</v>
      </c>
      <c r="J128" s="1" t="s">
        <v>112</v>
      </c>
      <c r="K128" s="1">
        <v>23.4</v>
      </c>
    </row>
    <row r="129" spans="1:11" hidden="1" x14ac:dyDescent="0.3">
      <c r="A129" s="1">
        <v>827</v>
      </c>
      <c r="B129" s="1">
        <v>2</v>
      </c>
      <c r="C129" s="1" t="s">
        <v>44</v>
      </c>
      <c r="D129" s="1">
        <v>-1.0049999999999999</v>
      </c>
      <c r="E129" s="1">
        <v>-0.66100000000000003</v>
      </c>
      <c r="F129" s="1">
        <v>101.77</v>
      </c>
      <c r="G129" s="1">
        <v>324.2</v>
      </c>
      <c r="H129" s="1" t="s">
        <v>22</v>
      </c>
      <c r="I129" s="1" t="s">
        <v>86</v>
      </c>
      <c r="J129" s="1" t="s">
        <v>113</v>
      </c>
      <c r="K129" s="1">
        <v>23.4</v>
      </c>
    </row>
    <row r="130" spans="1:11" hidden="1" x14ac:dyDescent="0.3">
      <c r="A130" s="1">
        <v>827</v>
      </c>
      <c r="B130" s="1">
        <v>3</v>
      </c>
      <c r="C130" s="1" t="s">
        <v>44</v>
      </c>
      <c r="D130" s="1">
        <v>-1.0129999999999999</v>
      </c>
      <c r="E130" s="1">
        <v>-0.66900000000000004</v>
      </c>
      <c r="F130" s="1">
        <v>102.083</v>
      </c>
      <c r="G130" s="1">
        <v>423.6</v>
      </c>
      <c r="H130" s="1" t="s">
        <v>22</v>
      </c>
      <c r="I130" s="1" t="s">
        <v>114</v>
      </c>
      <c r="J130" s="1" t="s">
        <v>115</v>
      </c>
      <c r="K130" s="1">
        <v>23.4</v>
      </c>
    </row>
    <row r="131" spans="1:11" hidden="1" x14ac:dyDescent="0.3">
      <c r="A131" s="1">
        <v>827</v>
      </c>
      <c r="B131" s="1">
        <v>4</v>
      </c>
      <c r="C131" s="1" t="s">
        <v>44</v>
      </c>
      <c r="D131" s="1">
        <v>-0.95399999999999996</v>
      </c>
      <c r="E131" s="1">
        <v>-0.627</v>
      </c>
      <c r="F131" s="1">
        <v>102.092</v>
      </c>
      <c r="G131" s="1">
        <v>523.1</v>
      </c>
      <c r="H131" s="1" t="s">
        <v>22</v>
      </c>
      <c r="I131" s="1" t="s">
        <v>108</v>
      </c>
      <c r="J131" s="1" t="s">
        <v>73</v>
      </c>
      <c r="K131" s="1">
        <v>23.4</v>
      </c>
    </row>
    <row r="132" spans="1:11" hidden="1" x14ac:dyDescent="0.3">
      <c r="A132" s="1">
        <v>827</v>
      </c>
      <c r="B132" s="1">
        <v>5</v>
      </c>
      <c r="C132" s="1" t="s">
        <v>44</v>
      </c>
      <c r="D132" s="1">
        <v>-0.91</v>
      </c>
      <c r="E132" s="1">
        <v>-0.626</v>
      </c>
      <c r="F132" s="1">
        <v>102.005</v>
      </c>
      <c r="G132" s="1">
        <v>622.79999999999995</v>
      </c>
      <c r="H132" s="1" t="s">
        <v>22</v>
      </c>
      <c r="I132" s="1" t="s">
        <v>37</v>
      </c>
      <c r="J132" s="1" t="s">
        <v>74</v>
      </c>
      <c r="K132" s="1">
        <v>23.4</v>
      </c>
    </row>
    <row r="133" spans="1:11" hidden="1" x14ac:dyDescent="0.3">
      <c r="A133" s="1">
        <v>827</v>
      </c>
      <c r="B133" s="1">
        <v>6</v>
      </c>
      <c r="C133" s="1" t="s">
        <v>44</v>
      </c>
      <c r="D133" s="1">
        <v>1002.329</v>
      </c>
      <c r="E133" s="1">
        <v>542.01800000000003</v>
      </c>
      <c r="F133" s="1">
        <v>0.88100000000000001</v>
      </c>
      <c r="G133" s="1">
        <v>1331.5</v>
      </c>
      <c r="H133" s="1" t="s">
        <v>12</v>
      </c>
      <c r="I133" s="1" t="s">
        <v>54</v>
      </c>
      <c r="J133" s="1" t="s">
        <v>103</v>
      </c>
      <c r="K133" s="1">
        <v>7.5</v>
      </c>
    </row>
    <row r="134" spans="1:11" x14ac:dyDescent="0.3">
      <c r="A134" s="1">
        <v>827</v>
      </c>
      <c r="B134" s="1">
        <v>7</v>
      </c>
      <c r="C134" s="1" t="s">
        <v>44</v>
      </c>
      <c r="D134" s="1">
        <v>78.180999999999997</v>
      </c>
      <c r="E134" s="1">
        <v>5.149</v>
      </c>
      <c r="F134" s="1">
        <v>18.295999999999999</v>
      </c>
      <c r="G134" s="1">
        <v>1359.1</v>
      </c>
      <c r="H134" s="1" t="s">
        <v>12</v>
      </c>
      <c r="I134" s="1" t="s">
        <v>56</v>
      </c>
      <c r="J134" s="1" t="s">
        <v>55</v>
      </c>
      <c r="K134" s="1">
        <v>17.600000000000001</v>
      </c>
    </row>
    <row r="135" spans="1:11" hidden="1" x14ac:dyDescent="0.3">
      <c r="A135" s="1">
        <v>828</v>
      </c>
      <c r="B135" s="1">
        <v>1</v>
      </c>
      <c r="C135" s="1" t="s">
        <v>45</v>
      </c>
      <c r="D135" s="1">
        <v>0</v>
      </c>
      <c r="E135" s="1">
        <v>0</v>
      </c>
      <c r="F135" s="1">
        <v>101.614</v>
      </c>
      <c r="G135" s="1">
        <v>224.7</v>
      </c>
      <c r="H135" s="1" t="s">
        <v>12</v>
      </c>
      <c r="I135" s="1" t="s">
        <v>65</v>
      </c>
      <c r="J135" s="1" t="s">
        <v>116</v>
      </c>
      <c r="K135" s="1">
        <v>23.4</v>
      </c>
    </row>
    <row r="136" spans="1:11" hidden="1" x14ac:dyDescent="0.3">
      <c r="A136" s="1">
        <v>828</v>
      </c>
      <c r="B136" s="1">
        <v>2</v>
      </c>
      <c r="C136" s="1" t="s">
        <v>45</v>
      </c>
      <c r="D136" s="1">
        <v>-0.71399999999999997</v>
      </c>
      <c r="E136" s="1">
        <v>-0.46800000000000003</v>
      </c>
      <c r="F136" s="1">
        <v>101.818</v>
      </c>
      <c r="G136" s="1">
        <v>324.2</v>
      </c>
      <c r="H136" s="1" t="s">
        <v>22</v>
      </c>
      <c r="I136" s="1" t="s">
        <v>86</v>
      </c>
      <c r="J136" s="1" t="s">
        <v>113</v>
      </c>
      <c r="K136" s="1">
        <v>23.4</v>
      </c>
    </row>
    <row r="137" spans="1:11" hidden="1" x14ac:dyDescent="0.3">
      <c r="A137" s="1">
        <v>828</v>
      </c>
      <c r="B137" s="1">
        <v>3</v>
      </c>
      <c r="C137" s="1" t="s">
        <v>45</v>
      </c>
      <c r="D137" s="1">
        <v>-0.59299999999999997</v>
      </c>
      <c r="E137" s="1">
        <v>-0.45100000000000001</v>
      </c>
      <c r="F137" s="1">
        <v>102.03100000000001</v>
      </c>
      <c r="G137" s="1">
        <v>423.6</v>
      </c>
      <c r="H137" s="1" t="s">
        <v>22</v>
      </c>
      <c r="I137" s="1" t="s">
        <v>70</v>
      </c>
      <c r="J137" s="1" t="s">
        <v>117</v>
      </c>
      <c r="K137" s="1">
        <v>23.4</v>
      </c>
    </row>
    <row r="138" spans="1:11" hidden="1" x14ac:dyDescent="0.3">
      <c r="A138" s="1">
        <v>828</v>
      </c>
      <c r="B138" s="1">
        <v>4</v>
      </c>
      <c r="C138" s="1" t="s">
        <v>45</v>
      </c>
      <c r="D138" s="1">
        <v>-0.54</v>
      </c>
      <c r="E138" s="1">
        <v>-0.41099999999999998</v>
      </c>
      <c r="F138" s="1">
        <v>102.148</v>
      </c>
      <c r="G138" s="1">
        <v>523.1</v>
      </c>
      <c r="H138" s="1" t="s">
        <v>22</v>
      </c>
      <c r="I138" s="1" t="s">
        <v>72</v>
      </c>
      <c r="J138" s="1" t="s">
        <v>118</v>
      </c>
      <c r="K138" s="1">
        <v>23.4</v>
      </c>
    </row>
    <row r="139" spans="1:11" hidden="1" x14ac:dyDescent="0.3">
      <c r="A139" s="1">
        <v>828</v>
      </c>
      <c r="B139" s="1">
        <v>5</v>
      </c>
      <c r="C139" s="1" t="s">
        <v>45</v>
      </c>
      <c r="D139" s="1">
        <v>-0.53500000000000003</v>
      </c>
      <c r="E139" s="1">
        <v>-0.39800000000000002</v>
      </c>
      <c r="F139" s="1">
        <v>102.122</v>
      </c>
      <c r="G139" s="1">
        <v>622.79999999999995</v>
      </c>
      <c r="H139" s="1" t="s">
        <v>22</v>
      </c>
      <c r="I139" s="1" t="s">
        <v>103</v>
      </c>
      <c r="J139" s="1" t="s">
        <v>74</v>
      </c>
      <c r="K139" s="1">
        <v>23.2</v>
      </c>
    </row>
    <row r="140" spans="1:11" hidden="1" x14ac:dyDescent="0.3">
      <c r="A140" s="1">
        <v>828</v>
      </c>
      <c r="B140" s="1">
        <v>6</v>
      </c>
      <c r="C140" s="1" t="s">
        <v>45</v>
      </c>
      <c r="D140" s="1">
        <v>1007.103</v>
      </c>
      <c r="E140" s="1">
        <v>543.87400000000002</v>
      </c>
      <c r="F140" s="1">
        <v>1.2130000000000001</v>
      </c>
      <c r="G140" s="1">
        <v>1333</v>
      </c>
      <c r="H140" s="1" t="s">
        <v>12</v>
      </c>
      <c r="I140" s="1" t="s">
        <v>54</v>
      </c>
      <c r="J140" s="1" t="s">
        <v>103</v>
      </c>
      <c r="K140" s="1">
        <v>8.4</v>
      </c>
    </row>
    <row r="141" spans="1:11" x14ac:dyDescent="0.3">
      <c r="A141" s="1">
        <v>828</v>
      </c>
      <c r="B141" s="1">
        <v>7</v>
      </c>
      <c r="C141" s="1" t="s">
        <v>45</v>
      </c>
      <c r="D141" s="1">
        <v>77.111999999999995</v>
      </c>
      <c r="E141" s="1">
        <v>6.9530000000000003</v>
      </c>
      <c r="F141" s="1">
        <v>14.608000000000001</v>
      </c>
      <c r="G141" s="1">
        <v>1361.6</v>
      </c>
      <c r="H141" s="1" t="s">
        <v>22</v>
      </c>
      <c r="I141" s="1" t="s">
        <v>56</v>
      </c>
      <c r="J141" s="1" t="s">
        <v>55</v>
      </c>
      <c r="K141" s="1">
        <v>16.7</v>
      </c>
    </row>
    <row r="142" spans="1:11" hidden="1" x14ac:dyDescent="0.3">
      <c r="A142" s="1">
        <v>829</v>
      </c>
      <c r="B142" s="1">
        <v>1</v>
      </c>
      <c r="C142" s="1" t="s">
        <v>58</v>
      </c>
      <c r="D142" s="1">
        <v>0</v>
      </c>
      <c r="E142" s="1">
        <v>0</v>
      </c>
      <c r="F142" s="1">
        <v>101.721</v>
      </c>
      <c r="G142" s="1">
        <v>224.7</v>
      </c>
      <c r="H142" s="1" t="s">
        <v>12</v>
      </c>
      <c r="I142" s="1" t="s">
        <v>112</v>
      </c>
      <c r="J142" s="1" t="s">
        <v>119</v>
      </c>
      <c r="K142" s="1">
        <v>23.4</v>
      </c>
    </row>
    <row r="143" spans="1:11" hidden="1" x14ac:dyDescent="0.3">
      <c r="A143" s="1">
        <v>829</v>
      </c>
      <c r="B143" s="1">
        <v>2</v>
      </c>
      <c r="C143" s="1" t="s">
        <v>58</v>
      </c>
      <c r="D143" s="1">
        <v>-0.56699999999999995</v>
      </c>
      <c r="E143" s="1">
        <v>-0.36199999999999999</v>
      </c>
      <c r="F143" s="1">
        <v>101.914</v>
      </c>
      <c r="G143" s="1">
        <v>324.2</v>
      </c>
      <c r="H143" s="1" t="s">
        <v>22</v>
      </c>
      <c r="I143" s="1" t="s">
        <v>74</v>
      </c>
      <c r="J143" s="1" t="s">
        <v>120</v>
      </c>
      <c r="K143" s="1">
        <v>23.4</v>
      </c>
    </row>
    <row r="144" spans="1:11" hidden="1" x14ac:dyDescent="0.3">
      <c r="A144" s="1">
        <v>829</v>
      </c>
      <c r="B144" s="1">
        <v>3</v>
      </c>
      <c r="C144" s="1" t="s">
        <v>58</v>
      </c>
      <c r="D144" s="1">
        <v>-0.497</v>
      </c>
      <c r="E144" s="1">
        <v>-0.38</v>
      </c>
      <c r="F144" s="1">
        <v>102.036</v>
      </c>
      <c r="G144" s="1">
        <v>423.6</v>
      </c>
      <c r="H144" s="1" t="s">
        <v>22</v>
      </c>
      <c r="I144" s="1" t="s">
        <v>85</v>
      </c>
      <c r="J144" s="1" t="s">
        <v>121</v>
      </c>
      <c r="K144" s="1">
        <v>23.4</v>
      </c>
    </row>
    <row r="145" spans="1:11" hidden="1" x14ac:dyDescent="0.3">
      <c r="A145" s="1">
        <v>829</v>
      </c>
      <c r="B145" s="1">
        <v>4</v>
      </c>
      <c r="C145" s="1" t="s">
        <v>58</v>
      </c>
      <c r="D145" s="1">
        <v>-0.52400000000000002</v>
      </c>
      <c r="E145" s="1">
        <v>-0.35299999999999998</v>
      </c>
      <c r="F145" s="1">
        <v>102.128</v>
      </c>
      <c r="G145" s="1">
        <v>523.1</v>
      </c>
      <c r="H145" s="1" t="s">
        <v>22</v>
      </c>
      <c r="I145" s="1" t="s">
        <v>55</v>
      </c>
      <c r="J145" s="1" t="s">
        <v>104</v>
      </c>
      <c r="K145" s="1">
        <v>23.4</v>
      </c>
    </row>
    <row r="146" spans="1:11" hidden="1" x14ac:dyDescent="0.3">
      <c r="A146" s="1">
        <v>829</v>
      </c>
      <c r="B146" s="1">
        <v>5</v>
      </c>
      <c r="C146" s="1" t="s">
        <v>58</v>
      </c>
      <c r="D146" s="1">
        <v>-0.46899999999999997</v>
      </c>
      <c r="E146" s="1">
        <v>-0.379</v>
      </c>
      <c r="F146" s="1">
        <v>102.175</v>
      </c>
      <c r="G146" s="1">
        <v>622.6</v>
      </c>
      <c r="H146" s="1" t="s">
        <v>22</v>
      </c>
      <c r="I146" s="1" t="s">
        <v>17</v>
      </c>
      <c r="J146" s="1" t="s">
        <v>112</v>
      </c>
      <c r="K146" s="1">
        <v>23.2</v>
      </c>
    </row>
    <row r="147" spans="1:11" hidden="1" x14ac:dyDescent="0.3">
      <c r="A147" s="1">
        <v>829</v>
      </c>
      <c r="B147" s="1">
        <v>6</v>
      </c>
      <c r="C147" s="1" t="s">
        <v>58</v>
      </c>
      <c r="D147" s="1">
        <v>1007.8869999999999</v>
      </c>
      <c r="E147" s="1">
        <v>544.75300000000004</v>
      </c>
      <c r="F147" s="1">
        <v>1.2569999999999999</v>
      </c>
      <c r="G147" s="1">
        <v>1332.8</v>
      </c>
      <c r="H147" s="1" t="s">
        <v>12</v>
      </c>
      <c r="I147" s="1" t="s">
        <v>35</v>
      </c>
      <c r="J147" s="1" t="s">
        <v>37</v>
      </c>
      <c r="K147" s="1">
        <v>8.6</v>
      </c>
    </row>
    <row r="148" spans="1:11" x14ac:dyDescent="0.3">
      <c r="A148" s="1">
        <v>829</v>
      </c>
      <c r="B148" s="1">
        <v>7</v>
      </c>
      <c r="C148" s="1" t="s">
        <v>58</v>
      </c>
      <c r="D148" s="1">
        <v>79.081999999999994</v>
      </c>
      <c r="E148" s="1">
        <v>6.1120000000000001</v>
      </c>
      <c r="F148" s="1">
        <v>16.957000000000001</v>
      </c>
      <c r="G148" s="1">
        <v>1361</v>
      </c>
      <c r="H148" s="1" t="s">
        <v>22</v>
      </c>
      <c r="I148" s="1" t="s">
        <v>54</v>
      </c>
      <c r="J148" s="1" t="s">
        <v>55</v>
      </c>
      <c r="K148" s="1">
        <v>17.3</v>
      </c>
    </row>
    <row r="149" spans="1:11" hidden="1" x14ac:dyDescent="0.3">
      <c r="A149" s="1">
        <v>830</v>
      </c>
      <c r="B149" s="1">
        <v>1</v>
      </c>
      <c r="C149" s="1" t="s">
        <v>67</v>
      </c>
      <c r="D149" s="1">
        <v>0</v>
      </c>
      <c r="E149" s="1">
        <v>0</v>
      </c>
      <c r="F149" s="1">
        <v>101.965</v>
      </c>
      <c r="G149" s="1">
        <v>224.7</v>
      </c>
      <c r="H149" s="1" t="s">
        <v>12</v>
      </c>
      <c r="I149" s="1" t="s">
        <v>21</v>
      </c>
      <c r="J149" s="1" t="s">
        <v>122</v>
      </c>
      <c r="K149" s="1">
        <v>23.4</v>
      </c>
    </row>
    <row r="150" spans="1:11" hidden="1" x14ac:dyDescent="0.3">
      <c r="A150" s="1">
        <v>830</v>
      </c>
      <c r="B150" s="1">
        <v>2</v>
      </c>
      <c r="C150" s="1" t="s">
        <v>67</v>
      </c>
      <c r="D150" s="1">
        <v>-1.349</v>
      </c>
      <c r="E150" s="1">
        <v>-0.84</v>
      </c>
      <c r="F150" s="1">
        <v>102.17100000000001</v>
      </c>
      <c r="G150" s="1">
        <v>324.2</v>
      </c>
      <c r="H150" s="1" t="s">
        <v>22</v>
      </c>
      <c r="I150" s="1" t="s">
        <v>123</v>
      </c>
      <c r="J150" s="1" t="s">
        <v>124</v>
      </c>
      <c r="K150" s="1">
        <v>23.4</v>
      </c>
    </row>
    <row r="151" spans="1:11" hidden="1" x14ac:dyDescent="0.3">
      <c r="A151" s="1">
        <v>830</v>
      </c>
      <c r="B151" s="1">
        <v>3</v>
      </c>
      <c r="C151" s="1" t="s">
        <v>67</v>
      </c>
      <c r="D151" s="1">
        <v>-1.288</v>
      </c>
      <c r="E151" s="1">
        <v>-0.83899999999999997</v>
      </c>
      <c r="F151" s="1">
        <v>102.236</v>
      </c>
      <c r="G151" s="1">
        <v>423.6</v>
      </c>
      <c r="H151" s="1" t="s">
        <v>22</v>
      </c>
      <c r="I151" s="1" t="s">
        <v>48</v>
      </c>
      <c r="J151" s="1" t="s">
        <v>125</v>
      </c>
      <c r="K151" s="1">
        <v>23.4</v>
      </c>
    </row>
    <row r="152" spans="1:11" hidden="1" x14ac:dyDescent="0.3">
      <c r="A152" s="1">
        <v>830</v>
      </c>
      <c r="B152" s="1">
        <v>4</v>
      </c>
      <c r="C152" s="1" t="s">
        <v>67</v>
      </c>
      <c r="D152" s="1">
        <v>-1.218</v>
      </c>
      <c r="E152" s="1">
        <v>-0.81499999999999995</v>
      </c>
      <c r="F152" s="1">
        <v>102.256</v>
      </c>
      <c r="G152" s="1">
        <v>523.1</v>
      </c>
      <c r="H152" s="1" t="s">
        <v>22</v>
      </c>
      <c r="I152" s="1" t="s">
        <v>126</v>
      </c>
      <c r="J152" s="1" t="s">
        <v>88</v>
      </c>
      <c r="K152" s="1">
        <v>23.4</v>
      </c>
    </row>
    <row r="153" spans="1:11" hidden="1" x14ac:dyDescent="0.3">
      <c r="A153" s="1">
        <v>830</v>
      </c>
      <c r="B153" s="1">
        <v>5</v>
      </c>
      <c r="C153" s="1" t="s">
        <v>67</v>
      </c>
      <c r="D153" s="1">
        <v>-1.2030000000000001</v>
      </c>
      <c r="E153" s="1">
        <v>-0.8</v>
      </c>
      <c r="F153" s="1">
        <v>102.22499999999999</v>
      </c>
      <c r="G153" s="1">
        <v>622.6</v>
      </c>
      <c r="H153" s="1" t="s">
        <v>22</v>
      </c>
      <c r="I153" s="1" t="s">
        <v>127</v>
      </c>
      <c r="J153" s="1" t="s">
        <v>128</v>
      </c>
      <c r="K153" s="1">
        <v>23.2</v>
      </c>
    </row>
    <row r="154" spans="1:11" hidden="1" x14ac:dyDescent="0.3">
      <c r="A154" s="1">
        <v>830</v>
      </c>
      <c r="B154" s="1">
        <v>6</v>
      </c>
      <c r="C154" s="1" t="s">
        <v>67</v>
      </c>
      <c r="D154" s="1">
        <v>1007.202</v>
      </c>
      <c r="E154" s="1">
        <v>544.01800000000003</v>
      </c>
      <c r="F154" s="1">
        <v>1.335</v>
      </c>
      <c r="G154" s="1">
        <v>1333</v>
      </c>
      <c r="H154" s="1" t="s">
        <v>43</v>
      </c>
      <c r="I154" s="1" t="s">
        <v>56</v>
      </c>
      <c r="J154" s="1" t="s">
        <v>55</v>
      </c>
      <c r="K154" s="1">
        <v>8.8000000000000007</v>
      </c>
    </row>
    <row r="155" spans="1:11" x14ac:dyDescent="0.3">
      <c r="A155" s="1">
        <v>830</v>
      </c>
      <c r="B155" s="1">
        <v>7</v>
      </c>
      <c r="C155" s="1" t="s">
        <v>67</v>
      </c>
      <c r="D155" s="1">
        <v>84.622</v>
      </c>
      <c r="E155" s="1">
        <v>3.8319999999999999</v>
      </c>
      <c r="F155" s="1">
        <v>17.07</v>
      </c>
      <c r="G155" s="1">
        <v>1361.4</v>
      </c>
      <c r="H155" s="1" t="s">
        <v>22</v>
      </c>
      <c r="I155" s="1" t="s">
        <v>33</v>
      </c>
      <c r="J155" s="1" t="s">
        <v>51</v>
      </c>
      <c r="K155" s="1">
        <v>17.8</v>
      </c>
    </row>
    <row r="156" spans="1:11" hidden="1" x14ac:dyDescent="0.3">
      <c r="A156" s="1">
        <v>831</v>
      </c>
      <c r="B156" s="1">
        <v>1</v>
      </c>
      <c r="C156" s="1" t="s">
        <v>75</v>
      </c>
      <c r="D156" s="1">
        <v>0</v>
      </c>
      <c r="E156" s="1">
        <v>0</v>
      </c>
      <c r="F156" s="1">
        <v>102.087</v>
      </c>
      <c r="G156" s="1">
        <v>224.7</v>
      </c>
      <c r="H156" s="1" t="s">
        <v>12</v>
      </c>
      <c r="I156" s="1" t="s">
        <v>35</v>
      </c>
      <c r="J156" s="1" t="s">
        <v>103</v>
      </c>
      <c r="K156" s="1">
        <v>23.4</v>
      </c>
    </row>
    <row r="157" spans="1:11" hidden="1" x14ac:dyDescent="0.3">
      <c r="A157" s="1">
        <v>831</v>
      </c>
      <c r="B157" s="1">
        <v>2</v>
      </c>
      <c r="C157" s="1" t="s">
        <v>75</v>
      </c>
      <c r="D157" s="1">
        <v>-3.5999999999999997E-2</v>
      </c>
      <c r="E157" s="1">
        <v>-4.1000000000000002E-2</v>
      </c>
      <c r="F157" s="1">
        <v>102.152</v>
      </c>
      <c r="G157" s="1">
        <v>324.2</v>
      </c>
      <c r="H157" s="1" t="s">
        <v>22</v>
      </c>
      <c r="I157" s="1" t="s">
        <v>129</v>
      </c>
      <c r="J157" s="1" t="s">
        <v>130</v>
      </c>
      <c r="K157" s="1">
        <v>23.4</v>
      </c>
    </row>
    <row r="158" spans="1:11" hidden="1" x14ac:dyDescent="0.3">
      <c r="A158" s="1">
        <v>831</v>
      </c>
      <c r="B158" s="1">
        <v>3</v>
      </c>
      <c r="C158" s="1" t="s">
        <v>75</v>
      </c>
      <c r="D158" s="1">
        <v>-0.50600000000000001</v>
      </c>
      <c r="E158" s="1">
        <v>-0.35099999999999998</v>
      </c>
      <c r="F158" s="1">
        <v>102.402</v>
      </c>
      <c r="G158" s="1">
        <v>423.6</v>
      </c>
      <c r="H158" s="1" t="s">
        <v>22</v>
      </c>
      <c r="I158" s="1" t="s">
        <v>110</v>
      </c>
      <c r="J158" s="1" t="s">
        <v>131</v>
      </c>
      <c r="K158" s="1">
        <v>23.4</v>
      </c>
    </row>
    <row r="159" spans="1:11" hidden="1" x14ac:dyDescent="0.3">
      <c r="A159" s="1">
        <v>831</v>
      </c>
      <c r="B159" s="1">
        <v>4</v>
      </c>
      <c r="C159" s="1" t="s">
        <v>75</v>
      </c>
      <c r="D159" s="1">
        <v>-0.42</v>
      </c>
      <c r="E159" s="1">
        <v>-0.32500000000000001</v>
      </c>
      <c r="F159" s="1">
        <v>102.36499999999999</v>
      </c>
      <c r="G159" s="1">
        <v>523.1</v>
      </c>
      <c r="H159" s="1" t="s">
        <v>22</v>
      </c>
      <c r="I159" s="1" t="s">
        <v>70</v>
      </c>
      <c r="J159" s="1" t="s">
        <v>71</v>
      </c>
      <c r="K159" s="1">
        <v>23.4</v>
      </c>
    </row>
    <row r="160" spans="1:11" hidden="1" x14ac:dyDescent="0.3">
      <c r="A160" s="1">
        <v>831</v>
      </c>
      <c r="B160" s="1">
        <v>5</v>
      </c>
      <c r="C160" s="1" t="s">
        <v>75</v>
      </c>
      <c r="D160" s="1">
        <v>-0.33500000000000002</v>
      </c>
      <c r="E160" s="1">
        <v>-0.30499999999999999</v>
      </c>
      <c r="F160" s="1">
        <v>102.40300000000001</v>
      </c>
      <c r="G160" s="1">
        <v>622.79999999999995</v>
      </c>
      <c r="H160" s="1" t="s">
        <v>22</v>
      </c>
      <c r="I160" s="1" t="s">
        <v>72</v>
      </c>
      <c r="J160" s="1" t="s">
        <v>73</v>
      </c>
      <c r="K160" s="1">
        <v>23.4</v>
      </c>
    </row>
    <row r="161" spans="1:11" hidden="1" x14ac:dyDescent="0.3">
      <c r="A161" s="1">
        <v>831</v>
      </c>
      <c r="B161" s="1">
        <v>6</v>
      </c>
      <c r="C161" s="1" t="s">
        <v>75</v>
      </c>
      <c r="D161" s="1">
        <v>1009.06</v>
      </c>
      <c r="E161" s="1">
        <v>544.84699999999998</v>
      </c>
      <c r="F161" s="1">
        <v>1.2889999999999999</v>
      </c>
      <c r="G161" s="1">
        <v>1333.8</v>
      </c>
      <c r="H161" s="1" t="s">
        <v>43</v>
      </c>
      <c r="I161" s="1" t="s">
        <v>56</v>
      </c>
      <c r="J161" s="1" t="s">
        <v>55</v>
      </c>
      <c r="K161" s="1">
        <v>9.1999999999999993</v>
      </c>
    </row>
    <row r="162" spans="1:11" x14ac:dyDescent="0.3">
      <c r="A162" s="1">
        <v>831</v>
      </c>
      <c r="B162" s="1">
        <v>7</v>
      </c>
      <c r="C162" s="1" t="s">
        <v>75</v>
      </c>
      <c r="D162" s="1">
        <v>80.352000000000004</v>
      </c>
      <c r="E162" s="1">
        <v>5.173</v>
      </c>
      <c r="F162" s="1">
        <v>16.457999999999998</v>
      </c>
      <c r="G162" s="1">
        <v>1362.5</v>
      </c>
      <c r="H162" s="1" t="s">
        <v>22</v>
      </c>
      <c r="I162" s="1" t="s">
        <v>33</v>
      </c>
      <c r="J162" s="1" t="s">
        <v>57</v>
      </c>
      <c r="K162" s="1">
        <v>18</v>
      </c>
    </row>
    <row r="163" spans="1:11" hidden="1" x14ac:dyDescent="0.3">
      <c r="A163" s="1">
        <v>832</v>
      </c>
      <c r="B163" s="1">
        <v>1</v>
      </c>
      <c r="C163" s="1" t="s">
        <v>81</v>
      </c>
      <c r="D163" s="1">
        <v>0</v>
      </c>
      <c r="E163" s="1">
        <v>0</v>
      </c>
      <c r="F163" s="1">
        <v>101.916</v>
      </c>
      <c r="G163" s="1">
        <v>224.7</v>
      </c>
      <c r="H163" s="1" t="s">
        <v>12</v>
      </c>
      <c r="I163" s="1" t="s">
        <v>35</v>
      </c>
      <c r="J163" s="1" t="s">
        <v>103</v>
      </c>
      <c r="K163" s="1">
        <v>23.4</v>
      </c>
    </row>
    <row r="164" spans="1:11" hidden="1" x14ac:dyDescent="0.3">
      <c r="A164" s="1">
        <v>832</v>
      </c>
      <c r="B164" s="1">
        <v>2</v>
      </c>
      <c r="C164" s="1" t="s">
        <v>81</v>
      </c>
      <c r="D164" s="1">
        <v>0.55800000000000005</v>
      </c>
      <c r="E164" s="1">
        <v>0.33400000000000002</v>
      </c>
      <c r="F164" s="1">
        <v>102.273</v>
      </c>
      <c r="G164" s="1">
        <v>324.2</v>
      </c>
      <c r="H164" s="1" t="s">
        <v>22</v>
      </c>
      <c r="I164" s="1" t="s">
        <v>26</v>
      </c>
      <c r="J164" s="1" t="s">
        <v>80</v>
      </c>
      <c r="K164" s="1">
        <v>23.4</v>
      </c>
    </row>
    <row r="165" spans="1:11" hidden="1" x14ac:dyDescent="0.3">
      <c r="A165" s="1">
        <v>832</v>
      </c>
      <c r="B165" s="1">
        <v>3</v>
      </c>
      <c r="C165" s="1" t="s">
        <v>81</v>
      </c>
      <c r="D165" s="1">
        <v>-0.36699999999999999</v>
      </c>
      <c r="E165" s="1">
        <v>-0.25700000000000001</v>
      </c>
      <c r="F165" s="1">
        <v>102.39700000000001</v>
      </c>
      <c r="G165" s="1">
        <v>423.6</v>
      </c>
      <c r="H165" s="1" t="s">
        <v>22</v>
      </c>
      <c r="I165" s="1" t="s">
        <v>68</v>
      </c>
      <c r="J165" s="1" t="s">
        <v>113</v>
      </c>
      <c r="K165" s="1">
        <v>23.4</v>
      </c>
    </row>
    <row r="166" spans="1:11" hidden="1" x14ac:dyDescent="0.3">
      <c r="A166" s="1">
        <v>832</v>
      </c>
      <c r="B166" s="1">
        <v>4</v>
      </c>
      <c r="C166" s="1" t="s">
        <v>81</v>
      </c>
      <c r="D166" s="1">
        <v>-0.28399999999999997</v>
      </c>
      <c r="E166" s="1">
        <v>-0.23100000000000001</v>
      </c>
      <c r="F166" s="1">
        <v>102.366</v>
      </c>
      <c r="G166" s="1">
        <v>523.1</v>
      </c>
      <c r="H166" s="1" t="s">
        <v>22</v>
      </c>
      <c r="I166" s="1" t="s">
        <v>70</v>
      </c>
      <c r="J166" s="1" t="s">
        <v>117</v>
      </c>
      <c r="K166" s="1">
        <v>23.4</v>
      </c>
    </row>
    <row r="167" spans="1:11" hidden="1" x14ac:dyDescent="0.3">
      <c r="A167" s="1">
        <v>832</v>
      </c>
      <c r="B167" s="1">
        <v>5</v>
      </c>
      <c r="C167" s="1" t="s">
        <v>81</v>
      </c>
      <c r="D167" s="1">
        <v>-0.218</v>
      </c>
      <c r="E167" s="1">
        <v>-0.20300000000000001</v>
      </c>
      <c r="F167" s="1">
        <v>102.505</v>
      </c>
      <c r="G167" s="1">
        <v>622.79999999999995</v>
      </c>
      <c r="H167" s="1" t="s">
        <v>22</v>
      </c>
      <c r="I167" s="1" t="s">
        <v>30</v>
      </c>
      <c r="J167" s="1" t="s">
        <v>118</v>
      </c>
      <c r="K167" s="1">
        <v>23.4</v>
      </c>
    </row>
    <row r="168" spans="1:11" hidden="1" x14ac:dyDescent="0.3">
      <c r="A168" s="1">
        <v>832</v>
      </c>
      <c r="B168" s="1">
        <v>6</v>
      </c>
      <c r="C168" s="1" t="s">
        <v>81</v>
      </c>
      <c r="D168" s="1">
        <v>1008.1369999999999</v>
      </c>
      <c r="E168" s="1">
        <v>544.30200000000002</v>
      </c>
      <c r="F168" s="1">
        <v>1.244</v>
      </c>
      <c r="G168" s="1">
        <v>1332</v>
      </c>
      <c r="H168" s="1" t="s">
        <v>43</v>
      </c>
      <c r="I168" s="1" t="s">
        <v>56</v>
      </c>
      <c r="J168" s="1" t="s">
        <v>55</v>
      </c>
      <c r="K168" s="1">
        <v>8.8000000000000007</v>
      </c>
    </row>
    <row r="169" spans="1:11" x14ac:dyDescent="0.3">
      <c r="A169" s="1">
        <v>832</v>
      </c>
      <c r="B169" s="1">
        <v>7</v>
      </c>
      <c r="C169" s="1" t="s">
        <v>81</v>
      </c>
      <c r="D169" s="1">
        <v>78.677999999999997</v>
      </c>
      <c r="E169" s="1">
        <v>6.7050000000000001</v>
      </c>
      <c r="F169" s="1">
        <v>17.327000000000002</v>
      </c>
      <c r="G169" s="1">
        <v>1360.2</v>
      </c>
      <c r="H169" s="1" t="s">
        <v>12</v>
      </c>
      <c r="I169" s="1" t="s">
        <v>33</v>
      </c>
      <c r="J169" s="1" t="s">
        <v>57</v>
      </c>
      <c r="K169" s="1">
        <v>17.3</v>
      </c>
    </row>
    <row r="170" spans="1:11" hidden="1" x14ac:dyDescent="0.3">
      <c r="A170" s="1">
        <v>833</v>
      </c>
      <c r="B170" s="1">
        <v>1</v>
      </c>
      <c r="C170" s="1" t="s">
        <v>87</v>
      </c>
      <c r="D170" s="1">
        <v>0</v>
      </c>
      <c r="E170" s="1">
        <v>0</v>
      </c>
      <c r="F170" s="1">
        <v>102.035</v>
      </c>
      <c r="G170" s="1">
        <v>224.7</v>
      </c>
      <c r="H170" s="1" t="s">
        <v>12</v>
      </c>
      <c r="I170" s="1" t="s">
        <v>35</v>
      </c>
      <c r="J170" s="1" t="s">
        <v>37</v>
      </c>
      <c r="K170" s="1">
        <v>23.4</v>
      </c>
    </row>
    <row r="171" spans="1:11" hidden="1" x14ac:dyDescent="0.3">
      <c r="A171" s="1">
        <v>833</v>
      </c>
      <c r="B171" s="1">
        <v>2</v>
      </c>
      <c r="C171" s="1" t="s">
        <v>87</v>
      </c>
      <c r="D171" s="1">
        <v>0.35699999999999998</v>
      </c>
      <c r="E171" s="1">
        <v>0.20200000000000001</v>
      </c>
      <c r="F171" s="1">
        <v>102.404</v>
      </c>
      <c r="G171" s="1">
        <v>324.2</v>
      </c>
      <c r="H171" s="1" t="s">
        <v>12</v>
      </c>
      <c r="I171" s="1" t="s">
        <v>27</v>
      </c>
      <c r="J171" s="1" t="s">
        <v>97</v>
      </c>
      <c r="K171" s="1">
        <v>23.4</v>
      </c>
    </row>
    <row r="172" spans="1:11" hidden="1" x14ac:dyDescent="0.3">
      <c r="A172" s="1">
        <v>833</v>
      </c>
      <c r="B172" s="1">
        <v>3</v>
      </c>
      <c r="C172" s="1" t="s">
        <v>87</v>
      </c>
      <c r="D172" s="1">
        <v>-0.23200000000000001</v>
      </c>
      <c r="E172" s="1">
        <v>-0.191</v>
      </c>
      <c r="F172" s="1">
        <v>102.34399999999999</v>
      </c>
      <c r="G172" s="1">
        <v>423.6</v>
      </c>
      <c r="H172" s="1" t="s">
        <v>22</v>
      </c>
      <c r="I172" s="1" t="s">
        <v>83</v>
      </c>
      <c r="J172" s="1" t="s">
        <v>132</v>
      </c>
      <c r="K172" s="1">
        <v>23.4</v>
      </c>
    </row>
    <row r="173" spans="1:11" hidden="1" x14ac:dyDescent="0.3">
      <c r="A173" s="1">
        <v>833</v>
      </c>
      <c r="B173" s="1">
        <v>4</v>
      </c>
      <c r="C173" s="1" t="s">
        <v>87</v>
      </c>
      <c r="D173" s="1">
        <v>-0.28499999999999998</v>
      </c>
      <c r="E173" s="1">
        <v>-0.23</v>
      </c>
      <c r="F173" s="1">
        <v>102.36799999999999</v>
      </c>
      <c r="G173" s="1">
        <v>523.1</v>
      </c>
      <c r="H173" s="1" t="s">
        <v>22</v>
      </c>
      <c r="I173" s="1" t="s">
        <v>126</v>
      </c>
      <c r="J173" s="1" t="s">
        <v>122</v>
      </c>
      <c r="K173" s="1">
        <v>23.4</v>
      </c>
    </row>
    <row r="174" spans="1:11" hidden="1" x14ac:dyDescent="0.3">
      <c r="A174" s="1">
        <v>833</v>
      </c>
      <c r="B174" s="1">
        <v>5</v>
      </c>
      <c r="C174" s="1" t="s">
        <v>87</v>
      </c>
      <c r="D174" s="1">
        <v>-0.23100000000000001</v>
      </c>
      <c r="E174" s="1">
        <v>-0.193</v>
      </c>
      <c r="F174" s="1">
        <v>102.607</v>
      </c>
      <c r="G174" s="1">
        <v>622.79999999999995</v>
      </c>
      <c r="H174" s="1" t="s">
        <v>22</v>
      </c>
      <c r="I174" s="1" t="s">
        <v>51</v>
      </c>
      <c r="J174" s="1" t="s">
        <v>92</v>
      </c>
      <c r="K174" s="1">
        <v>23.4</v>
      </c>
    </row>
    <row r="175" spans="1:11" hidden="1" x14ac:dyDescent="0.3">
      <c r="A175" s="1">
        <v>833</v>
      </c>
      <c r="B175" s="1">
        <v>6</v>
      </c>
      <c r="C175" s="1" t="s">
        <v>87</v>
      </c>
      <c r="D175" s="1">
        <v>1008.412</v>
      </c>
      <c r="E175" s="1">
        <v>544.14700000000005</v>
      </c>
      <c r="F175" s="1">
        <v>1.262</v>
      </c>
      <c r="G175" s="1">
        <v>1331.3</v>
      </c>
      <c r="H175" s="1" t="s">
        <v>12</v>
      </c>
      <c r="I175" s="1" t="s">
        <v>54</v>
      </c>
      <c r="J175" s="1" t="s">
        <v>55</v>
      </c>
      <c r="K175" s="1">
        <v>7.9</v>
      </c>
    </row>
    <row r="176" spans="1:11" x14ac:dyDescent="0.3">
      <c r="A176" s="1">
        <v>833</v>
      </c>
      <c r="B176" s="1">
        <v>7</v>
      </c>
      <c r="C176" s="1" t="s">
        <v>87</v>
      </c>
      <c r="D176" s="1">
        <v>79.691999999999993</v>
      </c>
      <c r="E176" s="1">
        <v>6.798</v>
      </c>
      <c r="F176" s="1">
        <v>16.7</v>
      </c>
      <c r="G176" s="1">
        <v>1359.5</v>
      </c>
      <c r="H176" s="1" t="s">
        <v>22</v>
      </c>
      <c r="I176" s="1" t="s">
        <v>56</v>
      </c>
      <c r="J176" s="1" t="s">
        <v>57</v>
      </c>
      <c r="K176" s="1">
        <v>16.899999999999999</v>
      </c>
    </row>
    <row r="177" spans="1:11" hidden="1" x14ac:dyDescent="0.3">
      <c r="A177" s="1">
        <v>834</v>
      </c>
      <c r="B177" s="1">
        <v>1</v>
      </c>
      <c r="C177" s="1" t="s">
        <v>93</v>
      </c>
      <c r="D177" s="1">
        <v>0</v>
      </c>
      <c r="E177" s="1">
        <v>0</v>
      </c>
      <c r="F177" s="1">
        <v>101.858</v>
      </c>
      <c r="G177" s="1">
        <v>224.7</v>
      </c>
      <c r="H177" s="1" t="s">
        <v>12</v>
      </c>
      <c r="I177" s="1" t="s">
        <v>39</v>
      </c>
      <c r="J177" s="1" t="s">
        <v>37</v>
      </c>
      <c r="K177" s="1">
        <v>23.4</v>
      </c>
    </row>
    <row r="178" spans="1:11" hidden="1" x14ac:dyDescent="0.3">
      <c r="A178" s="1">
        <v>834</v>
      </c>
      <c r="B178" s="1">
        <v>2</v>
      </c>
      <c r="C178" s="1" t="s">
        <v>93</v>
      </c>
      <c r="D178" s="1">
        <v>0.63100000000000001</v>
      </c>
      <c r="E178" s="1">
        <v>0.34499999999999997</v>
      </c>
      <c r="F178" s="1">
        <v>102.271</v>
      </c>
      <c r="G178" s="1">
        <v>324.2</v>
      </c>
      <c r="H178" s="1" t="s">
        <v>12</v>
      </c>
      <c r="I178" s="1" t="s">
        <v>103</v>
      </c>
      <c r="J178" s="1" t="s">
        <v>74</v>
      </c>
      <c r="K178" s="1">
        <v>23.4</v>
      </c>
    </row>
    <row r="179" spans="1:11" hidden="1" x14ac:dyDescent="0.3">
      <c r="A179" s="1">
        <v>834</v>
      </c>
      <c r="B179" s="1">
        <v>3</v>
      </c>
      <c r="C179" s="1" t="s">
        <v>93</v>
      </c>
      <c r="D179" s="1">
        <v>-0.30599999999999999</v>
      </c>
      <c r="E179" s="1">
        <v>-0.23400000000000001</v>
      </c>
      <c r="F179" s="1">
        <v>102.374</v>
      </c>
      <c r="G179" s="1">
        <v>423.6</v>
      </c>
      <c r="H179" s="1" t="s">
        <v>22</v>
      </c>
      <c r="I179" s="1" t="s">
        <v>60</v>
      </c>
      <c r="J179" s="1" t="s">
        <v>133</v>
      </c>
      <c r="K179" s="1">
        <v>23.4</v>
      </c>
    </row>
    <row r="180" spans="1:11" hidden="1" x14ac:dyDescent="0.3">
      <c r="A180" s="1">
        <v>834</v>
      </c>
      <c r="B180" s="1">
        <v>4</v>
      </c>
      <c r="C180" s="1" t="s">
        <v>93</v>
      </c>
      <c r="D180" s="1">
        <v>-0.30199999999999999</v>
      </c>
      <c r="E180" s="1">
        <v>-0.252</v>
      </c>
      <c r="F180" s="1">
        <v>102.41</v>
      </c>
      <c r="G180" s="1">
        <v>523.1</v>
      </c>
      <c r="H180" s="1" t="s">
        <v>22</v>
      </c>
      <c r="I180" s="1" t="s">
        <v>70</v>
      </c>
      <c r="J180" s="1" t="s">
        <v>117</v>
      </c>
      <c r="K180" s="1">
        <v>23.4</v>
      </c>
    </row>
    <row r="181" spans="1:11" hidden="1" x14ac:dyDescent="0.3">
      <c r="A181" s="1">
        <v>834</v>
      </c>
      <c r="B181" s="1">
        <v>5</v>
      </c>
      <c r="C181" s="1" t="s">
        <v>93</v>
      </c>
      <c r="D181" s="1">
        <v>-0.19500000000000001</v>
      </c>
      <c r="E181" s="1">
        <v>-0.21</v>
      </c>
      <c r="F181" s="1">
        <v>102.64700000000001</v>
      </c>
      <c r="G181" s="1">
        <v>622.79999999999995</v>
      </c>
      <c r="H181" s="1" t="s">
        <v>22</v>
      </c>
      <c r="I181" s="1" t="s">
        <v>30</v>
      </c>
      <c r="J181" s="1" t="s">
        <v>65</v>
      </c>
      <c r="K181" s="1">
        <v>23.4</v>
      </c>
    </row>
    <row r="182" spans="1:11" hidden="1" x14ac:dyDescent="0.3">
      <c r="A182" s="1">
        <v>834</v>
      </c>
      <c r="B182" s="1">
        <v>6</v>
      </c>
      <c r="C182" s="1" t="s">
        <v>93</v>
      </c>
      <c r="D182" s="1">
        <v>1007.169</v>
      </c>
      <c r="E182" s="1">
        <v>544.07799999999997</v>
      </c>
      <c r="F182" s="1">
        <v>1.105</v>
      </c>
      <c r="G182" s="1">
        <v>1331.5</v>
      </c>
      <c r="H182" s="1" t="s">
        <v>12</v>
      </c>
      <c r="I182" s="1" t="s">
        <v>54</v>
      </c>
      <c r="J182" s="1" t="s">
        <v>55</v>
      </c>
      <c r="K182" s="1">
        <v>9</v>
      </c>
    </row>
    <row r="183" spans="1:11" x14ac:dyDescent="0.3">
      <c r="A183" s="1">
        <v>834</v>
      </c>
      <c r="B183" s="1">
        <v>7</v>
      </c>
      <c r="C183" s="1" t="s">
        <v>93</v>
      </c>
      <c r="D183" s="1">
        <v>86.418999999999997</v>
      </c>
      <c r="E183" s="1">
        <v>5.016</v>
      </c>
      <c r="F183" s="1">
        <v>18.07</v>
      </c>
      <c r="G183" s="1">
        <v>1359.3</v>
      </c>
      <c r="H183" s="1" t="s">
        <v>22</v>
      </c>
      <c r="I183" s="1" t="s">
        <v>56</v>
      </c>
      <c r="J183" s="1" t="s">
        <v>57</v>
      </c>
      <c r="K183" s="1">
        <v>18.2</v>
      </c>
    </row>
    <row r="184" spans="1:11" hidden="1" x14ac:dyDescent="0.3">
      <c r="A184" s="1">
        <v>835</v>
      </c>
      <c r="B184" s="1">
        <v>1</v>
      </c>
      <c r="C184" s="1" t="s">
        <v>98</v>
      </c>
      <c r="D184" s="1">
        <v>0</v>
      </c>
      <c r="E184" s="1">
        <v>0</v>
      </c>
      <c r="F184" s="1">
        <v>101.989</v>
      </c>
      <c r="G184" s="1">
        <v>224.7</v>
      </c>
      <c r="H184" s="1" t="s">
        <v>12</v>
      </c>
      <c r="I184" s="1" t="s">
        <v>35</v>
      </c>
      <c r="J184" s="1" t="s">
        <v>37</v>
      </c>
      <c r="K184" s="1">
        <v>23.4</v>
      </c>
    </row>
    <row r="185" spans="1:11" hidden="1" x14ac:dyDescent="0.3">
      <c r="A185" s="1">
        <v>835</v>
      </c>
      <c r="B185" s="1">
        <v>2</v>
      </c>
      <c r="C185" s="1" t="s">
        <v>98</v>
      </c>
      <c r="D185" s="1">
        <v>0.25600000000000001</v>
      </c>
      <c r="E185" s="1">
        <v>0.121</v>
      </c>
      <c r="F185" s="1">
        <v>102.157</v>
      </c>
      <c r="G185" s="1">
        <v>324.2</v>
      </c>
      <c r="H185" s="1" t="s">
        <v>12</v>
      </c>
      <c r="I185" s="1" t="s">
        <v>73</v>
      </c>
      <c r="J185" s="1" t="s">
        <v>134</v>
      </c>
      <c r="K185" s="1">
        <v>23.4</v>
      </c>
    </row>
    <row r="186" spans="1:11" hidden="1" x14ac:dyDescent="0.3">
      <c r="A186" s="1">
        <v>835</v>
      </c>
      <c r="B186" s="1">
        <v>3</v>
      </c>
      <c r="C186" s="1" t="s">
        <v>98</v>
      </c>
      <c r="D186" s="1">
        <v>-0.34</v>
      </c>
      <c r="E186" s="1">
        <v>-0.26400000000000001</v>
      </c>
      <c r="F186" s="1">
        <v>102.348</v>
      </c>
      <c r="G186" s="1">
        <v>423.6</v>
      </c>
      <c r="H186" s="1" t="s">
        <v>22</v>
      </c>
      <c r="I186" s="1" t="s">
        <v>121</v>
      </c>
      <c r="J186" s="1" t="s">
        <v>61</v>
      </c>
      <c r="K186" s="1">
        <v>23.4</v>
      </c>
    </row>
    <row r="187" spans="1:11" hidden="1" x14ac:dyDescent="0.3">
      <c r="A187" s="1">
        <v>835</v>
      </c>
      <c r="B187" s="1">
        <v>4</v>
      </c>
      <c r="C187" s="1" t="s">
        <v>98</v>
      </c>
      <c r="D187" s="1">
        <v>-0.27</v>
      </c>
      <c r="E187" s="1">
        <v>-0.215</v>
      </c>
      <c r="F187" s="1">
        <v>102.57</v>
      </c>
      <c r="G187" s="1">
        <v>523.1</v>
      </c>
      <c r="H187" s="1" t="s">
        <v>22</v>
      </c>
      <c r="I187" s="1" t="s">
        <v>135</v>
      </c>
      <c r="J187" s="1" t="s">
        <v>136</v>
      </c>
      <c r="K187" s="1">
        <v>23.4</v>
      </c>
    </row>
    <row r="188" spans="1:11" hidden="1" x14ac:dyDescent="0.3">
      <c r="A188" s="1">
        <v>835</v>
      </c>
      <c r="B188" s="1">
        <v>5</v>
      </c>
      <c r="C188" s="1" t="s">
        <v>98</v>
      </c>
      <c r="D188" s="1">
        <v>-0.26300000000000001</v>
      </c>
      <c r="E188" s="1">
        <v>-0.189</v>
      </c>
      <c r="F188" s="1">
        <v>102.492</v>
      </c>
      <c r="G188" s="1">
        <v>622.79999999999995</v>
      </c>
      <c r="H188" s="1" t="s">
        <v>22</v>
      </c>
      <c r="I188" s="1" t="s">
        <v>30</v>
      </c>
      <c r="J188" s="1" t="s">
        <v>118</v>
      </c>
      <c r="K188" s="1">
        <v>23.4</v>
      </c>
    </row>
    <row r="189" spans="1:11" hidden="1" x14ac:dyDescent="0.3">
      <c r="A189" s="1">
        <v>835</v>
      </c>
      <c r="B189" s="1">
        <v>6</v>
      </c>
      <c r="C189" s="1" t="s">
        <v>98</v>
      </c>
      <c r="D189" s="1">
        <v>1007.237</v>
      </c>
      <c r="E189" s="1">
        <v>544.74099999999999</v>
      </c>
      <c r="F189" s="1">
        <v>1.2230000000000001</v>
      </c>
      <c r="G189" s="1">
        <v>1331.3</v>
      </c>
      <c r="H189" s="1" t="s">
        <v>12</v>
      </c>
      <c r="I189" s="1" t="s">
        <v>56</v>
      </c>
      <c r="J189" s="1" t="s">
        <v>51</v>
      </c>
      <c r="K189" s="1">
        <v>8.1999999999999993</v>
      </c>
    </row>
    <row r="190" spans="1:11" x14ac:dyDescent="0.3">
      <c r="A190" s="1">
        <v>835</v>
      </c>
      <c r="B190" s="1">
        <v>7</v>
      </c>
      <c r="C190" s="1" t="s">
        <v>98</v>
      </c>
      <c r="D190" s="1">
        <v>40.497999999999998</v>
      </c>
      <c r="E190" s="1">
        <v>2.0299999999999998</v>
      </c>
      <c r="F190" s="1">
        <v>17.739999999999998</v>
      </c>
      <c r="G190" s="1">
        <v>1359.3</v>
      </c>
      <c r="H190" s="1" t="s">
        <v>22</v>
      </c>
      <c r="I190" s="1" t="s">
        <v>33</v>
      </c>
      <c r="J190" s="1" t="s">
        <v>34</v>
      </c>
      <c r="K190" s="1">
        <v>17.3</v>
      </c>
    </row>
    <row r="191" spans="1:11" hidden="1" x14ac:dyDescent="0.3">
      <c r="A191" s="1">
        <v>836</v>
      </c>
      <c r="B191" s="1">
        <v>1</v>
      </c>
      <c r="C191" s="1" t="s">
        <v>25</v>
      </c>
      <c r="D191" s="1">
        <v>0</v>
      </c>
      <c r="E191" s="1">
        <v>0</v>
      </c>
      <c r="F191" s="1">
        <v>102.25</v>
      </c>
      <c r="G191" s="1">
        <v>224.7</v>
      </c>
      <c r="H191" s="1" t="s">
        <v>12</v>
      </c>
      <c r="I191" s="1" t="s">
        <v>54</v>
      </c>
      <c r="J191" s="1" t="s">
        <v>55</v>
      </c>
      <c r="K191" s="1">
        <v>23.4</v>
      </c>
    </row>
    <row r="192" spans="1:11" hidden="1" x14ac:dyDescent="0.3">
      <c r="A192" s="1">
        <v>836</v>
      </c>
      <c r="B192" s="1">
        <v>2</v>
      </c>
      <c r="C192" s="1" t="s">
        <v>25</v>
      </c>
      <c r="D192" s="1">
        <v>-0.223</v>
      </c>
      <c r="E192" s="1">
        <v>-0.19</v>
      </c>
      <c r="F192" s="1">
        <v>102.538</v>
      </c>
      <c r="G192" s="1">
        <v>324.2</v>
      </c>
      <c r="H192" s="1" t="s">
        <v>12</v>
      </c>
      <c r="I192" s="1" t="s">
        <v>60</v>
      </c>
      <c r="J192" s="1" t="s">
        <v>61</v>
      </c>
      <c r="K192" s="1">
        <v>23.4</v>
      </c>
    </row>
    <row r="193" spans="1:11" hidden="1" x14ac:dyDescent="0.3">
      <c r="A193" s="1">
        <v>836</v>
      </c>
      <c r="B193" s="1">
        <v>3</v>
      </c>
      <c r="C193" s="1" t="s">
        <v>25</v>
      </c>
      <c r="D193" s="1">
        <v>-0.499</v>
      </c>
      <c r="E193" s="1">
        <v>-0.36699999999999999</v>
      </c>
      <c r="F193" s="1">
        <v>102.06100000000001</v>
      </c>
      <c r="G193" s="1">
        <v>423.6</v>
      </c>
      <c r="H193" s="1" t="s">
        <v>22</v>
      </c>
      <c r="I193" s="1" t="s">
        <v>92</v>
      </c>
      <c r="J193" s="1" t="s">
        <v>137</v>
      </c>
      <c r="K193" s="1">
        <v>23.4</v>
      </c>
    </row>
    <row r="194" spans="1:11" hidden="1" x14ac:dyDescent="0.3">
      <c r="A194" s="1">
        <v>836</v>
      </c>
      <c r="B194" s="1">
        <v>4</v>
      </c>
      <c r="C194" s="1" t="s">
        <v>25</v>
      </c>
      <c r="D194" s="1">
        <v>-0.44900000000000001</v>
      </c>
      <c r="E194" s="1">
        <v>-0.33800000000000002</v>
      </c>
      <c r="F194" s="1">
        <v>101.967</v>
      </c>
      <c r="G194" s="1">
        <v>523.1</v>
      </c>
      <c r="H194" s="1" t="s">
        <v>22</v>
      </c>
      <c r="I194" s="1" t="s">
        <v>21</v>
      </c>
      <c r="J194" s="1" t="s">
        <v>122</v>
      </c>
      <c r="K194" s="1">
        <v>23.4</v>
      </c>
    </row>
    <row r="195" spans="1:11" hidden="1" x14ac:dyDescent="0.3">
      <c r="A195" s="1">
        <v>836</v>
      </c>
      <c r="B195" s="1">
        <v>5</v>
      </c>
      <c r="C195" s="1" t="s">
        <v>25</v>
      </c>
      <c r="D195" s="1">
        <v>-0.39600000000000002</v>
      </c>
      <c r="E195" s="1">
        <v>-0.316</v>
      </c>
      <c r="F195" s="1">
        <v>101.82299999999999</v>
      </c>
      <c r="G195" s="1">
        <v>622.79999999999995</v>
      </c>
      <c r="H195" s="1" t="s">
        <v>22</v>
      </c>
      <c r="I195" s="1" t="s">
        <v>51</v>
      </c>
      <c r="J195" s="1" t="s">
        <v>92</v>
      </c>
      <c r="K195" s="1">
        <v>23.4</v>
      </c>
    </row>
    <row r="196" spans="1:11" hidden="1" x14ac:dyDescent="0.3">
      <c r="A196" s="1">
        <v>836</v>
      </c>
      <c r="B196" s="1">
        <v>6</v>
      </c>
      <c r="C196" s="1" t="s">
        <v>25</v>
      </c>
      <c r="D196" s="1">
        <v>1008.157</v>
      </c>
      <c r="E196" s="1">
        <v>544.20399999999995</v>
      </c>
      <c r="F196" s="1">
        <v>1.3160000000000001</v>
      </c>
      <c r="G196" s="1">
        <v>1330.3</v>
      </c>
      <c r="H196" s="1" t="s">
        <v>43</v>
      </c>
      <c r="I196" s="1" t="s">
        <v>54</v>
      </c>
      <c r="J196" s="1" t="s">
        <v>103</v>
      </c>
      <c r="K196" s="1">
        <v>8.4</v>
      </c>
    </row>
    <row r="197" spans="1:11" x14ac:dyDescent="0.3">
      <c r="A197" s="1">
        <v>836</v>
      </c>
      <c r="B197" s="1">
        <v>7</v>
      </c>
      <c r="C197" s="1" t="s">
        <v>25</v>
      </c>
      <c r="D197" s="1">
        <v>41.625</v>
      </c>
      <c r="E197" s="1">
        <v>180.494</v>
      </c>
      <c r="F197" s="1">
        <v>18.135000000000002</v>
      </c>
      <c r="G197" s="1">
        <v>1358.1</v>
      </c>
      <c r="H197" s="1" t="s">
        <v>22</v>
      </c>
      <c r="I197" s="1" t="s">
        <v>33</v>
      </c>
      <c r="J197" s="1" t="s">
        <v>57</v>
      </c>
      <c r="K197" s="1">
        <v>17.600000000000001</v>
      </c>
    </row>
    <row r="198" spans="1:11" hidden="1" x14ac:dyDescent="0.3">
      <c r="A198" s="1">
        <v>837</v>
      </c>
      <c r="B198" s="1">
        <v>1</v>
      </c>
      <c r="C198" s="1" t="s">
        <v>38</v>
      </c>
      <c r="D198" s="1">
        <v>0</v>
      </c>
      <c r="E198" s="1">
        <v>0</v>
      </c>
      <c r="F198" s="1">
        <v>102.16</v>
      </c>
      <c r="G198" s="1">
        <v>224.7</v>
      </c>
      <c r="H198" s="1" t="s">
        <v>12</v>
      </c>
      <c r="I198" s="1" t="s">
        <v>17</v>
      </c>
      <c r="J198" s="1" t="s">
        <v>62</v>
      </c>
      <c r="K198" s="1">
        <v>23.4</v>
      </c>
    </row>
    <row r="199" spans="1:11" hidden="1" x14ac:dyDescent="0.3">
      <c r="A199" s="1">
        <v>837</v>
      </c>
      <c r="B199" s="1">
        <v>2</v>
      </c>
      <c r="C199" s="1" t="s">
        <v>38</v>
      </c>
      <c r="D199" s="1">
        <v>-1.054</v>
      </c>
      <c r="E199" s="1">
        <v>-0.65800000000000003</v>
      </c>
      <c r="F199" s="1">
        <v>102.398</v>
      </c>
      <c r="G199" s="1">
        <v>324.2</v>
      </c>
      <c r="H199" s="1" t="s">
        <v>12</v>
      </c>
      <c r="I199" s="1" t="s">
        <v>80</v>
      </c>
      <c r="J199" s="1" t="s">
        <v>138</v>
      </c>
      <c r="K199" s="1">
        <v>23.4</v>
      </c>
    </row>
    <row r="200" spans="1:11" hidden="1" x14ac:dyDescent="0.3">
      <c r="A200" s="1">
        <v>837</v>
      </c>
      <c r="B200" s="1">
        <v>3</v>
      </c>
      <c r="C200" s="1" t="s">
        <v>38</v>
      </c>
      <c r="D200" s="1">
        <v>-1.048</v>
      </c>
      <c r="E200" s="1">
        <v>-0.66800000000000004</v>
      </c>
      <c r="F200" s="1">
        <v>102.324</v>
      </c>
      <c r="G200" s="1">
        <v>423.6</v>
      </c>
      <c r="H200" s="1" t="s">
        <v>22</v>
      </c>
      <c r="I200" s="1" t="s">
        <v>100</v>
      </c>
      <c r="J200" s="1" t="s">
        <v>123</v>
      </c>
      <c r="K200" s="1">
        <v>23.4</v>
      </c>
    </row>
    <row r="201" spans="1:11" hidden="1" x14ac:dyDescent="0.3">
      <c r="A201" s="1">
        <v>837</v>
      </c>
      <c r="B201" s="1">
        <v>4</v>
      </c>
      <c r="C201" s="1" t="s">
        <v>38</v>
      </c>
      <c r="D201" s="1">
        <v>-0.98799999999999999</v>
      </c>
      <c r="E201" s="1">
        <v>-0.65200000000000002</v>
      </c>
      <c r="F201" s="1">
        <v>102.37</v>
      </c>
      <c r="G201" s="1">
        <v>523.1</v>
      </c>
      <c r="H201" s="1" t="s">
        <v>22</v>
      </c>
      <c r="I201" s="1" t="s">
        <v>28</v>
      </c>
      <c r="J201" s="1" t="s">
        <v>102</v>
      </c>
      <c r="K201" s="1">
        <v>23.4</v>
      </c>
    </row>
    <row r="202" spans="1:11" hidden="1" x14ac:dyDescent="0.3">
      <c r="A202" s="1">
        <v>837</v>
      </c>
      <c r="B202" s="1">
        <v>5</v>
      </c>
      <c r="C202" s="1" t="s">
        <v>38</v>
      </c>
      <c r="D202" s="1">
        <v>-0.94</v>
      </c>
      <c r="E202" s="1">
        <v>-0.623</v>
      </c>
      <c r="F202" s="1">
        <v>102.38800000000001</v>
      </c>
      <c r="G202" s="1">
        <v>622.79999999999995</v>
      </c>
      <c r="H202" s="1" t="s">
        <v>22</v>
      </c>
      <c r="I202" s="1" t="s">
        <v>103</v>
      </c>
      <c r="J202" s="1" t="s">
        <v>104</v>
      </c>
      <c r="K202" s="1">
        <v>23.4</v>
      </c>
    </row>
    <row r="203" spans="1:11" hidden="1" x14ac:dyDescent="0.3">
      <c r="A203" s="1">
        <v>837</v>
      </c>
      <c r="B203" s="1">
        <v>6</v>
      </c>
      <c r="C203" s="1" t="s">
        <v>38</v>
      </c>
      <c r="D203" s="1">
        <v>1009.245</v>
      </c>
      <c r="E203" s="1">
        <v>544.51599999999996</v>
      </c>
      <c r="F203" s="1">
        <v>1.6759999999999999</v>
      </c>
      <c r="G203" s="1">
        <v>1330.9</v>
      </c>
      <c r="H203" s="1" t="s">
        <v>43</v>
      </c>
      <c r="I203" s="1" t="s">
        <v>54</v>
      </c>
      <c r="J203" s="1" t="s">
        <v>37</v>
      </c>
      <c r="K203" s="1">
        <v>9</v>
      </c>
    </row>
    <row r="204" spans="1:11" x14ac:dyDescent="0.3">
      <c r="A204" s="1">
        <v>837</v>
      </c>
      <c r="B204" s="1">
        <v>7</v>
      </c>
      <c r="C204" s="1" t="s">
        <v>38</v>
      </c>
      <c r="D204" s="1">
        <v>-9.3640000000000008</v>
      </c>
      <c r="E204" s="1">
        <v>2.129</v>
      </c>
      <c r="F204" s="1">
        <v>18.263999999999999</v>
      </c>
      <c r="G204" s="1">
        <v>1358.5</v>
      </c>
      <c r="H204" s="1" t="s">
        <v>22</v>
      </c>
      <c r="I204" s="1" t="s">
        <v>56</v>
      </c>
      <c r="J204" s="1" t="s">
        <v>57</v>
      </c>
      <c r="K204" s="1">
        <v>17.600000000000001</v>
      </c>
    </row>
    <row r="205" spans="1:11" hidden="1" x14ac:dyDescent="0.3">
      <c r="A205" s="1">
        <v>838</v>
      </c>
      <c r="B205" s="1">
        <v>1</v>
      </c>
      <c r="C205" s="1" t="s">
        <v>42</v>
      </c>
      <c r="D205" s="1">
        <v>0</v>
      </c>
      <c r="E205" s="1">
        <v>0</v>
      </c>
      <c r="F205" s="1">
        <v>101.553</v>
      </c>
      <c r="G205" s="1">
        <v>224.7</v>
      </c>
      <c r="H205" s="1" t="s">
        <v>12</v>
      </c>
      <c r="I205" s="1" t="s">
        <v>139</v>
      </c>
      <c r="J205" s="1" t="s">
        <v>46</v>
      </c>
      <c r="K205" s="1">
        <v>23.4</v>
      </c>
    </row>
    <row r="206" spans="1:11" hidden="1" x14ac:dyDescent="0.3">
      <c r="A206" s="1">
        <v>838</v>
      </c>
      <c r="B206" s="1">
        <v>2</v>
      </c>
      <c r="C206" s="1" t="s">
        <v>42</v>
      </c>
      <c r="D206" s="1">
        <v>-1.252</v>
      </c>
      <c r="E206" s="1">
        <v>-0.79200000000000004</v>
      </c>
      <c r="F206" s="1">
        <v>101.64700000000001</v>
      </c>
      <c r="G206" s="1">
        <v>324.2</v>
      </c>
      <c r="H206" s="1" t="s">
        <v>22</v>
      </c>
      <c r="I206" s="1" t="s">
        <v>117</v>
      </c>
      <c r="J206" s="1" t="s">
        <v>140</v>
      </c>
      <c r="K206" s="1">
        <v>23.4</v>
      </c>
    </row>
    <row r="207" spans="1:11" hidden="1" x14ac:dyDescent="0.3">
      <c r="A207" s="1">
        <v>838</v>
      </c>
      <c r="B207" s="1">
        <v>3</v>
      </c>
      <c r="C207" s="1" t="s">
        <v>42</v>
      </c>
      <c r="D207" s="1">
        <v>-1.1919999999999999</v>
      </c>
      <c r="E207" s="1">
        <v>-0.78800000000000003</v>
      </c>
      <c r="F207" s="1">
        <v>101.703</v>
      </c>
      <c r="G207" s="1">
        <v>423.6</v>
      </c>
      <c r="H207" s="1" t="s">
        <v>22</v>
      </c>
      <c r="I207" s="1" t="s">
        <v>141</v>
      </c>
      <c r="J207" s="1" t="s">
        <v>137</v>
      </c>
      <c r="K207" s="1">
        <v>23.4</v>
      </c>
    </row>
    <row r="208" spans="1:11" hidden="1" x14ac:dyDescent="0.3">
      <c r="A208" s="1">
        <v>838</v>
      </c>
      <c r="B208" s="1">
        <v>4</v>
      </c>
      <c r="C208" s="1" t="s">
        <v>42</v>
      </c>
      <c r="D208" s="1">
        <v>-1.1359999999999999</v>
      </c>
      <c r="E208" s="1">
        <v>-0.746</v>
      </c>
      <c r="F208" s="1">
        <v>102.221</v>
      </c>
      <c r="G208" s="1">
        <v>523.1</v>
      </c>
      <c r="H208" s="1" t="s">
        <v>22</v>
      </c>
      <c r="I208" s="1" t="s">
        <v>21</v>
      </c>
      <c r="J208" s="1" t="s">
        <v>122</v>
      </c>
      <c r="K208" s="1">
        <v>23.4</v>
      </c>
    </row>
    <row r="209" spans="1:11" hidden="1" x14ac:dyDescent="0.3">
      <c r="A209" s="1">
        <v>838</v>
      </c>
      <c r="B209" s="1">
        <v>5</v>
      </c>
      <c r="C209" s="1" t="s">
        <v>42</v>
      </c>
      <c r="D209" s="1">
        <v>-1.1040000000000001</v>
      </c>
      <c r="E209" s="1">
        <v>-0.745</v>
      </c>
      <c r="F209" s="1">
        <v>102.53</v>
      </c>
      <c r="G209" s="1">
        <v>622.79999999999995</v>
      </c>
      <c r="H209" s="1" t="s">
        <v>22</v>
      </c>
      <c r="I209" s="1" t="s">
        <v>34</v>
      </c>
      <c r="J209" s="1" t="s">
        <v>52</v>
      </c>
      <c r="K209" s="1">
        <v>23.2</v>
      </c>
    </row>
    <row r="210" spans="1:11" hidden="1" x14ac:dyDescent="0.3">
      <c r="A210" s="1">
        <v>838</v>
      </c>
      <c r="B210" s="1">
        <v>6</v>
      </c>
      <c r="C210" s="1" t="s">
        <v>42</v>
      </c>
      <c r="D210" s="1">
        <v>1002.961</v>
      </c>
      <c r="E210" s="1">
        <v>541.92700000000002</v>
      </c>
      <c r="F210" s="1">
        <v>1.0640000000000001</v>
      </c>
      <c r="G210" s="1">
        <v>1330.7</v>
      </c>
      <c r="H210" s="1" t="s">
        <v>43</v>
      </c>
      <c r="I210" s="1" t="s">
        <v>56</v>
      </c>
      <c r="J210" s="1" t="s">
        <v>55</v>
      </c>
      <c r="K210" s="1">
        <v>8.1999999999999993</v>
      </c>
    </row>
    <row r="211" spans="1:11" x14ac:dyDescent="0.3">
      <c r="A211" s="1">
        <v>838</v>
      </c>
      <c r="B211" s="1">
        <v>7</v>
      </c>
      <c r="C211" s="1" t="s">
        <v>42</v>
      </c>
      <c r="D211" s="1">
        <v>71.218000000000004</v>
      </c>
      <c r="E211" s="1">
        <v>7.5069999999999997</v>
      </c>
      <c r="F211" s="1">
        <v>18.683</v>
      </c>
      <c r="G211" s="1">
        <v>1358.1</v>
      </c>
      <c r="H211" s="1" t="s">
        <v>22</v>
      </c>
      <c r="I211" s="1" t="s">
        <v>56</v>
      </c>
      <c r="J211" s="1" t="s">
        <v>57</v>
      </c>
      <c r="K211" s="1">
        <v>18</v>
      </c>
    </row>
    <row r="212" spans="1:11" hidden="1" x14ac:dyDescent="0.3">
      <c r="A212" s="1">
        <v>839</v>
      </c>
      <c r="B212" s="1">
        <v>1</v>
      </c>
      <c r="C212" s="1" t="s">
        <v>44</v>
      </c>
      <c r="D212" s="1">
        <v>0</v>
      </c>
      <c r="E212" s="1">
        <v>0</v>
      </c>
      <c r="F212" s="1">
        <v>101.623</v>
      </c>
      <c r="G212" s="1">
        <v>224.7</v>
      </c>
      <c r="H212" s="1" t="s">
        <v>12</v>
      </c>
      <c r="I212" s="1" t="s">
        <v>85</v>
      </c>
      <c r="J212" s="1" t="s">
        <v>121</v>
      </c>
      <c r="K212" s="1">
        <v>23.4</v>
      </c>
    </row>
    <row r="213" spans="1:11" hidden="1" x14ac:dyDescent="0.3">
      <c r="A213" s="1">
        <v>839</v>
      </c>
      <c r="B213" s="1">
        <v>2</v>
      </c>
      <c r="C213" s="1" t="s">
        <v>44</v>
      </c>
      <c r="D213" s="1">
        <v>-0.51800000000000002</v>
      </c>
      <c r="E213" s="1">
        <v>-0.38</v>
      </c>
      <c r="F213" s="1">
        <v>101.673</v>
      </c>
      <c r="G213" s="1">
        <v>324.2</v>
      </c>
      <c r="H213" s="1" t="s">
        <v>22</v>
      </c>
      <c r="I213" s="1" t="s">
        <v>99</v>
      </c>
      <c r="J213" s="1" t="s">
        <v>142</v>
      </c>
      <c r="K213" s="1">
        <v>23.4</v>
      </c>
    </row>
    <row r="214" spans="1:11" hidden="1" x14ac:dyDescent="0.3">
      <c r="A214" s="1">
        <v>839</v>
      </c>
      <c r="B214" s="1">
        <v>3</v>
      </c>
      <c r="C214" s="1" t="s">
        <v>44</v>
      </c>
      <c r="D214" s="1">
        <v>-0.499</v>
      </c>
      <c r="E214" s="1">
        <v>-0.373</v>
      </c>
      <c r="F214" s="1">
        <v>101.57899999999999</v>
      </c>
      <c r="G214" s="1">
        <v>423.6</v>
      </c>
      <c r="H214" s="1" t="s">
        <v>22</v>
      </c>
      <c r="I214" s="1" t="s">
        <v>127</v>
      </c>
      <c r="J214" s="1" t="s">
        <v>128</v>
      </c>
      <c r="K214" s="1">
        <v>23.4</v>
      </c>
    </row>
    <row r="215" spans="1:11" hidden="1" x14ac:dyDescent="0.3">
      <c r="A215" s="1">
        <v>839</v>
      </c>
      <c r="B215" s="1">
        <v>4</v>
      </c>
      <c r="C215" s="1" t="s">
        <v>44</v>
      </c>
      <c r="D215" s="1">
        <v>-0.498</v>
      </c>
      <c r="E215" s="1">
        <v>-0.373</v>
      </c>
      <c r="F215" s="1">
        <v>102.26</v>
      </c>
      <c r="G215" s="1">
        <v>523.1</v>
      </c>
      <c r="H215" s="1" t="s">
        <v>22</v>
      </c>
      <c r="I215" s="1" t="s">
        <v>24</v>
      </c>
      <c r="J215" s="1" t="s">
        <v>53</v>
      </c>
      <c r="K215" s="1">
        <v>23.4</v>
      </c>
    </row>
    <row r="216" spans="1:11" hidden="1" x14ac:dyDescent="0.3">
      <c r="A216" s="1">
        <v>839</v>
      </c>
      <c r="B216" s="1">
        <v>5</v>
      </c>
      <c r="C216" s="1" t="s">
        <v>44</v>
      </c>
      <c r="D216" s="1">
        <v>-0.45800000000000002</v>
      </c>
      <c r="E216" s="1">
        <v>-0.379</v>
      </c>
      <c r="F216" s="1">
        <v>102.33199999999999</v>
      </c>
      <c r="G216" s="1">
        <v>622.79999999999995</v>
      </c>
      <c r="H216" s="1" t="s">
        <v>22</v>
      </c>
      <c r="I216" s="1" t="s">
        <v>18</v>
      </c>
      <c r="J216" s="1" t="s">
        <v>143</v>
      </c>
      <c r="K216" s="1">
        <v>23.4</v>
      </c>
    </row>
    <row r="217" spans="1:11" hidden="1" x14ac:dyDescent="0.3">
      <c r="A217" s="1">
        <v>839</v>
      </c>
      <c r="B217" s="1">
        <v>6</v>
      </c>
      <c r="C217" s="1" t="s">
        <v>44</v>
      </c>
      <c r="D217" s="1">
        <v>1001.971</v>
      </c>
      <c r="E217" s="1">
        <v>541.45100000000002</v>
      </c>
      <c r="F217" s="1">
        <v>1.0249999999999999</v>
      </c>
      <c r="G217" s="1">
        <v>1329.4</v>
      </c>
      <c r="H217" s="1" t="s">
        <v>43</v>
      </c>
      <c r="I217" s="1" t="s">
        <v>35</v>
      </c>
      <c r="J217" s="1" t="s">
        <v>41</v>
      </c>
      <c r="K217" s="1">
        <v>8.1999999999999993</v>
      </c>
    </row>
    <row r="218" spans="1:11" x14ac:dyDescent="0.3">
      <c r="A218" s="1">
        <v>839</v>
      </c>
      <c r="B218" s="1">
        <v>7</v>
      </c>
      <c r="C218" s="1" t="s">
        <v>44</v>
      </c>
      <c r="D218" s="1">
        <v>78.552999999999997</v>
      </c>
      <c r="E218" s="1">
        <v>4.9189999999999996</v>
      </c>
      <c r="F218" s="1">
        <v>19.22</v>
      </c>
      <c r="G218" s="1">
        <v>1356.6</v>
      </c>
      <c r="H218" s="1" t="s">
        <v>12</v>
      </c>
      <c r="I218" s="1" t="s">
        <v>54</v>
      </c>
      <c r="J218" s="1" t="s">
        <v>103</v>
      </c>
      <c r="K218" s="1">
        <v>18</v>
      </c>
    </row>
    <row r="219" spans="1:11" hidden="1" x14ac:dyDescent="0.3">
      <c r="A219" s="1">
        <v>840</v>
      </c>
      <c r="B219" s="1">
        <v>1</v>
      </c>
      <c r="C219" s="1" t="s">
        <v>45</v>
      </c>
      <c r="D219" s="1">
        <v>0</v>
      </c>
      <c r="E219" s="1">
        <v>0</v>
      </c>
      <c r="F219" s="1">
        <v>102.208</v>
      </c>
      <c r="G219" s="1">
        <v>224.7</v>
      </c>
      <c r="H219" s="1" t="s">
        <v>22</v>
      </c>
      <c r="I219" s="1" t="s">
        <v>102</v>
      </c>
      <c r="J219" s="1" t="s">
        <v>144</v>
      </c>
      <c r="K219" s="1">
        <v>23.4</v>
      </c>
    </row>
    <row r="220" spans="1:11" hidden="1" x14ac:dyDescent="0.3">
      <c r="A220" s="1">
        <v>840</v>
      </c>
      <c r="B220" s="1">
        <v>2</v>
      </c>
      <c r="C220" s="1" t="s">
        <v>45</v>
      </c>
      <c r="D220" s="1">
        <v>-5.5E-2</v>
      </c>
      <c r="E220" s="1">
        <v>-6.9000000000000006E-2</v>
      </c>
      <c r="F220" s="1">
        <v>102.367</v>
      </c>
      <c r="G220" s="1">
        <v>324.2</v>
      </c>
      <c r="H220" s="1" t="s">
        <v>22</v>
      </c>
      <c r="I220" s="1" t="s">
        <v>112</v>
      </c>
      <c r="J220" s="1" t="s">
        <v>145</v>
      </c>
      <c r="K220" s="1">
        <v>23.4</v>
      </c>
    </row>
    <row r="221" spans="1:11" hidden="1" x14ac:dyDescent="0.3">
      <c r="A221" s="1">
        <v>840</v>
      </c>
      <c r="B221" s="1">
        <v>3</v>
      </c>
      <c r="C221" s="1" t="s">
        <v>45</v>
      </c>
      <c r="D221" s="1">
        <v>-2.4E-2</v>
      </c>
      <c r="E221" s="1">
        <v>-6.3E-2</v>
      </c>
      <c r="F221" s="1">
        <v>102.419</v>
      </c>
      <c r="G221" s="1">
        <v>423.6</v>
      </c>
      <c r="H221" s="1" t="s">
        <v>22</v>
      </c>
      <c r="I221" s="1" t="s">
        <v>32</v>
      </c>
      <c r="J221" s="1" t="s">
        <v>128</v>
      </c>
      <c r="K221" s="1">
        <v>23.4</v>
      </c>
    </row>
    <row r="222" spans="1:11" hidden="1" x14ac:dyDescent="0.3">
      <c r="A222" s="1">
        <v>840</v>
      </c>
      <c r="B222" s="1">
        <v>4</v>
      </c>
      <c r="C222" s="1" t="s">
        <v>45</v>
      </c>
      <c r="D222" s="1">
        <v>-2.1999999999999999E-2</v>
      </c>
      <c r="E222" s="1">
        <v>-7.2999999999999995E-2</v>
      </c>
      <c r="F222" s="1">
        <v>102.44799999999999</v>
      </c>
      <c r="G222" s="1">
        <v>523.1</v>
      </c>
      <c r="H222" s="1" t="s">
        <v>22</v>
      </c>
      <c r="I222" s="1" t="s">
        <v>41</v>
      </c>
      <c r="J222" s="1" t="s">
        <v>114</v>
      </c>
      <c r="K222" s="1">
        <v>23.4</v>
      </c>
    </row>
    <row r="223" spans="1:11" hidden="1" x14ac:dyDescent="0.3">
      <c r="A223" s="1">
        <v>840</v>
      </c>
      <c r="B223" s="1">
        <v>5</v>
      </c>
      <c r="C223" s="1" t="s">
        <v>45</v>
      </c>
      <c r="D223" s="1">
        <v>0</v>
      </c>
      <c r="E223" s="1">
        <v>-7.4999999999999997E-2</v>
      </c>
      <c r="F223" s="1">
        <v>102.461</v>
      </c>
      <c r="G223" s="1">
        <v>622.79999999999995</v>
      </c>
      <c r="H223" s="1" t="s">
        <v>22</v>
      </c>
      <c r="I223" s="1" t="s">
        <v>14</v>
      </c>
      <c r="J223" s="1" t="s">
        <v>139</v>
      </c>
      <c r="K223" s="1">
        <v>23.2</v>
      </c>
    </row>
    <row r="224" spans="1:11" hidden="1" x14ac:dyDescent="0.3">
      <c r="A224" s="1">
        <v>840</v>
      </c>
      <c r="B224" s="1">
        <v>6</v>
      </c>
      <c r="C224" s="1" t="s">
        <v>45</v>
      </c>
      <c r="D224" s="1">
        <v>1008.125</v>
      </c>
      <c r="E224" s="1">
        <v>543.83500000000004</v>
      </c>
      <c r="F224" s="1">
        <v>1.2649999999999999</v>
      </c>
      <c r="G224" s="1">
        <v>1330.3</v>
      </c>
      <c r="H224" s="1" t="s">
        <v>43</v>
      </c>
      <c r="I224" s="1" t="s">
        <v>35</v>
      </c>
      <c r="J224" s="1" t="s">
        <v>41</v>
      </c>
      <c r="K224" s="1">
        <v>8.4</v>
      </c>
    </row>
    <row r="225" spans="1:11" x14ac:dyDescent="0.3">
      <c r="A225" s="1">
        <v>840</v>
      </c>
      <c r="B225" s="1">
        <v>7</v>
      </c>
      <c r="C225" s="1" t="s">
        <v>45</v>
      </c>
      <c r="D225" s="1">
        <v>77.816999999999993</v>
      </c>
      <c r="E225" s="1">
        <v>7.109</v>
      </c>
      <c r="F225" s="1">
        <v>13.065</v>
      </c>
      <c r="G225" s="1">
        <v>1358.7</v>
      </c>
      <c r="H225" s="1" t="s">
        <v>22</v>
      </c>
      <c r="I225" s="1" t="s">
        <v>54</v>
      </c>
      <c r="J225" s="1" t="s">
        <v>103</v>
      </c>
      <c r="K225" s="1">
        <v>16.100000000000001</v>
      </c>
    </row>
    <row r="226" spans="1:11" hidden="1" x14ac:dyDescent="0.3">
      <c r="A226" s="1">
        <v>841</v>
      </c>
      <c r="B226" s="1">
        <v>1</v>
      </c>
      <c r="C226" s="1" t="s">
        <v>58</v>
      </c>
      <c r="D226" s="1">
        <v>0</v>
      </c>
      <c r="E226" s="1">
        <v>0</v>
      </c>
      <c r="F226" s="1">
        <v>101.764</v>
      </c>
      <c r="G226" s="1">
        <v>224.7</v>
      </c>
      <c r="H226" s="1" t="s">
        <v>12</v>
      </c>
      <c r="I226" s="1" t="s">
        <v>46</v>
      </c>
      <c r="J226" s="1" t="s">
        <v>89</v>
      </c>
      <c r="K226" s="1">
        <v>23.4</v>
      </c>
    </row>
    <row r="227" spans="1:11" hidden="1" x14ac:dyDescent="0.3">
      <c r="A227" s="1">
        <v>841</v>
      </c>
      <c r="B227" s="1">
        <v>2</v>
      </c>
      <c r="C227" s="1" t="s">
        <v>58</v>
      </c>
      <c r="D227" s="1">
        <v>-3.1E-2</v>
      </c>
      <c r="E227" s="1">
        <v>-6.4000000000000001E-2</v>
      </c>
      <c r="F227" s="1">
        <v>101.753</v>
      </c>
      <c r="G227" s="1">
        <v>324.2</v>
      </c>
      <c r="H227" s="1" t="s">
        <v>22</v>
      </c>
      <c r="I227" s="1" t="s">
        <v>74</v>
      </c>
      <c r="J227" s="1" t="s">
        <v>146</v>
      </c>
      <c r="K227" s="1">
        <v>23.4</v>
      </c>
    </row>
    <row r="228" spans="1:11" hidden="1" x14ac:dyDescent="0.3">
      <c r="A228" s="1">
        <v>841</v>
      </c>
      <c r="B228" s="1">
        <v>3</v>
      </c>
      <c r="C228" s="1" t="s">
        <v>58</v>
      </c>
      <c r="D228" s="1">
        <v>0.03</v>
      </c>
      <c r="E228" s="1">
        <v>-1.7000000000000001E-2</v>
      </c>
      <c r="F228" s="1">
        <v>101.718</v>
      </c>
      <c r="G228" s="1">
        <v>423.6</v>
      </c>
      <c r="H228" s="1" t="s">
        <v>22</v>
      </c>
      <c r="I228" s="1" t="s">
        <v>85</v>
      </c>
      <c r="J228" s="1" t="s">
        <v>60</v>
      </c>
      <c r="K228" s="1">
        <v>23.4</v>
      </c>
    </row>
    <row r="229" spans="1:11" hidden="1" x14ac:dyDescent="0.3">
      <c r="A229" s="1">
        <v>841</v>
      </c>
      <c r="B229" s="1">
        <v>4</v>
      </c>
      <c r="C229" s="1" t="s">
        <v>58</v>
      </c>
      <c r="D229" s="1">
        <v>1.7999999999999999E-2</v>
      </c>
      <c r="E229" s="1">
        <v>-1.6E-2</v>
      </c>
      <c r="F229" s="1">
        <v>101.93600000000001</v>
      </c>
      <c r="G229" s="1">
        <v>523.1</v>
      </c>
      <c r="H229" s="1" t="s">
        <v>22</v>
      </c>
      <c r="I229" s="1" t="s">
        <v>55</v>
      </c>
      <c r="J229" s="1" t="s">
        <v>83</v>
      </c>
      <c r="K229" s="1">
        <v>23.4</v>
      </c>
    </row>
    <row r="230" spans="1:11" hidden="1" x14ac:dyDescent="0.3">
      <c r="A230" s="1">
        <v>841</v>
      </c>
      <c r="B230" s="1">
        <v>5</v>
      </c>
      <c r="C230" s="1" t="s">
        <v>58</v>
      </c>
      <c r="D230" s="1">
        <v>4.9000000000000002E-2</v>
      </c>
      <c r="E230" s="1">
        <v>-1.6E-2</v>
      </c>
      <c r="F230" s="1">
        <v>102.331</v>
      </c>
      <c r="G230" s="1">
        <v>622.79999999999995</v>
      </c>
      <c r="H230" s="1" t="s">
        <v>22</v>
      </c>
      <c r="I230" s="1" t="s">
        <v>20</v>
      </c>
      <c r="J230" s="1" t="s">
        <v>112</v>
      </c>
      <c r="K230" s="1">
        <v>23.4</v>
      </c>
    </row>
    <row r="231" spans="1:11" hidden="1" x14ac:dyDescent="0.3">
      <c r="A231" s="1">
        <v>841</v>
      </c>
      <c r="B231" s="1">
        <v>6</v>
      </c>
      <c r="C231" s="1" t="s">
        <v>58</v>
      </c>
      <c r="D231" s="1">
        <v>1008.782</v>
      </c>
      <c r="E231" s="1">
        <v>544.76499999999999</v>
      </c>
      <c r="F231" s="1">
        <v>1.343</v>
      </c>
      <c r="G231" s="1">
        <v>1330.3</v>
      </c>
      <c r="H231" s="1" t="s">
        <v>43</v>
      </c>
      <c r="I231" s="1" t="s">
        <v>35</v>
      </c>
      <c r="J231" s="1" t="s">
        <v>37</v>
      </c>
      <c r="K231" s="1">
        <v>8.6</v>
      </c>
    </row>
    <row r="232" spans="1:11" x14ac:dyDescent="0.3">
      <c r="A232" s="1">
        <v>841</v>
      </c>
      <c r="B232" s="1">
        <v>7</v>
      </c>
      <c r="C232" s="1" t="s">
        <v>58</v>
      </c>
      <c r="D232" s="1">
        <v>79.352000000000004</v>
      </c>
      <c r="E232" s="1">
        <v>6.391</v>
      </c>
      <c r="F232" s="1">
        <v>18.05</v>
      </c>
      <c r="G232" s="1">
        <v>1357.9</v>
      </c>
      <c r="H232" s="1" t="s">
        <v>22</v>
      </c>
      <c r="I232" s="1" t="s">
        <v>56</v>
      </c>
      <c r="J232" s="1" t="s">
        <v>103</v>
      </c>
      <c r="K232" s="1">
        <v>17.8</v>
      </c>
    </row>
    <row r="233" spans="1:11" hidden="1" x14ac:dyDescent="0.3">
      <c r="A233" s="1">
        <v>842</v>
      </c>
      <c r="B233" s="1">
        <v>1</v>
      </c>
      <c r="C233" s="1" t="s">
        <v>67</v>
      </c>
      <c r="D233" s="1">
        <v>0</v>
      </c>
      <c r="E233" s="1">
        <v>0</v>
      </c>
      <c r="F233" s="1">
        <v>101.947</v>
      </c>
      <c r="G233" s="1">
        <v>224.7</v>
      </c>
      <c r="H233" s="1" t="s">
        <v>22</v>
      </c>
      <c r="I233" s="1" t="s">
        <v>147</v>
      </c>
      <c r="J233" s="1" t="s">
        <v>148</v>
      </c>
      <c r="K233" s="1">
        <v>23.4</v>
      </c>
    </row>
    <row r="234" spans="1:11" hidden="1" x14ac:dyDescent="0.3">
      <c r="A234" s="1">
        <v>842</v>
      </c>
      <c r="B234" s="1">
        <v>2</v>
      </c>
      <c r="C234" s="1" t="s">
        <v>67</v>
      </c>
      <c r="D234" s="1">
        <v>-1.6E-2</v>
      </c>
      <c r="E234" s="1">
        <v>-0.06</v>
      </c>
      <c r="F234" s="1">
        <v>102.194</v>
      </c>
      <c r="G234" s="1">
        <v>324.2</v>
      </c>
      <c r="H234" s="1" t="s">
        <v>22</v>
      </c>
      <c r="I234" s="1" t="s">
        <v>92</v>
      </c>
      <c r="J234" s="1" t="s">
        <v>137</v>
      </c>
      <c r="K234" s="1">
        <v>23.4</v>
      </c>
    </row>
    <row r="235" spans="1:11" hidden="1" x14ac:dyDescent="0.3">
      <c r="A235" s="1">
        <v>842</v>
      </c>
      <c r="B235" s="1">
        <v>3</v>
      </c>
      <c r="C235" s="1" t="s">
        <v>67</v>
      </c>
      <c r="D235" s="1">
        <v>6.6000000000000003E-2</v>
      </c>
      <c r="E235" s="1">
        <v>-4.8000000000000001E-2</v>
      </c>
      <c r="F235" s="1">
        <v>102.375</v>
      </c>
      <c r="G235" s="1">
        <v>423.6</v>
      </c>
      <c r="H235" s="1" t="s">
        <v>22</v>
      </c>
      <c r="I235" s="1" t="s">
        <v>149</v>
      </c>
      <c r="J235" s="1" t="s">
        <v>91</v>
      </c>
      <c r="K235" s="1">
        <v>23.4</v>
      </c>
    </row>
    <row r="236" spans="1:11" hidden="1" x14ac:dyDescent="0.3">
      <c r="A236" s="1">
        <v>842</v>
      </c>
      <c r="B236" s="1">
        <v>4</v>
      </c>
      <c r="C236" s="1" t="s">
        <v>67</v>
      </c>
      <c r="D236" s="1">
        <v>0.105</v>
      </c>
      <c r="E236" s="1">
        <v>-4.5999999999999999E-2</v>
      </c>
      <c r="F236" s="1">
        <v>102.45</v>
      </c>
      <c r="G236" s="1">
        <v>523.1</v>
      </c>
      <c r="H236" s="1" t="s">
        <v>22</v>
      </c>
      <c r="I236" s="1" t="s">
        <v>51</v>
      </c>
      <c r="J236" s="1" t="s">
        <v>92</v>
      </c>
      <c r="K236" s="1">
        <v>23.4</v>
      </c>
    </row>
    <row r="237" spans="1:11" hidden="1" x14ac:dyDescent="0.3">
      <c r="A237" s="1">
        <v>842</v>
      </c>
      <c r="B237" s="1">
        <v>5</v>
      </c>
      <c r="C237" s="1" t="s">
        <v>67</v>
      </c>
      <c r="D237" s="1">
        <v>7.8E-2</v>
      </c>
      <c r="E237" s="1">
        <v>-5.1999999999999998E-2</v>
      </c>
      <c r="F237" s="1">
        <v>102.574</v>
      </c>
      <c r="G237" s="1">
        <v>622.79999999999995</v>
      </c>
      <c r="H237" s="1" t="s">
        <v>22</v>
      </c>
      <c r="I237" s="1" t="s">
        <v>23</v>
      </c>
      <c r="J237" s="1" t="s">
        <v>70</v>
      </c>
      <c r="K237" s="1">
        <v>23.4</v>
      </c>
    </row>
    <row r="238" spans="1:11" hidden="1" x14ac:dyDescent="0.3">
      <c r="A238" s="1">
        <v>842</v>
      </c>
      <c r="B238" s="1">
        <v>6</v>
      </c>
      <c r="C238" s="1" t="s">
        <v>67</v>
      </c>
      <c r="D238" s="1">
        <v>1009.436</v>
      </c>
      <c r="E238" s="1">
        <v>544.899</v>
      </c>
      <c r="F238" s="1">
        <v>1.2350000000000001</v>
      </c>
      <c r="G238" s="1">
        <v>1332</v>
      </c>
      <c r="H238" s="1" t="s">
        <v>43</v>
      </c>
      <c r="I238" s="1" t="s">
        <v>54</v>
      </c>
      <c r="J238" s="1" t="s">
        <v>37</v>
      </c>
      <c r="K238" s="1">
        <v>8.1999999999999993</v>
      </c>
    </row>
    <row r="239" spans="1:11" x14ac:dyDescent="0.3">
      <c r="A239" s="1">
        <v>842</v>
      </c>
      <c r="B239" s="1">
        <v>7</v>
      </c>
      <c r="C239" s="1" t="s">
        <v>67</v>
      </c>
      <c r="D239" s="1">
        <v>86.122</v>
      </c>
      <c r="E239" s="1">
        <v>5.57</v>
      </c>
      <c r="F239" s="1">
        <v>17.510999999999999</v>
      </c>
      <c r="G239" s="1">
        <v>1360</v>
      </c>
      <c r="H239" s="1" t="s">
        <v>12</v>
      </c>
      <c r="I239" s="1" t="s">
        <v>56</v>
      </c>
      <c r="J239" s="1" t="s">
        <v>55</v>
      </c>
      <c r="K239" s="1">
        <v>17.3</v>
      </c>
    </row>
    <row r="240" spans="1:11" hidden="1" x14ac:dyDescent="0.3">
      <c r="A240" s="1">
        <v>843</v>
      </c>
      <c r="B240" s="1">
        <v>1</v>
      </c>
      <c r="C240" s="1" t="s">
        <v>75</v>
      </c>
      <c r="D240" s="1">
        <v>0</v>
      </c>
      <c r="E240" s="1">
        <v>0</v>
      </c>
      <c r="F240" s="1">
        <v>102.202</v>
      </c>
      <c r="G240" s="1">
        <v>224.7</v>
      </c>
      <c r="H240" s="1" t="s">
        <v>22</v>
      </c>
      <c r="I240" s="1" t="s">
        <v>150</v>
      </c>
      <c r="J240" s="1" t="s">
        <v>151</v>
      </c>
      <c r="K240" s="1">
        <v>23.4</v>
      </c>
    </row>
    <row r="241" spans="1:11" hidden="1" x14ac:dyDescent="0.3">
      <c r="A241" s="1">
        <v>843</v>
      </c>
      <c r="B241" s="1">
        <v>2</v>
      </c>
      <c r="C241" s="1" t="s">
        <v>75</v>
      </c>
      <c r="D241" s="1">
        <v>-0.33600000000000002</v>
      </c>
      <c r="E241" s="1">
        <v>-0.25600000000000001</v>
      </c>
      <c r="F241" s="1">
        <v>102.377</v>
      </c>
      <c r="G241" s="1">
        <v>324.2</v>
      </c>
      <c r="H241" s="1" t="s">
        <v>22</v>
      </c>
      <c r="I241" s="1" t="s">
        <v>94</v>
      </c>
      <c r="J241" s="1" t="s">
        <v>152</v>
      </c>
      <c r="K241" s="1">
        <v>23.4</v>
      </c>
    </row>
    <row r="242" spans="1:11" hidden="1" x14ac:dyDescent="0.3">
      <c r="A242" s="1">
        <v>843</v>
      </c>
      <c r="B242" s="1">
        <v>3</v>
      </c>
      <c r="C242" s="1" t="s">
        <v>75</v>
      </c>
      <c r="D242" s="1">
        <v>-0.20599999999999999</v>
      </c>
      <c r="E242" s="1">
        <v>-0.20599999999999999</v>
      </c>
      <c r="F242" s="1">
        <v>102.479</v>
      </c>
      <c r="G242" s="1">
        <v>423.6</v>
      </c>
      <c r="H242" s="1" t="s">
        <v>22</v>
      </c>
      <c r="I242" s="1" t="s">
        <v>153</v>
      </c>
      <c r="J242" s="1" t="s">
        <v>154</v>
      </c>
      <c r="K242" s="1">
        <v>23.4</v>
      </c>
    </row>
    <row r="243" spans="1:11" hidden="1" x14ac:dyDescent="0.3">
      <c r="A243" s="1">
        <v>843</v>
      </c>
      <c r="B243" s="1">
        <v>4</v>
      </c>
      <c r="C243" s="1" t="s">
        <v>75</v>
      </c>
      <c r="D243" s="1">
        <v>-0.188</v>
      </c>
      <c r="E243" s="1">
        <v>-0.19700000000000001</v>
      </c>
      <c r="F243" s="1">
        <v>102.53700000000001</v>
      </c>
      <c r="G243" s="1">
        <v>523.1</v>
      </c>
      <c r="H243" s="1" t="s">
        <v>22</v>
      </c>
      <c r="I243" s="1" t="s">
        <v>28</v>
      </c>
      <c r="J243" s="1" t="s">
        <v>60</v>
      </c>
      <c r="K243" s="1">
        <v>23.2</v>
      </c>
    </row>
    <row r="244" spans="1:11" hidden="1" x14ac:dyDescent="0.3">
      <c r="A244" s="1">
        <v>843</v>
      </c>
      <c r="B244" s="1">
        <v>5</v>
      </c>
      <c r="C244" s="1" t="s">
        <v>75</v>
      </c>
      <c r="D244" s="1">
        <v>-0.14199999999999999</v>
      </c>
      <c r="E244" s="1">
        <v>-0.21</v>
      </c>
      <c r="F244" s="1">
        <v>102.78</v>
      </c>
      <c r="G244" s="1">
        <v>622.79999999999995</v>
      </c>
      <c r="H244" s="1" t="s">
        <v>22</v>
      </c>
      <c r="I244" s="1" t="s">
        <v>55</v>
      </c>
      <c r="J244" s="1" t="s">
        <v>83</v>
      </c>
      <c r="K244" s="1">
        <v>23.4</v>
      </c>
    </row>
    <row r="245" spans="1:11" hidden="1" x14ac:dyDescent="0.3">
      <c r="A245" s="1">
        <v>843</v>
      </c>
      <c r="B245" s="1">
        <v>6</v>
      </c>
      <c r="C245" s="1" t="s">
        <v>75</v>
      </c>
      <c r="D245" s="1">
        <v>1003.898</v>
      </c>
      <c r="E245" s="1">
        <v>544.26</v>
      </c>
      <c r="F245" s="1">
        <v>1.111</v>
      </c>
      <c r="G245" s="1">
        <v>1330.7</v>
      </c>
      <c r="H245" s="1" t="s">
        <v>43</v>
      </c>
      <c r="I245" s="1" t="s">
        <v>54</v>
      </c>
      <c r="J245" s="1" t="s">
        <v>55</v>
      </c>
      <c r="K245" s="1">
        <v>8.1999999999999993</v>
      </c>
    </row>
    <row r="246" spans="1:11" x14ac:dyDescent="0.3">
      <c r="A246" s="1">
        <v>843</v>
      </c>
      <c r="B246" s="1">
        <v>7</v>
      </c>
      <c r="C246" s="1" t="s">
        <v>75</v>
      </c>
      <c r="D246" s="1">
        <v>80.831999999999994</v>
      </c>
      <c r="E246" s="1">
        <v>5</v>
      </c>
      <c r="F246" s="1">
        <v>15.121</v>
      </c>
      <c r="G246" s="1">
        <v>1358.7</v>
      </c>
      <c r="H246" s="1" t="s">
        <v>12</v>
      </c>
      <c r="I246" s="1" t="s">
        <v>33</v>
      </c>
      <c r="J246" s="1" t="s">
        <v>57</v>
      </c>
      <c r="K246" s="1">
        <v>16.899999999999999</v>
      </c>
    </row>
    <row r="247" spans="1:11" hidden="1" x14ac:dyDescent="0.3">
      <c r="A247" s="1">
        <v>844</v>
      </c>
      <c r="B247" s="1">
        <v>1</v>
      </c>
      <c r="C247" s="1" t="s">
        <v>81</v>
      </c>
      <c r="D247" s="1">
        <v>0</v>
      </c>
      <c r="E247" s="1">
        <v>0</v>
      </c>
      <c r="F247" s="1">
        <v>102.486</v>
      </c>
      <c r="G247" s="1">
        <v>224.7</v>
      </c>
      <c r="H247" s="1" t="s">
        <v>22</v>
      </c>
      <c r="I247" s="1" t="s">
        <v>88</v>
      </c>
      <c r="J247" s="1" t="s">
        <v>155</v>
      </c>
      <c r="K247" s="1">
        <v>23.4</v>
      </c>
    </row>
    <row r="248" spans="1:11" hidden="1" x14ac:dyDescent="0.3">
      <c r="A248" s="1">
        <v>844</v>
      </c>
      <c r="B248" s="1">
        <v>2</v>
      </c>
      <c r="C248" s="1" t="s">
        <v>81</v>
      </c>
      <c r="D248" s="1">
        <v>-0.58599999999999997</v>
      </c>
      <c r="E248" s="1">
        <v>-0.40200000000000002</v>
      </c>
      <c r="F248" s="1">
        <v>102.604</v>
      </c>
      <c r="G248" s="1">
        <v>324.2</v>
      </c>
      <c r="H248" s="1" t="s">
        <v>22</v>
      </c>
      <c r="I248" s="1" t="s">
        <v>91</v>
      </c>
      <c r="J248" s="1" t="s">
        <v>156</v>
      </c>
      <c r="K248" s="1">
        <v>22.8</v>
      </c>
    </row>
    <row r="249" spans="1:11" hidden="1" x14ac:dyDescent="0.3">
      <c r="A249" s="1">
        <v>844</v>
      </c>
      <c r="B249" s="1">
        <v>3</v>
      </c>
      <c r="C249" s="1" t="s">
        <v>81</v>
      </c>
      <c r="D249" s="1">
        <v>436871.78600000002</v>
      </c>
      <c r="E249" s="1">
        <v>54186.203000000001</v>
      </c>
      <c r="F249" s="1">
        <v>6.0000000000000001E-3</v>
      </c>
      <c r="G249" s="1">
        <v>326.89999999999998</v>
      </c>
      <c r="H249" s="1" t="s">
        <v>22</v>
      </c>
      <c r="I249" s="1" t="s">
        <v>91</v>
      </c>
      <c r="J249" s="1" t="s">
        <v>156</v>
      </c>
      <c r="K249" s="1">
        <v>1.5</v>
      </c>
    </row>
    <row r="250" spans="1:11" hidden="1" x14ac:dyDescent="0.3">
      <c r="A250" s="1">
        <v>844</v>
      </c>
      <c r="B250" s="1">
        <v>4</v>
      </c>
      <c r="C250" s="1" t="s">
        <v>81</v>
      </c>
      <c r="D250" s="1">
        <v>-0.52500000000000002</v>
      </c>
      <c r="E250" s="1">
        <v>-0.372</v>
      </c>
      <c r="F250" s="1">
        <v>102.842</v>
      </c>
      <c r="G250" s="1">
        <v>423.6</v>
      </c>
      <c r="H250" s="1" t="s">
        <v>22</v>
      </c>
      <c r="I250" s="1" t="s">
        <v>135</v>
      </c>
      <c r="J250" s="1" t="s">
        <v>63</v>
      </c>
      <c r="K250" s="1">
        <v>23.4</v>
      </c>
    </row>
    <row r="251" spans="1:11" hidden="1" x14ac:dyDescent="0.3">
      <c r="A251" s="1">
        <v>844</v>
      </c>
      <c r="B251" s="1">
        <v>5</v>
      </c>
      <c r="C251" s="1" t="s">
        <v>81</v>
      </c>
      <c r="D251" s="1">
        <v>-0.47899999999999998</v>
      </c>
      <c r="E251" s="1">
        <v>-0.373</v>
      </c>
      <c r="F251" s="1">
        <v>102.96299999999999</v>
      </c>
      <c r="G251" s="1">
        <v>523.1</v>
      </c>
      <c r="H251" s="1" t="s">
        <v>22</v>
      </c>
      <c r="I251" s="1" t="s">
        <v>30</v>
      </c>
      <c r="J251" s="1" t="s">
        <v>65</v>
      </c>
      <c r="K251" s="1">
        <v>23.4</v>
      </c>
    </row>
    <row r="252" spans="1:11" hidden="1" x14ac:dyDescent="0.3">
      <c r="A252" s="1">
        <v>844</v>
      </c>
      <c r="B252" s="1">
        <v>6</v>
      </c>
      <c r="C252" s="1" t="s">
        <v>81</v>
      </c>
      <c r="D252" s="1">
        <v>-0.48799999999999999</v>
      </c>
      <c r="E252" s="1">
        <v>-0.375</v>
      </c>
      <c r="F252" s="1">
        <v>102.328</v>
      </c>
      <c r="G252" s="1">
        <v>622.79999999999995</v>
      </c>
      <c r="H252" s="1" t="s">
        <v>22</v>
      </c>
      <c r="I252" s="1" t="s">
        <v>37</v>
      </c>
      <c r="J252" s="1" t="s">
        <v>66</v>
      </c>
      <c r="K252" s="1">
        <v>23.4</v>
      </c>
    </row>
    <row r="253" spans="1:11" x14ac:dyDescent="0.3">
      <c r="A253" s="1">
        <v>844</v>
      </c>
      <c r="B253" s="1">
        <v>7</v>
      </c>
      <c r="C253" s="1" t="s">
        <v>81</v>
      </c>
      <c r="D253" s="1">
        <v>1008.994</v>
      </c>
      <c r="E253" s="1">
        <v>545.80499999999995</v>
      </c>
      <c r="F253" s="1">
        <v>1.321</v>
      </c>
      <c r="G253" s="1">
        <v>1330.3</v>
      </c>
      <c r="H253" s="1" t="s">
        <v>43</v>
      </c>
      <c r="I253" s="1" t="s">
        <v>54</v>
      </c>
      <c r="J253" s="1" t="s">
        <v>55</v>
      </c>
      <c r="K253" s="1">
        <v>8.6</v>
      </c>
    </row>
    <row r="254" spans="1:11" hidden="1" x14ac:dyDescent="0.3">
      <c r="A254" s="1">
        <v>844</v>
      </c>
      <c r="B254" s="1">
        <v>8</v>
      </c>
      <c r="C254" s="1" t="s">
        <v>81</v>
      </c>
      <c r="D254" s="1">
        <v>77.902000000000001</v>
      </c>
      <c r="E254" s="1">
        <v>6.3159999999999998</v>
      </c>
      <c r="F254" s="1">
        <v>17.390999999999998</v>
      </c>
      <c r="G254" s="1">
        <v>1358.1</v>
      </c>
      <c r="H254" s="1" t="s">
        <v>22</v>
      </c>
      <c r="I254" s="1" t="s">
        <v>33</v>
      </c>
      <c r="J254" s="1" t="s">
        <v>51</v>
      </c>
      <c r="K254" s="1">
        <v>17.600000000000001</v>
      </c>
    </row>
    <row r="255" spans="1:11" hidden="1" x14ac:dyDescent="0.3">
      <c r="A255" s="1">
        <v>845</v>
      </c>
      <c r="B255" s="1">
        <v>1</v>
      </c>
      <c r="C255" s="1" t="s">
        <v>87</v>
      </c>
      <c r="D255" s="1">
        <v>0</v>
      </c>
      <c r="E255" s="1">
        <v>0</v>
      </c>
      <c r="F255" s="1">
        <v>102.61799999999999</v>
      </c>
      <c r="G255" s="1">
        <v>224.7</v>
      </c>
      <c r="H255" s="1" t="s">
        <v>22</v>
      </c>
      <c r="I255" s="1" t="s">
        <v>71</v>
      </c>
      <c r="J255" s="1" t="s">
        <v>157</v>
      </c>
      <c r="K255" s="1">
        <v>23.4</v>
      </c>
    </row>
    <row r="256" spans="1:11" hidden="1" x14ac:dyDescent="0.3">
      <c r="A256" s="1">
        <v>845</v>
      </c>
      <c r="B256" s="1">
        <v>2</v>
      </c>
      <c r="C256" s="1" t="s">
        <v>87</v>
      </c>
      <c r="D256" s="1">
        <v>-0.77400000000000002</v>
      </c>
      <c r="E256" s="1">
        <v>-0.55700000000000005</v>
      </c>
      <c r="F256" s="1">
        <v>102.666</v>
      </c>
      <c r="G256" s="1">
        <v>324.2</v>
      </c>
      <c r="H256" s="1" t="s">
        <v>36</v>
      </c>
      <c r="I256" s="1" t="s">
        <v>158</v>
      </c>
      <c r="J256" s="1" t="s">
        <v>157</v>
      </c>
      <c r="K256" s="1">
        <v>23.4</v>
      </c>
    </row>
    <row r="257" spans="1:11" hidden="1" x14ac:dyDescent="0.3">
      <c r="A257" s="1">
        <v>845</v>
      </c>
      <c r="B257" s="1">
        <v>3</v>
      </c>
      <c r="C257" s="1" t="s">
        <v>87</v>
      </c>
      <c r="D257" s="1">
        <v>-0.68799999999999994</v>
      </c>
      <c r="E257" s="1">
        <v>-0.50600000000000001</v>
      </c>
      <c r="F257" s="1">
        <v>102.89100000000001</v>
      </c>
      <c r="G257" s="1">
        <v>423.6</v>
      </c>
      <c r="H257" s="1" t="s">
        <v>22</v>
      </c>
      <c r="I257" s="1" t="s">
        <v>96</v>
      </c>
      <c r="J257" s="1" t="s">
        <v>132</v>
      </c>
      <c r="K257" s="1">
        <v>23.4</v>
      </c>
    </row>
    <row r="258" spans="1:11" hidden="1" x14ac:dyDescent="0.3">
      <c r="A258" s="1">
        <v>845</v>
      </c>
      <c r="B258" s="1">
        <v>4</v>
      </c>
      <c r="C258" s="1" t="s">
        <v>87</v>
      </c>
      <c r="D258" s="1">
        <v>-0.60499999999999998</v>
      </c>
      <c r="E258" s="1">
        <v>-0.46400000000000002</v>
      </c>
      <c r="F258" s="1">
        <v>103.277</v>
      </c>
      <c r="G258" s="1">
        <v>523.1</v>
      </c>
      <c r="H258" s="1" t="s">
        <v>22</v>
      </c>
      <c r="I258" s="1" t="s">
        <v>26</v>
      </c>
      <c r="J258" s="1" t="s">
        <v>80</v>
      </c>
      <c r="K258" s="1">
        <v>23.4</v>
      </c>
    </row>
    <row r="259" spans="1:11" hidden="1" x14ac:dyDescent="0.3">
      <c r="A259" s="1">
        <v>845</v>
      </c>
      <c r="B259" s="1">
        <v>5</v>
      </c>
      <c r="C259" s="1" t="s">
        <v>87</v>
      </c>
      <c r="D259" s="1">
        <v>-0.59599999999999997</v>
      </c>
      <c r="E259" s="1">
        <v>-0.47099999999999997</v>
      </c>
      <c r="F259" s="1">
        <v>102.414</v>
      </c>
      <c r="G259" s="1">
        <v>622.79999999999995</v>
      </c>
      <c r="H259" s="1" t="s">
        <v>22</v>
      </c>
      <c r="I259" s="1" t="s">
        <v>51</v>
      </c>
      <c r="J259" s="1" t="s">
        <v>78</v>
      </c>
      <c r="K259" s="1">
        <v>23.4</v>
      </c>
    </row>
    <row r="260" spans="1:11" hidden="1" x14ac:dyDescent="0.3">
      <c r="A260" s="1">
        <v>845</v>
      </c>
      <c r="B260" s="1">
        <v>6</v>
      </c>
      <c r="C260" s="1" t="s">
        <v>87</v>
      </c>
      <c r="D260" s="1">
        <v>1006.585</v>
      </c>
      <c r="E260" s="1">
        <v>544.25699999999995</v>
      </c>
      <c r="F260" s="1">
        <v>1.161</v>
      </c>
      <c r="G260" s="1">
        <v>1329.7</v>
      </c>
      <c r="H260" s="1" t="s">
        <v>43</v>
      </c>
      <c r="I260" s="1" t="s">
        <v>56</v>
      </c>
      <c r="J260" s="1" t="s">
        <v>57</v>
      </c>
      <c r="K260" s="1">
        <v>8.1999999999999993</v>
      </c>
    </row>
    <row r="261" spans="1:11" x14ac:dyDescent="0.3">
      <c r="A261" s="1">
        <v>845</v>
      </c>
      <c r="B261" s="1">
        <v>7</v>
      </c>
      <c r="C261" s="1" t="s">
        <v>87</v>
      </c>
      <c r="D261" s="1">
        <v>79.33</v>
      </c>
      <c r="E261" s="1">
        <v>6.2320000000000002</v>
      </c>
      <c r="F261" s="1">
        <v>16.036000000000001</v>
      </c>
      <c r="G261" s="1">
        <v>1357.5</v>
      </c>
      <c r="H261" s="1" t="s">
        <v>22</v>
      </c>
      <c r="I261" s="1" t="s">
        <v>33</v>
      </c>
      <c r="J261" s="1" t="s">
        <v>57</v>
      </c>
      <c r="K261" s="1">
        <v>16.899999999999999</v>
      </c>
    </row>
    <row r="262" spans="1:11" hidden="1" x14ac:dyDescent="0.3">
      <c r="A262" s="1">
        <v>846</v>
      </c>
      <c r="B262" s="1">
        <v>1</v>
      </c>
      <c r="C262" s="1" t="s">
        <v>93</v>
      </c>
      <c r="D262" s="1">
        <v>0</v>
      </c>
      <c r="E262" s="1">
        <v>0</v>
      </c>
      <c r="F262" s="1">
        <v>102.595</v>
      </c>
      <c r="G262" s="1">
        <v>224.7</v>
      </c>
      <c r="H262" s="1" t="s">
        <v>22</v>
      </c>
      <c r="I262" s="1" t="s">
        <v>136</v>
      </c>
      <c r="J262" s="1" t="s">
        <v>159</v>
      </c>
      <c r="K262" s="1">
        <v>23.4</v>
      </c>
    </row>
    <row r="263" spans="1:11" hidden="1" x14ac:dyDescent="0.3">
      <c r="A263" s="1">
        <v>846</v>
      </c>
      <c r="B263" s="1">
        <v>2</v>
      </c>
      <c r="C263" s="1" t="s">
        <v>93</v>
      </c>
      <c r="D263" s="1">
        <v>-0.60799999999999998</v>
      </c>
      <c r="E263" s="1">
        <v>-0.41899999999999998</v>
      </c>
      <c r="F263" s="1">
        <v>102.968</v>
      </c>
      <c r="G263" s="1">
        <v>324.2</v>
      </c>
      <c r="H263" s="1" t="s">
        <v>36</v>
      </c>
      <c r="I263" s="1" t="s">
        <v>46</v>
      </c>
      <c r="J263" s="1" t="s">
        <v>109</v>
      </c>
      <c r="K263" s="1">
        <v>23.4</v>
      </c>
    </row>
    <row r="264" spans="1:11" hidden="1" x14ac:dyDescent="0.3">
      <c r="A264" s="1">
        <v>846</v>
      </c>
      <c r="B264" s="1">
        <v>3</v>
      </c>
      <c r="C264" s="1" t="s">
        <v>93</v>
      </c>
      <c r="D264" s="1">
        <v>-0.496</v>
      </c>
      <c r="E264" s="1">
        <v>-0.40400000000000003</v>
      </c>
      <c r="F264" s="1">
        <v>102.77200000000001</v>
      </c>
      <c r="G264" s="1">
        <v>423.6</v>
      </c>
      <c r="H264" s="1" t="s">
        <v>22</v>
      </c>
      <c r="I264" s="1" t="s">
        <v>114</v>
      </c>
      <c r="J264" s="1" t="s">
        <v>158</v>
      </c>
      <c r="K264" s="1">
        <v>23.4</v>
      </c>
    </row>
    <row r="265" spans="1:11" hidden="1" x14ac:dyDescent="0.3">
      <c r="A265" s="1">
        <v>846</v>
      </c>
      <c r="B265" s="1">
        <v>4</v>
      </c>
      <c r="C265" s="1" t="s">
        <v>93</v>
      </c>
      <c r="D265" s="1">
        <v>-0.46</v>
      </c>
      <c r="E265" s="1">
        <v>-0.39900000000000002</v>
      </c>
      <c r="F265" s="1">
        <v>102.842</v>
      </c>
      <c r="G265" s="1">
        <v>523.1</v>
      </c>
      <c r="H265" s="1" t="s">
        <v>22</v>
      </c>
      <c r="I265" s="1" t="s">
        <v>108</v>
      </c>
      <c r="J265" s="1" t="s">
        <v>73</v>
      </c>
      <c r="K265" s="1">
        <v>23.4</v>
      </c>
    </row>
    <row r="266" spans="1:11" hidden="1" x14ac:dyDescent="0.3">
      <c r="A266" s="1">
        <v>846</v>
      </c>
      <c r="B266" s="1">
        <v>5</v>
      </c>
      <c r="C266" s="1" t="s">
        <v>93</v>
      </c>
      <c r="D266" s="1">
        <v>-0.442</v>
      </c>
      <c r="E266" s="1">
        <v>-0.39100000000000001</v>
      </c>
      <c r="F266" s="1">
        <v>102.605</v>
      </c>
      <c r="G266" s="1">
        <v>622.79999999999995</v>
      </c>
      <c r="H266" s="1" t="s">
        <v>22</v>
      </c>
      <c r="I266" s="1" t="s">
        <v>103</v>
      </c>
      <c r="J266" s="1" t="s">
        <v>74</v>
      </c>
      <c r="K266" s="1">
        <v>23.4</v>
      </c>
    </row>
    <row r="267" spans="1:11" hidden="1" x14ac:dyDescent="0.3">
      <c r="A267" s="1">
        <v>846</v>
      </c>
      <c r="B267" s="1">
        <v>6</v>
      </c>
      <c r="C267" s="1" t="s">
        <v>93</v>
      </c>
      <c r="D267" s="1">
        <v>1008.982</v>
      </c>
      <c r="E267" s="1">
        <v>546.15499999999997</v>
      </c>
      <c r="F267" s="1">
        <v>1.3280000000000001</v>
      </c>
      <c r="G267" s="1">
        <v>1330.7</v>
      </c>
      <c r="H267" s="1" t="s">
        <v>43</v>
      </c>
      <c r="I267" s="1" t="s">
        <v>56</v>
      </c>
      <c r="J267" s="1" t="s">
        <v>55</v>
      </c>
      <c r="K267" s="1">
        <v>8.6</v>
      </c>
    </row>
    <row r="268" spans="1:11" x14ac:dyDescent="0.3">
      <c r="A268" s="1">
        <v>846</v>
      </c>
      <c r="B268" s="1">
        <v>7</v>
      </c>
      <c r="C268" s="1" t="s">
        <v>93</v>
      </c>
      <c r="D268" s="1">
        <v>86.043000000000006</v>
      </c>
      <c r="E268" s="1">
        <v>4.6139999999999999</v>
      </c>
      <c r="F268" s="1">
        <v>18.103999999999999</v>
      </c>
      <c r="G268" s="1">
        <v>1358.5</v>
      </c>
      <c r="H268" s="1" t="s">
        <v>22</v>
      </c>
      <c r="I268" s="1" t="s">
        <v>33</v>
      </c>
      <c r="J268" s="1" t="s">
        <v>57</v>
      </c>
      <c r="K268" s="1">
        <v>17.3</v>
      </c>
    </row>
    <row r="269" spans="1:11" hidden="1" x14ac:dyDescent="0.3">
      <c r="A269" s="1">
        <v>847</v>
      </c>
      <c r="B269" s="1">
        <v>1</v>
      </c>
      <c r="C269" s="1" t="s">
        <v>98</v>
      </c>
      <c r="D269" s="1">
        <v>0</v>
      </c>
      <c r="E269" s="1">
        <v>0</v>
      </c>
      <c r="F269" s="1">
        <v>102.648</v>
      </c>
      <c r="G269" s="1">
        <v>224.7</v>
      </c>
      <c r="H269" s="1" t="s">
        <v>22</v>
      </c>
      <c r="I269" s="1" t="s">
        <v>126</v>
      </c>
      <c r="J269" s="1" t="s">
        <v>110</v>
      </c>
      <c r="K269" s="1">
        <v>23.4</v>
      </c>
    </row>
    <row r="270" spans="1:11" hidden="1" x14ac:dyDescent="0.3">
      <c r="A270" s="1">
        <v>847</v>
      </c>
      <c r="B270" s="1">
        <v>2</v>
      </c>
      <c r="C270" s="1" t="s">
        <v>98</v>
      </c>
      <c r="D270" s="1">
        <v>-0.53300000000000003</v>
      </c>
      <c r="E270" s="1">
        <v>-0.41199999999999998</v>
      </c>
      <c r="F270" s="1">
        <v>102.857</v>
      </c>
      <c r="G270" s="1">
        <v>324.2</v>
      </c>
      <c r="H270" s="1" t="s">
        <v>36</v>
      </c>
      <c r="I270" s="1" t="s">
        <v>114</v>
      </c>
      <c r="J270" s="1" t="s">
        <v>117</v>
      </c>
      <c r="K270" s="1">
        <v>23.4</v>
      </c>
    </row>
    <row r="271" spans="1:11" hidden="1" x14ac:dyDescent="0.3">
      <c r="A271" s="1">
        <v>847</v>
      </c>
      <c r="B271" s="1">
        <v>3</v>
      </c>
      <c r="C271" s="1" t="s">
        <v>98</v>
      </c>
      <c r="D271" s="1">
        <v>-0.499</v>
      </c>
      <c r="E271" s="1">
        <v>-0.39400000000000002</v>
      </c>
      <c r="F271" s="1">
        <v>102.93899999999999</v>
      </c>
      <c r="G271" s="1">
        <v>423.6</v>
      </c>
      <c r="H271" s="1" t="s">
        <v>22</v>
      </c>
      <c r="I271" s="1" t="s">
        <v>30</v>
      </c>
      <c r="J271" s="1" t="s">
        <v>105</v>
      </c>
      <c r="K271" s="1">
        <v>23.4</v>
      </c>
    </row>
    <row r="272" spans="1:11" hidden="1" x14ac:dyDescent="0.3">
      <c r="A272" s="1">
        <v>847</v>
      </c>
      <c r="B272" s="1">
        <v>4</v>
      </c>
      <c r="C272" s="1" t="s">
        <v>98</v>
      </c>
      <c r="D272" s="1">
        <v>-0.44900000000000001</v>
      </c>
      <c r="E272" s="1">
        <v>-0.40300000000000002</v>
      </c>
      <c r="F272" s="1">
        <v>102.92400000000001</v>
      </c>
      <c r="G272" s="1">
        <v>523.1</v>
      </c>
      <c r="H272" s="1" t="s">
        <v>22</v>
      </c>
      <c r="I272" s="1" t="s">
        <v>41</v>
      </c>
      <c r="J272" s="1" t="s">
        <v>53</v>
      </c>
      <c r="K272" s="1">
        <v>23.4</v>
      </c>
    </row>
    <row r="273" spans="1:11" hidden="1" x14ac:dyDescent="0.3">
      <c r="A273" s="1">
        <v>847</v>
      </c>
      <c r="B273" s="1">
        <v>5</v>
      </c>
      <c r="C273" s="1" t="s">
        <v>98</v>
      </c>
      <c r="D273" s="1">
        <v>-0.441</v>
      </c>
      <c r="E273" s="1">
        <v>-0.40400000000000003</v>
      </c>
      <c r="F273" s="1">
        <v>103.05500000000001</v>
      </c>
      <c r="G273" s="1">
        <v>622.79999999999995</v>
      </c>
      <c r="H273" s="1" t="s">
        <v>22</v>
      </c>
      <c r="I273" s="1" t="s">
        <v>14</v>
      </c>
      <c r="J273" s="1" t="s">
        <v>143</v>
      </c>
      <c r="K273" s="1">
        <v>23.2</v>
      </c>
    </row>
    <row r="274" spans="1:11" hidden="1" x14ac:dyDescent="0.3">
      <c r="A274" s="1">
        <v>847</v>
      </c>
      <c r="B274" s="1">
        <v>6</v>
      </c>
      <c r="C274" s="1" t="s">
        <v>98</v>
      </c>
      <c r="D274" s="1">
        <v>1008.797</v>
      </c>
      <c r="E274" s="1">
        <v>545.68399999999997</v>
      </c>
      <c r="F274" s="1">
        <v>1.117</v>
      </c>
      <c r="G274" s="1">
        <v>1330.9</v>
      </c>
      <c r="H274" s="1" t="s">
        <v>43</v>
      </c>
      <c r="I274" s="1" t="s">
        <v>35</v>
      </c>
      <c r="J274" s="1" t="s">
        <v>41</v>
      </c>
      <c r="K274" s="1">
        <v>7.9</v>
      </c>
    </row>
    <row r="275" spans="1:11" x14ac:dyDescent="0.3">
      <c r="A275" s="1">
        <v>847</v>
      </c>
      <c r="B275" s="1">
        <v>7</v>
      </c>
      <c r="C275" s="1" t="s">
        <v>98</v>
      </c>
      <c r="D275" s="1">
        <v>40.234000000000002</v>
      </c>
      <c r="E275" s="1">
        <v>2.5670000000000002</v>
      </c>
      <c r="F275" s="1">
        <v>18.683</v>
      </c>
      <c r="G275" s="1">
        <v>1358.7</v>
      </c>
      <c r="H275" s="1" t="s">
        <v>12</v>
      </c>
      <c r="I275" s="1" t="s">
        <v>54</v>
      </c>
      <c r="J275" s="1" t="s">
        <v>103</v>
      </c>
      <c r="K275" s="1">
        <v>17.600000000000001</v>
      </c>
    </row>
  </sheetData>
  <autoFilter ref="A1:K275" xr:uid="{BC266DB5-92C3-4C83-8645-0E546DD67CB7}">
    <filterColumn colId="1">
      <filters>
        <filter val="7"/>
      </filters>
    </filterColumn>
  </autoFilter>
  <phoneticPr fontId="1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E857-BB6E-413F-88C3-295665064A08}">
  <sheetPr>
    <pageSetUpPr fitToPage="1"/>
  </sheetPr>
  <dimension ref="A1:AH140"/>
  <sheetViews>
    <sheetView tabSelected="1" topLeftCell="A73" zoomScale="76" zoomScaleNormal="120" workbookViewId="0">
      <selection activeCell="H88" sqref="H88"/>
    </sheetView>
  </sheetViews>
  <sheetFormatPr defaultColWidth="8.7265625" defaultRowHeight="14" x14ac:dyDescent="0.3"/>
  <cols>
    <col min="1" max="1" width="9.81640625" style="5" bestFit="1" customWidth="1"/>
    <col min="2" max="2" width="49.6328125" style="5" customWidth="1"/>
    <col min="3" max="3" width="9" style="5" customWidth="1"/>
    <col min="4" max="6" width="8.7265625" style="5"/>
    <col min="7" max="7" width="9" style="5" bestFit="1" customWidth="1"/>
    <col min="8" max="8" width="8.7265625" style="4"/>
    <col min="9" max="9" width="11.453125" style="4" bestFit="1" customWidth="1"/>
    <col min="10" max="10" width="12.26953125" style="4" bestFit="1" customWidth="1"/>
    <col min="11" max="11" width="11.7265625" style="4" bestFit="1" customWidth="1"/>
    <col min="12" max="12" width="11.453125" style="4" bestFit="1" customWidth="1"/>
    <col min="13" max="13" width="11.26953125" style="5" customWidth="1"/>
    <col min="14" max="14" width="11.26953125" style="5" bestFit="1" customWidth="1"/>
    <col min="15" max="15" width="11.7265625" style="5" bestFit="1" customWidth="1"/>
    <col min="16" max="17" width="8.7265625" style="5"/>
    <col min="18" max="18" width="8" style="5" customWidth="1"/>
    <col min="19" max="27" width="8.7265625" style="5"/>
    <col min="28" max="28" width="10.1796875" style="5" customWidth="1"/>
    <col min="29" max="31" width="8.7265625" style="5"/>
    <col min="32" max="32" width="11.90625" style="5" bestFit="1" customWidth="1"/>
    <col min="33" max="16384" width="8.7265625" style="5"/>
  </cols>
  <sheetData>
    <row r="1" spans="1:34" x14ac:dyDescent="0.3">
      <c r="A1" s="2" t="s">
        <v>160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10</v>
      </c>
      <c r="J1" s="4" t="s">
        <v>161</v>
      </c>
      <c r="K1" s="4" t="s">
        <v>162</v>
      </c>
      <c r="L1" s="4" t="s">
        <v>163</v>
      </c>
      <c r="M1" s="5" t="s">
        <v>164</v>
      </c>
      <c r="N1" s="5" t="s">
        <v>165</v>
      </c>
      <c r="O1" s="5" t="s">
        <v>166</v>
      </c>
      <c r="P1" s="6" t="s">
        <v>167</v>
      </c>
      <c r="Y1" s="6" t="s">
        <v>168</v>
      </c>
    </row>
    <row r="2" spans="1:34" x14ac:dyDescent="0.3">
      <c r="A2" s="2">
        <v>1</v>
      </c>
      <c r="B2" s="7" t="s">
        <v>11</v>
      </c>
      <c r="C2" s="7">
        <v>29.369</v>
      </c>
      <c r="D2" s="7">
        <v>8.1170000000000009</v>
      </c>
      <c r="E2" s="7">
        <v>0.129</v>
      </c>
      <c r="F2" s="7">
        <v>1356.6</v>
      </c>
      <c r="G2" s="7" t="s">
        <v>169</v>
      </c>
      <c r="H2" s="7">
        <v>6.9</v>
      </c>
      <c r="J2" s="8">
        <f t="shared" ref="J2:J38" si="0">$R$21*C2+$R$22</f>
        <v>12.411665403314323</v>
      </c>
      <c r="K2" s="8">
        <f t="shared" ref="K2:K38" si="1">$S$21*D2+$S$22</f>
        <v>3.8355075957602978</v>
      </c>
      <c r="L2" s="8">
        <f t="shared" ref="L2:L38" si="2">C2-$AG$28*A2</f>
        <v>29.39759722222222</v>
      </c>
      <c r="M2" s="9">
        <f t="shared" ref="M2:M38" si="3">D2-$AG$34*A2</f>
        <v>8.201666666666668</v>
      </c>
      <c r="N2" s="9">
        <f t="shared" ref="N2:N38" si="4">$AA$21*L2+$AA$22</f>
        <v>12.012911977874889</v>
      </c>
      <c r="O2" s="9">
        <f t="shared" ref="O2:O38" si="5">$AB$21*M2+$AB$22</f>
        <v>3.1176728236147309</v>
      </c>
      <c r="P2" s="5" t="s">
        <v>170</v>
      </c>
      <c r="Q2" s="5" t="s">
        <v>171</v>
      </c>
      <c r="R2" s="2" t="s">
        <v>3</v>
      </c>
      <c r="S2" s="2" t="s">
        <v>4</v>
      </c>
      <c r="T2" s="2" t="s">
        <v>5</v>
      </c>
      <c r="W2" s="2" t="s">
        <v>3</v>
      </c>
      <c r="X2" s="2" t="s">
        <v>4</v>
      </c>
      <c r="Y2" s="5" t="s">
        <v>170</v>
      </c>
      <c r="Z2" s="5" t="s">
        <v>171</v>
      </c>
      <c r="AA2" s="2" t="s">
        <v>3</v>
      </c>
      <c r="AB2" s="2" t="s">
        <v>4</v>
      </c>
      <c r="AC2" s="2" t="s">
        <v>5</v>
      </c>
      <c r="AF2" s="2" t="s">
        <v>3</v>
      </c>
      <c r="AG2" s="2" t="s">
        <v>4</v>
      </c>
    </row>
    <row r="3" spans="1:34" x14ac:dyDescent="0.3">
      <c r="A3" s="10">
        <v>2</v>
      </c>
      <c r="B3" s="11" t="s">
        <v>25</v>
      </c>
      <c r="C3" s="11">
        <v>41.597000000000001</v>
      </c>
      <c r="D3" s="11">
        <v>182.15899999999999</v>
      </c>
      <c r="E3" s="11">
        <v>18.873999999999999</v>
      </c>
      <c r="F3" s="11">
        <v>1360.8</v>
      </c>
      <c r="G3" s="11" t="s">
        <v>36</v>
      </c>
      <c r="H3" s="11">
        <v>18.2</v>
      </c>
      <c r="I3" s="12"/>
      <c r="J3" s="13">
        <f t="shared" si="0"/>
        <v>25.362060678257883</v>
      </c>
      <c r="K3" s="13">
        <f t="shared" si="1"/>
        <v>180.98037619012689</v>
      </c>
      <c r="L3" s="13">
        <f t="shared" si="2"/>
        <v>41.654194444444443</v>
      </c>
      <c r="M3" s="14">
        <f t="shared" si="3"/>
        <v>182.32833333333332</v>
      </c>
      <c r="N3" s="14">
        <f t="shared" si="4"/>
        <v>24.961595829808331</v>
      </c>
      <c r="O3" s="14">
        <f t="shared" si="5"/>
        <v>179.4350765905638</v>
      </c>
      <c r="P3" s="2">
        <f>A3</f>
        <v>2</v>
      </c>
      <c r="Q3" s="2" t="s">
        <v>172</v>
      </c>
      <c r="R3" s="2"/>
      <c r="S3" s="2"/>
      <c r="T3" s="2"/>
      <c r="U3" s="2">
        <v>25.6</v>
      </c>
      <c r="V3" s="2">
        <v>180</v>
      </c>
      <c r="W3" s="15">
        <f>AVERAGE(R3:R8)</f>
        <v>41.682000000000002</v>
      </c>
      <c r="X3" s="16">
        <f>AVERAGE(S3:S8)</f>
        <v>181.1925</v>
      </c>
      <c r="Y3" s="2">
        <f>A3</f>
        <v>2</v>
      </c>
      <c r="Z3" s="2" t="s">
        <v>172</v>
      </c>
      <c r="AA3" s="17"/>
      <c r="AB3" s="17"/>
      <c r="AC3" s="17"/>
      <c r="AD3" s="2">
        <v>25.6</v>
      </c>
      <c r="AE3" s="2">
        <v>180</v>
      </c>
      <c r="AF3" s="15">
        <f>AVERAGE(AA3:AA8)</f>
        <v>42.253944444444443</v>
      </c>
      <c r="AG3" s="16">
        <f>AVERAGE(AB3:AB8)</f>
        <v>182.88583333333332</v>
      </c>
      <c r="AH3" s="6"/>
    </row>
    <row r="4" spans="1:34" x14ac:dyDescent="0.3">
      <c r="A4" s="10">
        <v>3</v>
      </c>
      <c r="B4" s="11" t="s">
        <v>38</v>
      </c>
      <c r="C4" s="11">
        <v>-8.4740000000000002</v>
      </c>
      <c r="D4" s="11">
        <v>2.9009999999999998</v>
      </c>
      <c r="E4" s="11">
        <v>17.309999999999999</v>
      </c>
      <c r="F4" s="11">
        <v>1360.4</v>
      </c>
      <c r="G4" s="11" t="s">
        <v>22</v>
      </c>
      <c r="H4" s="11">
        <v>17.3</v>
      </c>
      <c r="I4" s="12"/>
      <c r="J4" s="13">
        <f t="shared" si="0"/>
        <v>-27.666990827442071</v>
      </c>
      <c r="K4" s="13">
        <f t="shared" si="1"/>
        <v>-1.4734846853455066</v>
      </c>
      <c r="L4" s="13">
        <f t="shared" si="2"/>
        <v>-8.388208333333333</v>
      </c>
      <c r="M4" s="14">
        <f t="shared" si="3"/>
        <v>3.1549999999999985</v>
      </c>
      <c r="N4" s="14">
        <f t="shared" si="4"/>
        <v>-27.90652417218643</v>
      </c>
      <c r="O4" s="14">
        <f t="shared" si="5"/>
        <v>-1.9924873912319527</v>
      </c>
      <c r="P4" s="2">
        <f>A15</f>
        <v>14</v>
      </c>
      <c r="Q4" s="2" t="s">
        <v>172</v>
      </c>
      <c r="R4" s="2">
        <f>C15</f>
        <v>41.738999999999997</v>
      </c>
      <c r="S4" s="2">
        <f>D15</f>
        <v>181.89099999999999</v>
      </c>
      <c r="T4" s="2">
        <f>E15</f>
        <v>19.702000000000002</v>
      </c>
      <c r="U4" s="2">
        <v>25.6</v>
      </c>
      <c r="V4" s="5">
        <v>180</v>
      </c>
      <c r="W4" s="16">
        <f>STDEV(R3:R8)</f>
        <v>8.0610173055264453E-2</v>
      </c>
      <c r="X4" s="16">
        <f>STDEV(S3:S8)</f>
        <v>0.98782817331760076</v>
      </c>
      <c r="Y4" s="2">
        <f>A15</f>
        <v>14</v>
      </c>
      <c r="Z4" s="2" t="s">
        <v>172</v>
      </c>
      <c r="AA4" s="17">
        <f>L15</f>
        <v>42.139361111111107</v>
      </c>
      <c r="AB4" s="17">
        <f>M15</f>
        <v>183.07633333333331</v>
      </c>
      <c r="AC4" s="17"/>
      <c r="AD4" s="2">
        <v>25.6</v>
      </c>
      <c r="AE4" s="5">
        <v>180</v>
      </c>
      <c r="AF4" s="16">
        <f>STDEV(AA3:AA8)</f>
        <v>0.16204530402192049</v>
      </c>
      <c r="AG4" s="16">
        <f>STDEV(AB3:AB8)</f>
        <v>0.2694076836320547</v>
      </c>
      <c r="AH4" s="6"/>
    </row>
    <row r="5" spans="1:34" x14ac:dyDescent="0.3">
      <c r="A5" s="10">
        <v>4</v>
      </c>
      <c r="B5" s="11" t="s">
        <v>42</v>
      </c>
      <c r="C5" s="11">
        <v>72.403000000000006</v>
      </c>
      <c r="D5" s="11">
        <v>7.4139999999999997</v>
      </c>
      <c r="E5" s="11">
        <v>19.010999999999999</v>
      </c>
      <c r="F5" s="11">
        <v>1360</v>
      </c>
      <c r="G5" s="11" t="s">
        <v>12</v>
      </c>
      <c r="H5" s="11">
        <v>17.8</v>
      </c>
      <c r="I5" s="12"/>
      <c r="J5" s="13">
        <f t="shared" si="0"/>
        <v>57.987991070792354</v>
      </c>
      <c r="K5" s="13">
        <f t="shared" si="1"/>
        <v>3.1199743186097253</v>
      </c>
      <c r="L5" s="13">
        <f t="shared" si="2"/>
        <v>72.517388888888888</v>
      </c>
      <c r="M5" s="14">
        <f t="shared" si="3"/>
        <v>7.7526666666666646</v>
      </c>
      <c r="N5" s="14">
        <f t="shared" si="4"/>
        <v>57.567525540648738</v>
      </c>
      <c r="O5" s="14">
        <f t="shared" si="5"/>
        <v>2.6630238269569677</v>
      </c>
      <c r="P5" s="2">
        <f>A27</f>
        <v>26</v>
      </c>
      <c r="Q5" s="2" t="s">
        <v>172</v>
      </c>
      <c r="R5" s="2">
        <f>C27</f>
        <v>41.625</v>
      </c>
      <c r="S5" s="2">
        <f>D27</f>
        <v>180.494</v>
      </c>
      <c r="T5" s="2">
        <f>E27</f>
        <v>18.135000000000002</v>
      </c>
      <c r="U5" s="2">
        <v>25.6</v>
      </c>
      <c r="V5" s="5">
        <v>180</v>
      </c>
      <c r="W5" s="18"/>
      <c r="X5" s="18"/>
      <c r="Y5" s="2">
        <f>A27</f>
        <v>26</v>
      </c>
      <c r="Z5" s="2" t="s">
        <v>172</v>
      </c>
      <c r="AA5" s="17">
        <f>L27</f>
        <v>42.368527777777778</v>
      </c>
      <c r="AB5" s="17">
        <f>M27</f>
        <v>182.69533333333334</v>
      </c>
      <c r="AC5" s="17"/>
      <c r="AD5" s="2">
        <v>25.6</v>
      </c>
      <c r="AE5" s="5">
        <v>180</v>
      </c>
      <c r="AF5" s="18"/>
      <c r="AG5" s="18"/>
    </row>
    <row r="6" spans="1:34" x14ac:dyDescent="0.3">
      <c r="A6" s="2">
        <v>5</v>
      </c>
      <c r="B6" s="7" t="s">
        <v>44</v>
      </c>
      <c r="C6" s="7">
        <v>79.296000000000006</v>
      </c>
      <c r="D6" s="7">
        <v>4.556</v>
      </c>
      <c r="E6" s="7">
        <v>18.382999999999999</v>
      </c>
      <c r="F6" s="7">
        <v>1362.5</v>
      </c>
      <c r="G6" s="7" t="s">
        <v>12</v>
      </c>
      <c r="H6" s="7">
        <v>18.399999999999999</v>
      </c>
      <c r="J6" s="8">
        <f t="shared" si="0"/>
        <v>65.288209800771568</v>
      </c>
      <c r="K6" s="8">
        <f t="shared" si="1"/>
        <v>0.2110211093688541</v>
      </c>
      <c r="L6" s="8">
        <f t="shared" si="2"/>
        <v>79.43898611111112</v>
      </c>
      <c r="M6" s="9">
        <f t="shared" si="3"/>
        <v>4.9793333333333312</v>
      </c>
      <c r="N6" s="9">
        <f t="shared" si="4"/>
        <v>64.879960840266619</v>
      </c>
      <c r="O6" s="9">
        <f t="shared" si="5"/>
        <v>-0.14520160154530348</v>
      </c>
      <c r="P6" s="2"/>
      <c r="Q6" s="2"/>
      <c r="R6" s="2"/>
      <c r="S6" s="2"/>
      <c r="T6" s="2"/>
      <c r="U6" s="2"/>
      <c r="W6" s="16"/>
      <c r="X6" s="16"/>
      <c r="Y6" s="2"/>
      <c r="Z6" s="2"/>
      <c r="AA6" s="2"/>
      <c r="AB6" s="2"/>
      <c r="AC6" s="2"/>
      <c r="AD6" s="2"/>
      <c r="AF6" s="16"/>
      <c r="AG6" s="16"/>
      <c r="AH6" s="6"/>
    </row>
    <row r="7" spans="1:34" x14ac:dyDescent="0.3">
      <c r="A7" s="2">
        <v>6</v>
      </c>
      <c r="B7" s="7" t="s">
        <v>45</v>
      </c>
      <c r="C7" s="7">
        <v>77.731999999999999</v>
      </c>
      <c r="D7" s="7">
        <v>6.5960000000000001</v>
      </c>
      <c r="E7" s="7">
        <v>17.280999999999999</v>
      </c>
      <c r="F7" s="7">
        <v>1360.4</v>
      </c>
      <c r="G7" s="7" t="s">
        <v>22</v>
      </c>
      <c r="H7" s="7">
        <v>17.600000000000001</v>
      </c>
      <c r="J7" s="8">
        <f t="shared" si="0"/>
        <v>63.631813152913232</v>
      </c>
      <c r="K7" s="8">
        <f t="shared" si="1"/>
        <v>2.2873907898626884</v>
      </c>
      <c r="L7" s="8">
        <f t="shared" si="2"/>
        <v>77.90358333333333</v>
      </c>
      <c r="M7" s="9">
        <f t="shared" si="3"/>
        <v>7.1039999999999974</v>
      </c>
      <c r="N7" s="9">
        <f t="shared" si="4"/>
        <v>63.25785930634509</v>
      </c>
      <c r="O7" s="9">
        <f t="shared" si="5"/>
        <v>2.0061961005308353</v>
      </c>
      <c r="P7" s="2"/>
      <c r="Q7" s="2"/>
      <c r="R7" s="2"/>
      <c r="S7" s="2"/>
      <c r="T7" s="2"/>
      <c r="U7" s="2"/>
      <c r="W7" s="16"/>
      <c r="X7" s="16"/>
      <c r="Y7" s="2"/>
      <c r="Z7" s="2"/>
      <c r="AA7" s="2"/>
      <c r="AB7" s="17"/>
      <c r="AC7" s="2"/>
      <c r="AD7" s="2"/>
      <c r="AF7" s="16"/>
      <c r="AG7" s="16"/>
      <c r="AH7" s="6"/>
    </row>
    <row r="8" spans="1:34" x14ac:dyDescent="0.3">
      <c r="A8" s="2">
        <v>7</v>
      </c>
      <c r="B8" s="7" t="s">
        <v>58</v>
      </c>
      <c r="C8" s="7">
        <v>78.748000000000005</v>
      </c>
      <c r="D8" s="7">
        <v>6.2910000000000004</v>
      </c>
      <c r="E8" s="7">
        <v>17.806000000000001</v>
      </c>
      <c r="F8" s="7">
        <v>1359.8</v>
      </c>
      <c r="G8" s="7" t="s">
        <v>22</v>
      </c>
      <c r="H8" s="7">
        <v>17.100000000000001</v>
      </c>
      <c r="J8" s="8">
        <f t="shared" si="0"/>
        <v>64.707835527736819</v>
      </c>
      <c r="K8" s="8">
        <f t="shared" si="1"/>
        <v>1.9769531660633648</v>
      </c>
      <c r="L8" s="8">
        <f t="shared" si="2"/>
        <v>78.948180555555567</v>
      </c>
      <c r="M8" s="9">
        <f t="shared" si="3"/>
        <v>6.8836666666666648</v>
      </c>
      <c r="N8" s="9">
        <f t="shared" si="4"/>
        <v>64.361441233524658</v>
      </c>
      <c r="O8" s="9">
        <f t="shared" si="5"/>
        <v>1.7830906908866044</v>
      </c>
      <c r="P8" s="2"/>
      <c r="Q8" s="2"/>
      <c r="R8" s="2"/>
      <c r="S8" s="2"/>
      <c r="T8" s="2"/>
      <c r="U8" s="2"/>
      <c r="W8" s="18"/>
      <c r="X8" s="18"/>
      <c r="Y8" s="2"/>
      <c r="Z8" s="2"/>
      <c r="AA8" s="2"/>
      <c r="AB8" s="2"/>
      <c r="AC8" s="2"/>
      <c r="AD8" s="2"/>
      <c r="AF8" s="18"/>
      <c r="AG8" s="18"/>
    </row>
    <row r="9" spans="1:34" x14ac:dyDescent="0.3">
      <c r="A9" s="2">
        <v>8</v>
      </c>
      <c r="B9" s="7" t="s">
        <v>67</v>
      </c>
      <c r="C9" s="7">
        <v>84.959000000000003</v>
      </c>
      <c r="D9" s="7">
        <v>4.8730000000000002</v>
      </c>
      <c r="E9" s="7">
        <v>17.167000000000002</v>
      </c>
      <c r="F9" s="7">
        <v>1361</v>
      </c>
      <c r="G9" s="7" t="s">
        <v>22</v>
      </c>
      <c r="H9" s="7">
        <v>17.3</v>
      </c>
      <c r="J9" s="8">
        <f t="shared" si="0"/>
        <v>71.285763647844306</v>
      </c>
      <c r="K9" s="8">
        <f t="shared" si="1"/>
        <v>0.53367267246520012</v>
      </c>
      <c r="L9" s="8">
        <f t="shared" si="2"/>
        <v>85.187777777777782</v>
      </c>
      <c r="M9" s="9">
        <f t="shared" si="3"/>
        <v>5.5503333333333309</v>
      </c>
      <c r="N9" s="9">
        <f t="shared" si="4"/>
        <v>70.953366408928986</v>
      </c>
      <c r="O9" s="9">
        <f t="shared" si="5"/>
        <v>0.43298231179897417</v>
      </c>
      <c r="P9" s="2">
        <f>A4</f>
        <v>3</v>
      </c>
      <c r="Q9" s="2" t="s">
        <v>173</v>
      </c>
      <c r="R9" s="2">
        <f>C4</f>
        <v>-8.4740000000000002</v>
      </c>
      <c r="S9" s="2">
        <f>D4</f>
        <v>2.9009999999999998</v>
      </c>
      <c r="T9" s="2">
        <f>E4</f>
        <v>17.309999999999999</v>
      </c>
      <c r="U9" s="5">
        <v>-27.9</v>
      </c>
      <c r="V9" s="5">
        <v>-1.8</v>
      </c>
      <c r="W9" s="15">
        <f>AVERAGE(R9:R14)</f>
        <v>-8.6355000000000004</v>
      </c>
      <c r="X9" s="16">
        <f>AVERAGE(S9:S14)</f>
        <v>2.5834999999999999</v>
      </c>
      <c r="Y9" s="2">
        <f>A4</f>
        <v>3</v>
      </c>
      <c r="Z9" s="2" t="s">
        <v>173</v>
      </c>
      <c r="AA9" s="17">
        <f>L4</f>
        <v>-8.388208333333333</v>
      </c>
      <c r="AB9" s="17">
        <f>M4</f>
        <v>3.1549999999999985</v>
      </c>
      <c r="AC9" s="17"/>
      <c r="AD9" s="5">
        <v>-27.9</v>
      </c>
      <c r="AE9" s="5">
        <v>-1.8</v>
      </c>
      <c r="AF9" s="15">
        <f>AVERAGE(AA9:AA14)</f>
        <v>-8.3781250000000007</v>
      </c>
      <c r="AG9" s="16">
        <f>AVERAGE(AB9:AB14)</f>
        <v>3.3454999999999964</v>
      </c>
      <c r="AH9" s="6"/>
    </row>
    <row r="10" spans="1:34" x14ac:dyDescent="0.3">
      <c r="A10" s="2">
        <v>9</v>
      </c>
      <c r="B10" s="7" t="s">
        <v>75</v>
      </c>
      <c r="C10" s="7">
        <v>80.091999999999999</v>
      </c>
      <c r="D10" s="7">
        <v>4.4569999999999999</v>
      </c>
      <c r="E10" s="7">
        <v>11.71</v>
      </c>
      <c r="F10" s="7">
        <v>1363.1</v>
      </c>
      <c r="G10" s="7" t="s">
        <v>22</v>
      </c>
      <c r="H10" s="7">
        <v>16.100000000000001</v>
      </c>
      <c r="J10" s="8">
        <f t="shared" si="0"/>
        <v>66.131235204668769</v>
      </c>
      <c r="K10" s="8">
        <f t="shared" si="1"/>
        <v>0.11025611016841808</v>
      </c>
      <c r="L10" s="8">
        <f t="shared" si="2"/>
        <v>80.349374999999995</v>
      </c>
      <c r="M10" s="9">
        <f t="shared" si="3"/>
        <v>5.2189999999999968</v>
      </c>
      <c r="N10" s="9">
        <f t="shared" si="4"/>
        <v>65.841756164923424</v>
      </c>
      <c r="O10" s="9">
        <f t="shared" si="5"/>
        <v>9.7480379595697109E-2</v>
      </c>
      <c r="P10" s="2">
        <f>A16</f>
        <v>15</v>
      </c>
      <c r="Q10" s="2" t="s">
        <v>173</v>
      </c>
      <c r="R10" s="2">
        <f>C16</f>
        <v>-8.7970000000000006</v>
      </c>
      <c r="S10" s="2">
        <f>D16</f>
        <v>2.266</v>
      </c>
      <c r="T10" s="2">
        <f>E16</f>
        <v>16.273</v>
      </c>
      <c r="U10" s="5">
        <v>-27.9</v>
      </c>
      <c r="V10" s="5">
        <v>-1.8</v>
      </c>
      <c r="W10" s="16">
        <f>STDEV(R9:R14)</f>
        <v>0.22839549032325512</v>
      </c>
      <c r="X10" s="16">
        <f>STDEV(S9:S14)</f>
        <v>0.44901280605345717</v>
      </c>
      <c r="Y10" s="2">
        <f>A16</f>
        <v>15</v>
      </c>
      <c r="Z10" s="2" t="s">
        <v>173</v>
      </c>
      <c r="AA10" s="17">
        <f>L16</f>
        <v>-8.3680416666666684</v>
      </c>
      <c r="AB10" s="17">
        <f>M16</f>
        <v>3.5359999999999943</v>
      </c>
      <c r="AC10" s="17"/>
      <c r="AD10" s="5">
        <v>-27.9</v>
      </c>
      <c r="AE10" s="5">
        <v>-1.8</v>
      </c>
      <c r="AF10" s="16">
        <f>STDEV(AA9:AA14)</f>
        <v>1.4259986753927294E-2</v>
      </c>
      <c r="AG10" s="16">
        <f>STDEV(AB9:AB14)</f>
        <v>0.26940768363207163</v>
      </c>
      <c r="AH10" s="6"/>
    </row>
    <row r="11" spans="1:34" x14ac:dyDescent="0.3">
      <c r="A11" s="2">
        <v>10</v>
      </c>
      <c r="B11" s="7" t="s">
        <v>81</v>
      </c>
      <c r="C11" s="7">
        <v>78.177000000000007</v>
      </c>
      <c r="D11" s="7">
        <v>6.7380000000000004</v>
      </c>
      <c r="E11" s="7">
        <v>16.678000000000001</v>
      </c>
      <c r="F11" s="7">
        <v>1361</v>
      </c>
      <c r="G11" s="7" t="s">
        <v>22</v>
      </c>
      <c r="H11" s="7">
        <v>17.600000000000001</v>
      </c>
      <c r="J11" s="8">
        <f t="shared" si="0"/>
        <v>64.103102480468834</v>
      </c>
      <c r="K11" s="8">
        <f t="shared" si="1"/>
        <v>2.4319224048774553</v>
      </c>
      <c r="L11" s="8">
        <f t="shared" si="2"/>
        <v>78.462972222222234</v>
      </c>
      <c r="M11" s="9">
        <f t="shared" si="3"/>
        <v>7.5846666666666636</v>
      </c>
      <c r="N11" s="9">
        <f t="shared" si="4"/>
        <v>63.848834904317265</v>
      </c>
      <c r="O11" s="9">
        <f t="shared" si="5"/>
        <v>2.4929101711919248</v>
      </c>
      <c r="P11" s="2">
        <f>A28</f>
        <v>27</v>
      </c>
      <c r="Q11" s="2" t="s">
        <v>173</v>
      </c>
      <c r="R11" s="2"/>
      <c r="S11" s="2"/>
      <c r="T11" s="2"/>
      <c r="U11" s="5">
        <v>-27.9</v>
      </c>
      <c r="V11" s="5">
        <v>-1.8</v>
      </c>
      <c r="W11" s="18"/>
      <c r="X11" s="18"/>
      <c r="Y11" s="2">
        <f>A28</f>
        <v>27</v>
      </c>
      <c r="Z11" s="2" t="s">
        <v>173</v>
      </c>
      <c r="AA11" s="17"/>
      <c r="AB11" s="17"/>
      <c r="AC11" s="17"/>
      <c r="AD11" s="5">
        <v>-27.9</v>
      </c>
      <c r="AE11" s="5">
        <v>-1.8</v>
      </c>
      <c r="AF11" s="18"/>
      <c r="AG11" s="18"/>
    </row>
    <row r="12" spans="1:34" x14ac:dyDescent="0.3">
      <c r="A12" s="2">
        <v>11</v>
      </c>
      <c r="B12" s="7" t="s">
        <v>87</v>
      </c>
      <c r="C12" s="7">
        <v>79.221999999999994</v>
      </c>
      <c r="D12" s="7">
        <v>5.5179999999999998</v>
      </c>
      <c r="E12" s="7">
        <v>15.82</v>
      </c>
      <c r="F12" s="7">
        <v>1359.5</v>
      </c>
      <c r="G12" s="7" t="s">
        <v>22</v>
      </c>
      <c r="H12" s="7">
        <v>16.899999999999999</v>
      </c>
      <c r="J12" s="8">
        <f t="shared" si="0"/>
        <v>65.209838092369068</v>
      </c>
      <c r="K12" s="8">
        <f t="shared" si="1"/>
        <v>1.1901719096801617</v>
      </c>
      <c r="L12" s="8">
        <f t="shared" si="2"/>
        <v>79.536569444444439</v>
      </c>
      <c r="M12" s="9">
        <f t="shared" si="3"/>
        <v>6.4493333333333291</v>
      </c>
      <c r="N12" s="9">
        <f t="shared" si="4"/>
        <v>64.983054358772733</v>
      </c>
      <c r="O12" s="9">
        <f t="shared" si="5"/>
        <v>1.3432928863988067</v>
      </c>
      <c r="P12" s="2"/>
      <c r="Q12" s="2"/>
      <c r="R12" s="2"/>
      <c r="S12" s="2"/>
      <c r="T12" s="2"/>
      <c r="W12" s="18"/>
      <c r="X12" s="18"/>
      <c r="Y12" s="2"/>
      <c r="Z12" s="2"/>
      <c r="AA12" s="2"/>
      <c r="AB12" s="2"/>
      <c r="AC12" s="2"/>
      <c r="AF12" s="18"/>
      <c r="AG12" s="18"/>
      <c r="AH12" s="6"/>
    </row>
    <row r="13" spans="1:34" x14ac:dyDescent="0.3">
      <c r="A13" s="2">
        <v>12</v>
      </c>
      <c r="B13" s="7" t="s">
        <v>93</v>
      </c>
      <c r="C13" s="7">
        <v>85.629000000000005</v>
      </c>
      <c r="D13" s="7">
        <v>4.0229999999999997</v>
      </c>
      <c r="E13" s="7">
        <v>17.457000000000001</v>
      </c>
      <c r="F13" s="7">
        <v>1361.6</v>
      </c>
      <c r="G13" s="7" t="s">
        <v>22</v>
      </c>
      <c r="H13" s="7">
        <v>18</v>
      </c>
      <c r="J13" s="8">
        <f t="shared" si="0"/>
        <v>71.995345332029132</v>
      </c>
      <c r="K13" s="8">
        <f t="shared" si="1"/>
        <v>-0.33148136107389803</v>
      </c>
      <c r="L13" s="8">
        <f t="shared" si="2"/>
        <v>85.972166666666666</v>
      </c>
      <c r="M13" s="9">
        <f t="shared" si="3"/>
        <v>5.0389999999999953</v>
      </c>
      <c r="N13" s="9">
        <f t="shared" si="4"/>
        <v>71.782046959904136</v>
      </c>
      <c r="O13" s="9">
        <f t="shared" si="5"/>
        <v>-8.4784251581134562E-2</v>
      </c>
      <c r="P13" s="2"/>
      <c r="Q13" s="2"/>
      <c r="R13" s="2"/>
      <c r="S13" s="2"/>
      <c r="T13" s="2"/>
      <c r="W13" s="18"/>
      <c r="X13" s="18"/>
      <c r="Y13" s="2"/>
      <c r="Z13" s="2"/>
      <c r="AA13" s="2"/>
      <c r="AB13" s="2"/>
      <c r="AC13" s="2"/>
      <c r="AF13" s="18"/>
      <c r="AG13" s="18"/>
    </row>
    <row r="14" spans="1:34" x14ac:dyDescent="0.3">
      <c r="A14" s="2">
        <v>13</v>
      </c>
      <c r="B14" s="7" t="s">
        <v>98</v>
      </c>
      <c r="C14" s="7">
        <v>39.802999999999997</v>
      </c>
      <c r="D14" s="7">
        <v>1.9550000000000001</v>
      </c>
      <c r="E14" s="7">
        <v>19.157</v>
      </c>
      <c r="F14" s="7">
        <v>1360.6</v>
      </c>
      <c r="G14" s="7" t="s">
        <v>22</v>
      </c>
      <c r="H14" s="7">
        <v>17.8</v>
      </c>
      <c r="J14" s="8">
        <f t="shared" si="0"/>
        <v>23.462076288067436</v>
      </c>
      <c r="K14" s="8">
        <f t="shared" si="1"/>
        <v>-2.436350233260784</v>
      </c>
      <c r="L14" s="8">
        <f t="shared" si="2"/>
        <v>40.174763888888883</v>
      </c>
      <c r="M14" s="9">
        <f t="shared" si="3"/>
        <v>3.0556666666666619</v>
      </c>
      <c r="N14" s="9">
        <f t="shared" si="4"/>
        <v>23.398627071232617</v>
      </c>
      <c r="O14" s="9">
        <f t="shared" si="5"/>
        <v>-2.0930704654739847</v>
      </c>
      <c r="P14" s="2"/>
      <c r="Q14" s="2"/>
      <c r="R14" s="2"/>
      <c r="S14" s="2"/>
      <c r="T14" s="2"/>
      <c r="W14" s="18"/>
      <c r="X14" s="18"/>
      <c r="Y14" s="2"/>
      <c r="Z14" s="2"/>
      <c r="AA14" s="2"/>
      <c r="AB14" s="2"/>
      <c r="AC14" s="2"/>
      <c r="AF14" s="18"/>
      <c r="AG14" s="18"/>
    </row>
    <row r="15" spans="1:34" x14ac:dyDescent="0.3">
      <c r="A15" s="10">
        <v>14</v>
      </c>
      <c r="B15" s="11" t="s">
        <v>25</v>
      </c>
      <c r="C15" s="11">
        <v>41.738999999999997</v>
      </c>
      <c r="D15" s="11">
        <v>181.89099999999999</v>
      </c>
      <c r="E15" s="11">
        <v>19.702000000000002</v>
      </c>
      <c r="F15" s="11">
        <v>1361.4</v>
      </c>
      <c r="G15" s="11" t="s">
        <v>22</v>
      </c>
      <c r="H15" s="11">
        <v>18.2</v>
      </c>
      <c r="I15" s="12"/>
      <c r="J15" s="13">
        <f t="shared" si="0"/>
        <v>25.512449632219443</v>
      </c>
      <c r="K15" s="13">
        <f t="shared" si="1"/>
        <v>180.70759821249339</v>
      </c>
      <c r="L15" s="13">
        <f t="shared" si="2"/>
        <v>42.139361111111107</v>
      </c>
      <c r="M15" s="14">
        <f t="shared" si="3"/>
        <v>183.07633333333331</v>
      </c>
      <c r="N15" s="14">
        <f t="shared" si="4"/>
        <v>25.474158139579977</v>
      </c>
      <c r="O15" s="14">
        <f t="shared" si="5"/>
        <v>180.19248739123194</v>
      </c>
      <c r="P15" s="2">
        <f>A5</f>
        <v>4</v>
      </c>
      <c r="Q15" s="2" t="s">
        <v>174</v>
      </c>
      <c r="R15" s="2">
        <f>C5</f>
        <v>72.403000000000006</v>
      </c>
      <c r="S15" s="2">
        <f>D5</f>
        <v>7.4139999999999997</v>
      </c>
      <c r="T15" s="2">
        <f>E5</f>
        <v>19.010999999999999</v>
      </c>
      <c r="U15" s="5">
        <v>57.5</v>
      </c>
      <c r="V15" s="5">
        <v>2.7</v>
      </c>
      <c r="W15" s="15">
        <f>AVERAGE(R15:R20)</f>
        <v>71.99633333333334</v>
      </c>
      <c r="X15" s="16">
        <f>AVERAGE(S15:S20)</f>
        <v>7.5720000000000001</v>
      </c>
      <c r="Y15" s="2">
        <f>A5</f>
        <v>4</v>
      </c>
      <c r="Z15" s="2" t="s">
        <v>174</v>
      </c>
      <c r="AA15" s="17">
        <f>L5</f>
        <v>72.517388888888888</v>
      </c>
      <c r="AB15" s="17">
        <f>M5</f>
        <v>7.7526666666666646</v>
      </c>
      <c r="AC15" s="17"/>
      <c r="AD15" s="5">
        <v>57.5</v>
      </c>
      <c r="AE15" s="5">
        <v>2.7</v>
      </c>
      <c r="AF15" s="15">
        <f>AVERAGE(AA15:AA20)</f>
        <v>72.453888888888898</v>
      </c>
      <c r="AG15" s="16">
        <f>AVERAGE(AB15:AB20)</f>
        <v>8.9266666666666605</v>
      </c>
    </row>
    <row r="16" spans="1:34" x14ac:dyDescent="0.3">
      <c r="A16" s="10">
        <v>15</v>
      </c>
      <c r="B16" s="11" t="s">
        <v>38</v>
      </c>
      <c r="C16" s="11">
        <v>-8.7970000000000006</v>
      </c>
      <c r="D16" s="11">
        <v>2.266</v>
      </c>
      <c r="E16" s="11">
        <v>16.273</v>
      </c>
      <c r="F16" s="11">
        <v>1358.9</v>
      </c>
      <c r="G16" s="11" t="s">
        <v>22</v>
      </c>
      <c r="H16" s="11">
        <v>16.7</v>
      </c>
      <c r="I16" s="12"/>
      <c r="J16" s="13">
        <f t="shared" si="0"/>
        <v>-28.009072743847597</v>
      </c>
      <c r="K16" s="13">
        <f t="shared" si="1"/>
        <v>-2.1198056398129497</v>
      </c>
      <c r="L16" s="13">
        <f t="shared" si="2"/>
        <v>-8.3680416666666684</v>
      </c>
      <c r="M16" s="14">
        <f t="shared" si="3"/>
        <v>3.5359999999999943</v>
      </c>
      <c r="N16" s="14">
        <f t="shared" si="4"/>
        <v>-27.885218765287647</v>
      </c>
      <c r="O16" s="14">
        <f t="shared" si="5"/>
        <v>-1.606693921907667</v>
      </c>
      <c r="P16" s="2">
        <f>A17</f>
        <v>16</v>
      </c>
      <c r="Q16" s="2" t="s">
        <v>174</v>
      </c>
      <c r="R16" s="2">
        <f>C17</f>
        <v>72.367999999999995</v>
      </c>
      <c r="S16" s="2">
        <f>D17</f>
        <v>7.7949999999999999</v>
      </c>
      <c r="T16" s="2">
        <f>E17</f>
        <v>19.805</v>
      </c>
      <c r="U16" s="5">
        <v>57.5</v>
      </c>
      <c r="V16" s="5">
        <v>2.7</v>
      </c>
      <c r="W16" s="16">
        <f>STDEV(R15:R20)</f>
        <v>0.6742835704162834</v>
      </c>
      <c r="X16" s="16">
        <f>STDEV(S15:S20)</f>
        <v>0.19864289566959109</v>
      </c>
      <c r="Y16" s="2">
        <f>A17</f>
        <v>16</v>
      </c>
      <c r="Z16" s="2" t="s">
        <v>174</v>
      </c>
      <c r="AA16" s="17">
        <f>L17</f>
        <v>72.825555555555553</v>
      </c>
      <c r="AB16" s="17">
        <f>M17</f>
        <v>9.1496666666666613</v>
      </c>
      <c r="AC16" s="17"/>
      <c r="AD16" s="5">
        <v>57.5</v>
      </c>
      <c r="AE16" s="5">
        <v>2.7</v>
      </c>
      <c r="AF16" s="16">
        <f>STDEV(AA15:AA20)</f>
        <v>0.40714763224712863</v>
      </c>
      <c r="AG16" s="16">
        <f>STDEV(AB15:AB20)</f>
        <v>1.0799087924449873</v>
      </c>
    </row>
    <row r="17" spans="1:33" x14ac:dyDescent="0.3">
      <c r="A17" s="10">
        <v>16</v>
      </c>
      <c r="B17" s="11" t="s">
        <v>42</v>
      </c>
      <c r="C17" s="11">
        <v>72.367999999999995</v>
      </c>
      <c r="D17" s="11">
        <v>7.7949999999999999</v>
      </c>
      <c r="E17" s="11">
        <v>19.805</v>
      </c>
      <c r="F17" s="11">
        <v>1357</v>
      </c>
      <c r="G17" s="11" t="s">
        <v>22</v>
      </c>
      <c r="H17" s="11">
        <v>18</v>
      </c>
      <c r="I17" s="12"/>
      <c r="J17" s="13">
        <f t="shared" si="0"/>
        <v>57.950923370872239</v>
      </c>
      <c r="K17" s="13">
        <f t="shared" si="1"/>
        <v>3.5077668912901911</v>
      </c>
      <c r="L17" s="13">
        <f t="shared" si="2"/>
        <v>72.825555555555553</v>
      </c>
      <c r="M17" s="14">
        <f t="shared" si="3"/>
        <v>9.1496666666666613</v>
      </c>
      <c r="N17" s="14">
        <f t="shared" si="4"/>
        <v>57.893093287391359</v>
      </c>
      <c r="O17" s="14">
        <f t="shared" si="5"/>
        <v>4.0775998811460283</v>
      </c>
      <c r="P17" s="2">
        <f>A29</f>
        <v>28</v>
      </c>
      <c r="Q17" s="2" t="s">
        <v>174</v>
      </c>
      <c r="R17" s="2">
        <f>C29</f>
        <v>71.218000000000004</v>
      </c>
      <c r="S17" s="2">
        <f>D29</f>
        <v>7.5069999999999997</v>
      </c>
      <c r="T17" s="2">
        <f>E29</f>
        <v>18.683</v>
      </c>
      <c r="U17" s="5">
        <v>57.5</v>
      </c>
      <c r="V17" s="5">
        <v>2.7</v>
      </c>
      <c r="Y17" s="2">
        <f>A29</f>
        <v>28</v>
      </c>
      <c r="Z17" s="2" t="s">
        <v>174</v>
      </c>
      <c r="AA17" s="17">
        <f>L29</f>
        <v>72.018722222222223</v>
      </c>
      <c r="AB17" s="17">
        <f>M29</f>
        <v>9.8776666666666557</v>
      </c>
      <c r="AC17" s="17"/>
      <c r="AD17" s="5">
        <v>57.5</v>
      </c>
      <c r="AE17" s="5">
        <v>2.7</v>
      </c>
    </row>
    <row r="18" spans="1:33" x14ac:dyDescent="0.3">
      <c r="A18" s="2">
        <v>17</v>
      </c>
      <c r="B18" s="7" t="s">
        <v>44</v>
      </c>
      <c r="C18" s="7">
        <v>78.180999999999997</v>
      </c>
      <c r="D18" s="7">
        <v>5.149</v>
      </c>
      <c r="E18" s="7">
        <v>18.295999999999999</v>
      </c>
      <c r="F18" s="7">
        <v>1359.1</v>
      </c>
      <c r="G18" s="7" t="s">
        <v>12</v>
      </c>
      <c r="H18" s="7">
        <v>17.600000000000001</v>
      </c>
      <c r="J18" s="8">
        <f t="shared" si="0"/>
        <v>64.107338789031132</v>
      </c>
      <c r="K18" s="8">
        <f t="shared" si="1"/>
        <v>0.81459327629671829</v>
      </c>
      <c r="L18" s="8">
        <f t="shared" si="2"/>
        <v>78.667152777777773</v>
      </c>
      <c r="M18" s="9">
        <f t="shared" si="3"/>
        <v>6.5883333333333267</v>
      </c>
      <c r="N18" s="9">
        <f t="shared" si="4"/>
        <v>64.064544812594846</v>
      </c>
      <c r="O18" s="9">
        <f t="shared" si="5"/>
        <v>1.4840416849186902</v>
      </c>
      <c r="P18" s="2"/>
      <c r="Q18" s="2"/>
      <c r="R18" s="2"/>
      <c r="S18" s="2"/>
      <c r="T18" s="2"/>
      <c r="Y18" s="2"/>
      <c r="Z18" s="2"/>
      <c r="AA18" s="2"/>
      <c r="AB18" s="2"/>
      <c r="AC18" s="2"/>
    </row>
    <row r="19" spans="1:33" x14ac:dyDescent="0.3">
      <c r="A19" s="2">
        <v>18</v>
      </c>
      <c r="B19" s="7" t="s">
        <v>45</v>
      </c>
      <c r="C19" s="7">
        <v>77.111999999999995</v>
      </c>
      <c r="D19" s="7">
        <v>6.9530000000000003</v>
      </c>
      <c r="E19" s="7">
        <v>14.608000000000001</v>
      </c>
      <c r="F19" s="7">
        <v>1361.6</v>
      </c>
      <c r="G19" s="7" t="s">
        <v>22</v>
      </c>
      <c r="H19" s="7">
        <v>16.7</v>
      </c>
      <c r="J19" s="8">
        <f t="shared" si="0"/>
        <v>62.975185325757117</v>
      </c>
      <c r="K19" s="8">
        <f t="shared" si="1"/>
        <v>2.6507554839491094</v>
      </c>
      <c r="L19" s="8">
        <f t="shared" si="2"/>
        <v>77.626749999999987</v>
      </c>
      <c r="M19" s="9">
        <f t="shared" si="3"/>
        <v>8.4769999999999932</v>
      </c>
      <c r="N19" s="9">
        <f t="shared" si="4"/>
        <v>62.965394175279918</v>
      </c>
      <c r="O19" s="9">
        <f t="shared" si="5"/>
        <v>3.3964702038963175</v>
      </c>
      <c r="P19" s="2"/>
      <c r="Q19" s="2"/>
      <c r="R19" s="2"/>
      <c r="S19" s="2"/>
      <c r="T19" s="2"/>
      <c r="Y19" s="2"/>
      <c r="Z19" s="2"/>
      <c r="AA19" s="2"/>
      <c r="AB19" s="17"/>
      <c r="AC19" s="2"/>
    </row>
    <row r="20" spans="1:33" x14ac:dyDescent="0.3">
      <c r="A20" s="2">
        <v>19</v>
      </c>
      <c r="B20" s="7" t="s">
        <v>58</v>
      </c>
      <c r="C20" s="7">
        <v>79.081999999999994</v>
      </c>
      <c r="D20" s="7">
        <v>6.1120000000000001</v>
      </c>
      <c r="E20" s="7">
        <v>16.957000000000001</v>
      </c>
      <c r="F20" s="7">
        <v>1361</v>
      </c>
      <c r="G20" s="7" t="s">
        <v>22</v>
      </c>
      <c r="H20" s="7">
        <v>17.3</v>
      </c>
      <c r="J20" s="8">
        <f t="shared" si="0"/>
        <v>65.061567292688636</v>
      </c>
      <c r="K20" s="8">
        <f t="shared" si="1"/>
        <v>1.7947619048827788</v>
      </c>
      <c r="L20" s="8">
        <f t="shared" si="2"/>
        <v>79.625347222222217</v>
      </c>
      <c r="M20" s="9">
        <f t="shared" si="3"/>
        <v>7.7206666666666592</v>
      </c>
      <c r="N20" s="9">
        <f t="shared" si="4"/>
        <v>65.07684510319217</v>
      </c>
      <c r="O20" s="9">
        <f t="shared" si="5"/>
        <v>2.6306212258588593</v>
      </c>
      <c r="P20" s="2"/>
      <c r="Q20" s="2"/>
      <c r="R20" s="2"/>
      <c r="S20" s="2"/>
      <c r="T20" s="2"/>
      <c r="Y20" s="2"/>
      <c r="Z20" s="2"/>
      <c r="AA20" s="2"/>
      <c r="AB20" s="2"/>
      <c r="AC20" s="2"/>
    </row>
    <row r="21" spans="1:33" x14ac:dyDescent="0.3">
      <c r="A21" s="2">
        <v>20</v>
      </c>
      <c r="B21" s="7" t="s">
        <v>67</v>
      </c>
      <c r="C21" s="7">
        <v>84.622</v>
      </c>
      <c r="D21" s="7">
        <v>3.8319999999999999</v>
      </c>
      <c r="E21" s="7">
        <v>17.07</v>
      </c>
      <c r="F21" s="7">
        <v>1361.4</v>
      </c>
      <c r="G21" s="7" t="s">
        <v>22</v>
      </c>
      <c r="H21" s="7">
        <v>17.8</v>
      </c>
      <c r="J21" s="8">
        <f t="shared" si="0"/>
        <v>70.928854651470743</v>
      </c>
      <c r="K21" s="8">
        <f t="shared" si="1"/>
        <v>-0.52588656155150693</v>
      </c>
      <c r="L21" s="8">
        <f t="shared" si="2"/>
        <v>85.19394444444444</v>
      </c>
      <c r="M21" s="9">
        <f t="shared" si="3"/>
        <v>5.5253333333333252</v>
      </c>
      <c r="N21" s="9">
        <f t="shared" si="4"/>
        <v>70.959881285418703</v>
      </c>
      <c r="O21" s="9">
        <f t="shared" si="5"/>
        <v>0.40766777969107526</v>
      </c>
      <c r="Q21" s="5" t="s">
        <v>175</v>
      </c>
      <c r="R21" s="5">
        <f>SLOPE(U3:U20,R3:R20)</f>
        <v>1.0590771405743835</v>
      </c>
      <c r="S21" s="5">
        <f>SLOPE(V3:V14,S3:S14)</f>
        <v>1.0178282747518794</v>
      </c>
      <c r="T21" s="5" t="s">
        <v>176</v>
      </c>
      <c r="X21" s="6"/>
      <c r="Z21" s="5" t="s">
        <v>175</v>
      </c>
      <c r="AA21" s="5">
        <f>SLOPE(AD3:AD20,AA3:AA20)</f>
        <v>1.0564664577911074</v>
      </c>
      <c r="AB21" s="5">
        <f>SLOPE(AE3:AE14,AB3:AB14)</f>
        <v>1.0125812843157227</v>
      </c>
      <c r="AG21" s="6"/>
    </row>
    <row r="22" spans="1:33" x14ac:dyDescent="0.3">
      <c r="A22" s="2">
        <v>21</v>
      </c>
      <c r="B22" s="7" t="s">
        <v>75</v>
      </c>
      <c r="C22" s="7">
        <v>80.352000000000004</v>
      </c>
      <c r="D22" s="7">
        <v>5.173</v>
      </c>
      <c r="E22" s="7">
        <v>16.457999999999998</v>
      </c>
      <c r="F22" s="7">
        <v>1362.5</v>
      </c>
      <c r="G22" s="7" t="s">
        <v>22</v>
      </c>
      <c r="H22" s="7">
        <v>18</v>
      </c>
      <c r="J22" s="8">
        <f t="shared" si="0"/>
        <v>66.406595261218115</v>
      </c>
      <c r="K22" s="8">
        <f t="shared" si="1"/>
        <v>0.83902115489076401</v>
      </c>
      <c r="L22" s="8">
        <f t="shared" si="2"/>
        <v>80.952541666666676</v>
      </c>
      <c r="M22" s="9">
        <f t="shared" si="3"/>
        <v>6.9509999999999925</v>
      </c>
      <c r="N22" s="9">
        <f t="shared" si="4"/>
        <v>66.478981516714441</v>
      </c>
      <c r="O22" s="9">
        <f t="shared" si="5"/>
        <v>1.8512711640305248</v>
      </c>
      <c r="Q22" s="5" t="s">
        <v>177</v>
      </c>
      <c r="R22" s="5">
        <f>INTERCEPT(U3:U20,R3:R20)</f>
        <v>-18.692371138214746</v>
      </c>
      <c r="S22" s="5">
        <f>INTERCEPT(V3:V14,S3:S14)</f>
        <v>-4.4262045104007086</v>
      </c>
      <c r="T22" s="5">
        <f>AVERAGE(T3:T20)</f>
        <v>18.416999999999998</v>
      </c>
      <c r="Z22" s="5" t="s">
        <v>177</v>
      </c>
      <c r="AA22" s="5">
        <f>INTERCEPT(AD3:AD20,AA3:AA20)</f>
        <v>-19.044663427055916</v>
      </c>
      <c r="AB22" s="5">
        <f>INTERCEPT(AE3:AE14,AB3:AB14)</f>
        <v>-5.1871813432480565</v>
      </c>
    </row>
    <row r="23" spans="1:33" x14ac:dyDescent="0.3">
      <c r="A23" s="2">
        <v>22</v>
      </c>
      <c r="B23" s="7" t="s">
        <v>81</v>
      </c>
      <c r="C23" s="7">
        <v>78.677999999999997</v>
      </c>
      <c r="D23" s="7">
        <v>6.7050000000000001</v>
      </c>
      <c r="E23" s="7">
        <v>17.327000000000002</v>
      </c>
      <c r="F23" s="7">
        <v>1360.2</v>
      </c>
      <c r="G23" s="7" t="s">
        <v>12</v>
      </c>
      <c r="H23" s="7">
        <v>17.3</v>
      </c>
      <c r="J23" s="8">
        <f t="shared" si="0"/>
        <v>64.633700127896589</v>
      </c>
      <c r="K23" s="8">
        <f t="shared" si="1"/>
        <v>2.398334071810643</v>
      </c>
      <c r="L23" s="8">
        <f t="shared" si="2"/>
        <v>79.307138888888886</v>
      </c>
      <c r="M23" s="9">
        <f t="shared" si="3"/>
        <v>8.5676666666666588</v>
      </c>
      <c r="N23" s="9">
        <f t="shared" si="4"/>
        <v>64.740668672435902</v>
      </c>
      <c r="O23" s="9">
        <f t="shared" si="5"/>
        <v>3.4882775736742762</v>
      </c>
    </row>
    <row r="24" spans="1:33" x14ac:dyDescent="0.3">
      <c r="A24" s="2">
        <v>23</v>
      </c>
      <c r="B24" s="7" t="s">
        <v>87</v>
      </c>
      <c r="C24" s="7">
        <v>79.691999999999993</v>
      </c>
      <c r="D24" s="7">
        <v>6.798</v>
      </c>
      <c r="E24" s="7">
        <v>16.7</v>
      </c>
      <c r="F24" s="7">
        <v>1359.5</v>
      </c>
      <c r="G24" s="7" t="s">
        <v>22</v>
      </c>
      <c r="H24" s="7">
        <v>16.899999999999999</v>
      </c>
      <c r="J24" s="8">
        <f t="shared" si="0"/>
        <v>65.70760434843902</v>
      </c>
      <c r="K24" s="8">
        <f t="shared" si="1"/>
        <v>2.4929921013625673</v>
      </c>
      <c r="L24" s="8">
        <f t="shared" si="2"/>
        <v>80.349736111111099</v>
      </c>
      <c r="M24" s="9">
        <f t="shared" si="3"/>
        <v>8.7453333333333241</v>
      </c>
      <c r="N24" s="9">
        <f t="shared" si="4"/>
        <v>65.842137666699841</v>
      </c>
      <c r="O24" s="9">
        <f t="shared" si="5"/>
        <v>3.6681795151877008</v>
      </c>
      <c r="AG24" s="5" t="s">
        <v>178</v>
      </c>
    </row>
    <row r="25" spans="1:33" x14ac:dyDescent="0.3">
      <c r="A25" s="2">
        <v>24</v>
      </c>
      <c r="B25" s="7" t="s">
        <v>93</v>
      </c>
      <c r="C25" s="7">
        <v>86.418999999999997</v>
      </c>
      <c r="D25" s="7">
        <v>5.016</v>
      </c>
      <c r="E25" s="7">
        <v>18.07</v>
      </c>
      <c r="F25" s="7">
        <v>1359.3</v>
      </c>
      <c r="G25" s="7" t="s">
        <v>22</v>
      </c>
      <c r="H25" s="7">
        <v>18.2</v>
      </c>
      <c r="J25" s="8">
        <f t="shared" si="0"/>
        <v>72.8320162730829</v>
      </c>
      <c r="K25" s="8">
        <f t="shared" si="1"/>
        <v>0.67922211575471891</v>
      </c>
      <c r="L25" s="8">
        <f t="shared" si="2"/>
        <v>87.105333333333334</v>
      </c>
      <c r="M25" s="9">
        <f t="shared" si="3"/>
        <v>7.0479999999999912</v>
      </c>
      <c r="N25" s="9">
        <f t="shared" si="4"/>
        <v>72.979199534324437</v>
      </c>
      <c r="O25" s="9">
        <f t="shared" si="5"/>
        <v>1.9494915486091484</v>
      </c>
      <c r="X25" s="6"/>
      <c r="Y25" s="6"/>
      <c r="AF25" s="5" t="s">
        <v>179</v>
      </c>
      <c r="AG25" s="5">
        <f>SLOPE(R3:R8,P3:P8)</f>
        <v>-9.4999999999997673E-3</v>
      </c>
    </row>
    <row r="26" spans="1:33" x14ac:dyDescent="0.3">
      <c r="A26" s="2">
        <v>25</v>
      </c>
      <c r="B26" s="7" t="s">
        <v>98</v>
      </c>
      <c r="C26" s="7">
        <v>40.497999999999998</v>
      </c>
      <c r="D26" s="7">
        <v>2.0299999999999998</v>
      </c>
      <c r="E26" s="7">
        <v>17.739999999999998</v>
      </c>
      <c r="F26" s="7">
        <v>1359.3</v>
      </c>
      <c r="G26" s="7" t="s">
        <v>22</v>
      </c>
      <c r="H26" s="7">
        <v>17.3</v>
      </c>
      <c r="J26" s="8">
        <f t="shared" si="0"/>
        <v>24.198134900766632</v>
      </c>
      <c r="K26" s="8">
        <f t="shared" si="1"/>
        <v>-2.3600131126543937</v>
      </c>
      <c r="L26" s="8">
        <f t="shared" si="2"/>
        <v>41.212930555555552</v>
      </c>
      <c r="M26" s="9">
        <f t="shared" si="3"/>
        <v>4.1466666666666576</v>
      </c>
      <c r="N26" s="9">
        <f t="shared" si="4"/>
        <v>24.49541533216275</v>
      </c>
      <c r="O26" s="9">
        <f t="shared" si="5"/>
        <v>-0.98834428428553522</v>
      </c>
      <c r="X26" s="6"/>
      <c r="Y26" s="6"/>
      <c r="AF26" s="5" t="s">
        <v>180</v>
      </c>
      <c r="AG26" s="5">
        <f>SLOPE(R9:R14,P9:P14)</f>
        <v>-2.69166666666667E-2</v>
      </c>
    </row>
    <row r="27" spans="1:33" x14ac:dyDescent="0.3">
      <c r="A27" s="10">
        <v>26</v>
      </c>
      <c r="B27" s="11" t="s">
        <v>25</v>
      </c>
      <c r="C27" s="11">
        <v>41.625</v>
      </c>
      <c r="D27" s="11">
        <v>180.494</v>
      </c>
      <c r="E27" s="11">
        <v>18.135000000000002</v>
      </c>
      <c r="F27" s="11">
        <v>1358.1</v>
      </c>
      <c r="G27" s="11" t="s">
        <v>22</v>
      </c>
      <c r="H27" s="11">
        <v>17.600000000000001</v>
      </c>
      <c r="I27" s="12"/>
      <c r="J27" s="13">
        <f t="shared" si="0"/>
        <v>25.39171483819397</v>
      </c>
      <c r="K27" s="13">
        <f t="shared" si="1"/>
        <v>179.285692112665</v>
      </c>
      <c r="L27" s="13">
        <f t="shared" si="2"/>
        <v>42.368527777777778</v>
      </c>
      <c r="M27" s="14">
        <f t="shared" si="3"/>
        <v>182.69533333333334</v>
      </c>
      <c r="N27" s="14">
        <f t="shared" si="4"/>
        <v>25.716265036157111</v>
      </c>
      <c r="O27" s="14">
        <f t="shared" si="5"/>
        <v>179.80669392190768</v>
      </c>
      <c r="AF27" s="5" t="s">
        <v>181</v>
      </c>
      <c r="AG27" s="5">
        <f>SLOPE(R15:R20,P15:P20)</f>
        <v>-4.9375000000000092E-2</v>
      </c>
    </row>
    <row r="28" spans="1:33" x14ac:dyDescent="0.3">
      <c r="A28" s="10">
        <v>27</v>
      </c>
      <c r="B28" s="11" t="s">
        <v>38</v>
      </c>
      <c r="C28" s="11">
        <v>-9.3640000000000008</v>
      </c>
      <c r="D28" s="11">
        <v>2.129</v>
      </c>
      <c r="E28" s="11">
        <v>18.263999999999999</v>
      </c>
      <c r="F28" s="11">
        <v>1358.5</v>
      </c>
      <c r="G28" s="11" t="s">
        <v>22</v>
      </c>
      <c r="H28" s="11">
        <v>17.600000000000001</v>
      </c>
      <c r="I28" s="12"/>
      <c r="J28" s="13">
        <f t="shared" si="0"/>
        <v>-28.609569482553276</v>
      </c>
      <c r="K28" s="13">
        <f t="shared" si="1"/>
        <v>-2.2592481134539573</v>
      </c>
      <c r="L28" s="13">
        <f t="shared" si="2"/>
        <v>-8.5918750000000017</v>
      </c>
      <c r="M28" s="14">
        <f t="shared" si="3"/>
        <v>4.4149999999999903</v>
      </c>
      <c r="N28" s="14">
        <f t="shared" si="4"/>
        <v>-28.121691174089889</v>
      </c>
      <c r="O28" s="14">
        <f t="shared" si="5"/>
        <v>-0.71663497299415102</v>
      </c>
      <c r="AF28" s="5" t="s">
        <v>182</v>
      </c>
      <c r="AG28" s="5">
        <f>AVERAGE(AG25:AG27)</f>
        <v>-2.8597222222222187E-2</v>
      </c>
    </row>
    <row r="29" spans="1:33" x14ac:dyDescent="0.3">
      <c r="A29" s="10">
        <v>28</v>
      </c>
      <c r="B29" s="11" t="s">
        <v>42</v>
      </c>
      <c r="C29" s="11">
        <v>71.218000000000004</v>
      </c>
      <c r="D29" s="11">
        <v>7.5069999999999997</v>
      </c>
      <c r="E29" s="11">
        <v>18.683</v>
      </c>
      <c r="F29" s="11">
        <v>1358.1</v>
      </c>
      <c r="G29" s="11" t="s">
        <v>22</v>
      </c>
      <c r="H29" s="11">
        <v>18</v>
      </c>
      <c r="I29" s="12"/>
      <c r="J29" s="13">
        <f t="shared" si="0"/>
        <v>56.732984659211702</v>
      </c>
      <c r="K29" s="13">
        <f t="shared" si="1"/>
        <v>3.2146323481616497</v>
      </c>
      <c r="L29" s="13">
        <f t="shared" si="2"/>
        <v>72.018722222222223</v>
      </c>
      <c r="M29" s="14">
        <f t="shared" si="3"/>
        <v>9.8776666666666557</v>
      </c>
      <c r="N29" s="14">
        <f t="shared" si="4"/>
        <v>57.040700933696904</v>
      </c>
      <c r="O29" s="14">
        <f t="shared" si="5"/>
        <v>4.814759056127869</v>
      </c>
    </row>
    <row r="30" spans="1:33" x14ac:dyDescent="0.3">
      <c r="A30" s="2">
        <v>29</v>
      </c>
      <c r="B30" s="7" t="s">
        <v>44</v>
      </c>
      <c r="C30" s="7">
        <v>78.552999999999997</v>
      </c>
      <c r="D30" s="7">
        <v>4.9189999999999996</v>
      </c>
      <c r="E30" s="7">
        <v>19.22</v>
      </c>
      <c r="F30" s="7">
        <v>1356.6</v>
      </c>
      <c r="G30" s="7" t="s">
        <v>12</v>
      </c>
      <c r="H30" s="7">
        <v>18</v>
      </c>
      <c r="J30" s="8">
        <f t="shared" si="0"/>
        <v>64.501315485324795</v>
      </c>
      <c r="K30" s="8">
        <f t="shared" si="1"/>
        <v>0.58049277310378589</v>
      </c>
      <c r="L30" s="8">
        <f t="shared" si="2"/>
        <v>79.382319444444434</v>
      </c>
      <c r="M30" s="9">
        <f t="shared" si="3"/>
        <v>7.3743333333333219</v>
      </c>
      <c r="N30" s="9">
        <f t="shared" si="4"/>
        <v>64.820094407658445</v>
      </c>
      <c r="O30" s="9">
        <f t="shared" si="5"/>
        <v>2.2799305743908427</v>
      </c>
      <c r="AG30" s="5" t="s">
        <v>183</v>
      </c>
    </row>
    <row r="31" spans="1:33" x14ac:dyDescent="0.3">
      <c r="A31" s="2">
        <v>30</v>
      </c>
      <c r="B31" s="7" t="s">
        <v>45</v>
      </c>
      <c r="C31" s="7">
        <v>77.816999999999993</v>
      </c>
      <c r="D31" s="7">
        <v>7.109</v>
      </c>
      <c r="E31" s="7">
        <v>13.065</v>
      </c>
      <c r="F31" s="7">
        <v>1358.7</v>
      </c>
      <c r="G31" s="7" t="s">
        <v>22</v>
      </c>
      <c r="H31" s="7">
        <v>16.100000000000001</v>
      </c>
      <c r="J31" s="8">
        <f t="shared" si="0"/>
        <v>63.721834709862044</v>
      </c>
      <c r="K31" s="8">
        <f t="shared" si="1"/>
        <v>2.8095366948104026</v>
      </c>
      <c r="L31" s="8">
        <f t="shared" si="2"/>
        <v>78.674916666666661</v>
      </c>
      <c r="M31" s="9">
        <f t="shared" si="3"/>
        <v>9.6489999999999885</v>
      </c>
      <c r="N31" s="9">
        <f t="shared" si="4"/>
        <v>64.072747100787979</v>
      </c>
      <c r="O31" s="9">
        <f t="shared" si="5"/>
        <v>4.5832154691143394</v>
      </c>
      <c r="AF31" s="5" t="s">
        <v>179</v>
      </c>
      <c r="AG31" s="5">
        <f>SLOPE(S3:S8,P3:P8)</f>
        <v>-0.11641666666666595</v>
      </c>
    </row>
    <row r="32" spans="1:33" x14ac:dyDescent="0.3">
      <c r="A32" s="2">
        <v>31</v>
      </c>
      <c r="B32" s="7" t="s">
        <v>58</v>
      </c>
      <c r="C32" s="7">
        <v>79.352000000000004</v>
      </c>
      <c r="D32" s="7">
        <v>6.391</v>
      </c>
      <c r="E32" s="7">
        <v>18.05</v>
      </c>
      <c r="F32" s="7">
        <v>1357.9</v>
      </c>
      <c r="G32" s="7" t="s">
        <v>22</v>
      </c>
      <c r="H32" s="7">
        <v>17.8</v>
      </c>
      <c r="J32" s="8">
        <f t="shared" si="0"/>
        <v>65.347518120643741</v>
      </c>
      <c r="K32" s="8">
        <f t="shared" si="1"/>
        <v>2.0787359935385528</v>
      </c>
      <c r="L32" s="8">
        <f t="shared" si="2"/>
        <v>80.238513888888889</v>
      </c>
      <c r="M32" s="9">
        <f t="shared" si="3"/>
        <v>9.0156666666666556</v>
      </c>
      <c r="N32" s="9">
        <f t="shared" si="4"/>
        <v>65.7246351195611</v>
      </c>
      <c r="O32" s="9">
        <f t="shared" si="5"/>
        <v>3.9419139890477162</v>
      </c>
      <c r="AF32" s="5" t="s">
        <v>180</v>
      </c>
      <c r="AG32" s="5">
        <f>SLOPE(S9:S14,P9:P14)</f>
        <v>-5.2916666666666647E-2</v>
      </c>
    </row>
    <row r="33" spans="1:33" x14ac:dyDescent="0.3">
      <c r="A33" s="2">
        <v>32</v>
      </c>
      <c r="B33" s="7" t="s">
        <v>67</v>
      </c>
      <c r="C33" s="7">
        <v>86.122</v>
      </c>
      <c r="D33" s="7">
        <v>5.57</v>
      </c>
      <c r="E33" s="7">
        <v>17.510999999999999</v>
      </c>
      <c r="F33" s="7">
        <v>1360</v>
      </c>
      <c r="G33" s="7" t="s">
        <v>12</v>
      </c>
      <c r="H33" s="7">
        <v>17.3</v>
      </c>
      <c r="J33" s="8">
        <f t="shared" si="0"/>
        <v>72.517470362332318</v>
      </c>
      <c r="K33" s="8">
        <f t="shared" si="1"/>
        <v>1.24309897996726</v>
      </c>
      <c r="L33" s="8">
        <f t="shared" si="2"/>
        <v>87.037111111111116</v>
      </c>
      <c r="M33" s="9">
        <f t="shared" si="3"/>
        <v>8.2793333333333212</v>
      </c>
      <c r="N33" s="9">
        <f t="shared" si="4"/>
        <v>72.907125044870668</v>
      </c>
      <c r="O33" s="9">
        <f t="shared" si="5"/>
        <v>3.1963166366965705</v>
      </c>
      <c r="AF33" s="5" t="s">
        <v>181</v>
      </c>
      <c r="AG33" s="5">
        <f>SLOPE(S15:S20,P15:P20)</f>
        <v>3.8749999999999987E-3</v>
      </c>
    </row>
    <row r="34" spans="1:33" x14ac:dyDescent="0.3">
      <c r="A34" s="2">
        <v>33</v>
      </c>
      <c r="B34" s="7" t="s">
        <v>75</v>
      </c>
      <c r="C34" s="7">
        <v>80.831999999999994</v>
      </c>
      <c r="D34" s="7">
        <v>5</v>
      </c>
      <c r="E34" s="7">
        <v>15.121</v>
      </c>
      <c r="F34" s="7">
        <v>1358.7</v>
      </c>
      <c r="G34" s="7" t="s">
        <v>12</v>
      </c>
      <c r="H34" s="7">
        <v>16.899999999999999</v>
      </c>
      <c r="J34" s="8">
        <f t="shared" si="0"/>
        <v>66.914952288693826</v>
      </c>
      <c r="K34" s="8">
        <f t="shared" si="1"/>
        <v>0.66293686335868873</v>
      </c>
      <c r="L34" s="8">
        <f t="shared" si="2"/>
        <v>81.775708333333327</v>
      </c>
      <c r="M34" s="9">
        <f t="shared" si="3"/>
        <v>7.793999999999988</v>
      </c>
      <c r="N34" s="9">
        <f t="shared" si="4"/>
        <v>67.348629489219491</v>
      </c>
      <c r="O34" s="9">
        <f t="shared" si="5"/>
        <v>2.7048771867086741</v>
      </c>
      <c r="AF34" s="5" t="s">
        <v>182</v>
      </c>
      <c r="AG34" s="5">
        <f>AVERAGE(AG31:AG32)</f>
        <v>-8.4666666666666293E-2</v>
      </c>
    </row>
    <row r="35" spans="1:33" x14ac:dyDescent="0.3">
      <c r="A35" s="54">
        <v>34</v>
      </c>
      <c r="B35" s="55" t="s">
        <v>81</v>
      </c>
      <c r="C35" s="55">
        <v>1008.994</v>
      </c>
      <c r="D35" s="55">
        <v>545.80499999999995</v>
      </c>
      <c r="E35" s="7">
        <v>1.321</v>
      </c>
      <c r="F35" s="7">
        <v>1330.3</v>
      </c>
      <c r="G35" s="7" t="s">
        <v>43</v>
      </c>
      <c r="H35" s="7">
        <v>8.6</v>
      </c>
      <c r="J35" s="8">
        <f t="shared" si="0"/>
        <v>1049.9101092384949</v>
      </c>
      <c r="K35" s="8">
        <f t="shared" si="1"/>
        <v>551.10955699054887</v>
      </c>
      <c r="L35" s="8">
        <f t="shared" si="2"/>
        <v>1009.9663055555556</v>
      </c>
      <c r="M35" s="9">
        <f t="shared" si="3"/>
        <v>548.68366666666657</v>
      </c>
      <c r="N35" s="9">
        <f t="shared" si="4"/>
        <v>1047.9508618915931</v>
      </c>
      <c r="O35" s="9">
        <f t="shared" si="5"/>
        <v>550.399630533145</v>
      </c>
    </row>
    <row r="36" spans="1:33" x14ac:dyDescent="0.3">
      <c r="A36" s="2">
        <v>35</v>
      </c>
      <c r="B36" s="7" t="s">
        <v>87</v>
      </c>
      <c r="C36" s="7">
        <v>79.33</v>
      </c>
      <c r="D36" s="7">
        <v>6.2320000000000002</v>
      </c>
      <c r="E36" s="7">
        <v>16.036000000000001</v>
      </c>
      <c r="F36" s="7">
        <v>1357.5</v>
      </c>
      <c r="G36" s="7" t="s">
        <v>22</v>
      </c>
      <c r="H36" s="7">
        <v>16.899999999999999</v>
      </c>
      <c r="J36" s="8">
        <f t="shared" si="0"/>
        <v>65.324218423551088</v>
      </c>
      <c r="K36" s="8">
        <f t="shared" si="1"/>
        <v>1.9169012978530038</v>
      </c>
      <c r="L36" s="8">
        <f t="shared" si="2"/>
        <v>80.33090277777778</v>
      </c>
      <c r="M36" s="9">
        <f t="shared" si="3"/>
        <v>9.1953333333333198</v>
      </c>
      <c r="N36" s="9">
        <f t="shared" si="4"/>
        <v>65.82224088174479</v>
      </c>
      <c r="O36" s="9">
        <f t="shared" si="5"/>
        <v>4.1238410931297711</v>
      </c>
    </row>
    <row r="37" spans="1:33" x14ac:dyDescent="0.3">
      <c r="A37" s="2">
        <v>36</v>
      </c>
      <c r="B37" s="7" t="s">
        <v>93</v>
      </c>
      <c r="C37" s="7">
        <v>86.043000000000006</v>
      </c>
      <c r="D37" s="7">
        <v>4.6139999999999999</v>
      </c>
      <c r="E37" s="7">
        <v>18.103999999999999</v>
      </c>
      <c r="F37" s="7">
        <v>1358.5</v>
      </c>
      <c r="G37" s="7" t="s">
        <v>22</v>
      </c>
      <c r="H37" s="7">
        <v>17.3</v>
      </c>
      <c r="J37" s="8">
        <f t="shared" si="0"/>
        <v>72.433803268226939</v>
      </c>
      <c r="K37" s="8">
        <f t="shared" si="1"/>
        <v>0.27005514930446317</v>
      </c>
      <c r="L37" s="8">
        <f t="shared" si="2"/>
        <v>87.072500000000005</v>
      </c>
      <c r="M37" s="9">
        <f t="shared" si="3"/>
        <v>7.6619999999999866</v>
      </c>
      <c r="N37" s="9">
        <f t="shared" si="4"/>
        <v>72.944512218960284</v>
      </c>
      <c r="O37" s="9">
        <f t="shared" si="5"/>
        <v>2.5712164571789975</v>
      </c>
    </row>
    <row r="38" spans="1:33" x14ac:dyDescent="0.3">
      <c r="A38" s="2">
        <v>37</v>
      </c>
      <c r="B38" s="7" t="s">
        <v>98</v>
      </c>
      <c r="C38" s="7">
        <v>40.234000000000002</v>
      </c>
      <c r="D38" s="7">
        <v>2.5670000000000002</v>
      </c>
      <c r="E38" s="7">
        <v>18.683</v>
      </c>
      <c r="F38" s="7">
        <v>1358.7</v>
      </c>
      <c r="G38" s="7" t="s">
        <v>12</v>
      </c>
      <c r="H38" s="7">
        <v>17.600000000000001</v>
      </c>
      <c r="J38" s="8">
        <f t="shared" si="0"/>
        <v>23.918538535655003</v>
      </c>
      <c r="K38" s="8">
        <f t="shared" si="1"/>
        <v>-1.8134393291126338</v>
      </c>
      <c r="L38" s="8">
        <f t="shared" si="2"/>
        <v>41.292097222222225</v>
      </c>
      <c r="M38" s="9">
        <f t="shared" si="3"/>
        <v>5.6996666666666531</v>
      </c>
      <c r="N38" s="9">
        <f t="shared" si="4"/>
        <v>24.579052260071222</v>
      </c>
      <c r="O38" s="9">
        <f t="shared" si="5"/>
        <v>0.58419445025677685</v>
      </c>
    </row>
    <row r="39" spans="1:33" x14ac:dyDescent="0.3">
      <c r="A39" s="2"/>
      <c r="B39" s="2"/>
      <c r="C39" s="19"/>
      <c r="D39" s="19"/>
      <c r="E39" s="2"/>
      <c r="F39" s="2"/>
      <c r="G39" s="2"/>
      <c r="H39" s="20"/>
      <c r="J39" s="8"/>
      <c r="K39" s="8"/>
      <c r="L39" s="8"/>
      <c r="M39" s="9"/>
      <c r="N39" s="9"/>
      <c r="O39" s="9"/>
    </row>
    <row r="40" spans="1:33" x14ac:dyDescent="0.3">
      <c r="C40" s="2"/>
      <c r="D40" s="2"/>
      <c r="E40" s="2"/>
      <c r="F40" s="2"/>
      <c r="K40" s="8"/>
      <c r="L40" s="8"/>
      <c r="M40" s="9"/>
      <c r="N40" s="9"/>
      <c r="O40" s="9"/>
    </row>
    <row r="41" spans="1:33" x14ac:dyDescent="0.3">
      <c r="A41" s="2"/>
      <c r="B41" s="5" t="s">
        <v>184</v>
      </c>
      <c r="K41" s="8"/>
      <c r="L41" s="8"/>
      <c r="M41" s="9"/>
      <c r="N41" s="9"/>
      <c r="O41" s="9"/>
    </row>
    <row r="42" spans="1:33" x14ac:dyDescent="0.3">
      <c r="B42" s="2" t="s">
        <v>2</v>
      </c>
      <c r="C42" s="5" t="s">
        <v>165</v>
      </c>
      <c r="D42" s="5" t="s">
        <v>166</v>
      </c>
      <c r="E42" s="2" t="s">
        <v>5</v>
      </c>
      <c r="F42" s="5" t="s">
        <v>185</v>
      </c>
      <c r="G42" s="5" t="s">
        <v>186</v>
      </c>
      <c r="H42" s="4" t="s">
        <v>187</v>
      </c>
      <c r="K42" s="8"/>
      <c r="L42" s="8"/>
      <c r="M42" s="9"/>
      <c r="N42" s="9"/>
      <c r="O42" s="9"/>
    </row>
    <row r="43" spans="1:33" x14ac:dyDescent="0.3">
      <c r="A43" s="5">
        <f t="shared" ref="A43:B51" si="6">A6</f>
        <v>5</v>
      </c>
      <c r="B43" s="5" t="str">
        <f t="shared" si="6"/>
        <v>No124, 50nmolN_#5-1,7h_260528</v>
      </c>
      <c r="C43" s="21">
        <f t="shared" ref="C43:D51" si="7">N6</f>
        <v>64.879960840266619</v>
      </c>
      <c r="D43" s="21">
        <f t="shared" si="7"/>
        <v>-0.14520160154530348</v>
      </c>
      <c r="E43" s="22">
        <f t="shared" ref="E43:E51" si="8">E6</f>
        <v>18.382999999999999</v>
      </c>
      <c r="F43" s="21">
        <v>1.5</v>
      </c>
      <c r="G43" s="21">
        <f t="shared" ref="G43:G69" si="9">$R$64*E43+$R$65</f>
        <v>49.907042869641288</v>
      </c>
      <c r="H43" s="23">
        <f t="shared" ref="H43:H69" si="10">G43/F43</f>
        <v>33.271361913094189</v>
      </c>
      <c r="I43" s="4">
        <f t="shared" ref="I43:I48" si="11">30*10/15.9</f>
        <v>18.867924528301888</v>
      </c>
      <c r="J43" s="21">
        <f t="shared" ref="J43:J69" si="12">ABS(I43-H43)</f>
        <v>14.403437384792301</v>
      </c>
      <c r="K43" s="24"/>
      <c r="L43" s="8"/>
      <c r="M43" s="9"/>
      <c r="N43" s="9"/>
      <c r="O43" s="9"/>
    </row>
    <row r="44" spans="1:33" x14ac:dyDescent="0.3">
      <c r="A44" s="5">
        <f t="shared" si="6"/>
        <v>6</v>
      </c>
      <c r="B44" s="5" t="str">
        <f t="shared" si="6"/>
        <v>No129, 50nmolN_#5-1,7h_260528</v>
      </c>
      <c r="C44" s="21">
        <f t="shared" si="7"/>
        <v>63.25785930634509</v>
      </c>
      <c r="D44" s="21">
        <f t="shared" si="7"/>
        <v>2.0061961005308353</v>
      </c>
      <c r="E44" s="22">
        <f t="shared" si="8"/>
        <v>17.280999999999999</v>
      </c>
      <c r="F44" s="21">
        <v>1.5</v>
      </c>
      <c r="G44" s="21">
        <f t="shared" si="9"/>
        <v>46.894138232720906</v>
      </c>
      <c r="H44" s="23">
        <f t="shared" si="10"/>
        <v>31.262758821813936</v>
      </c>
      <c r="I44" s="4">
        <f t="shared" si="11"/>
        <v>18.867924528301888</v>
      </c>
      <c r="J44" s="21">
        <f t="shared" si="12"/>
        <v>12.394834293512048</v>
      </c>
      <c r="K44" s="24"/>
      <c r="L44" s="8"/>
      <c r="M44" s="9"/>
      <c r="N44" s="9"/>
      <c r="O44" s="9"/>
    </row>
    <row r="45" spans="1:33" x14ac:dyDescent="0.3">
      <c r="A45" s="5">
        <f t="shared" si="6"/>
        <v>7</v>
      </c>
      <c r="B45" s="5" t="str">
        <f t="shared" si="6"/>
        <v>No138, 50nmolN_#5-1,7h_260528</v>
      </c>
      <c r="C45" s="21">
        <f t="shared" si="7"/>
        <v>64.361441233524658</v>
      </c>
      <c r="D45" s="21">
        <f t="shared" si="7"/>
        <v>1.7830906908866044</v>
      </c>
      <c r="E45" s="22">
        <f t="shared" si="8"/>
        <v>17.806000000000001</v>
      </c>
      <c r="F45" s="21">
        <v>1.5</v>
      </c>
      <c r="G45" s="21">
        <f t="shared" si="9"/>
        <v>48.329505686789147</v>
      </c>
      <c r="H45" s="23">
        <f t="shared" si="10"/>
        <v>32.219670457859429</v>
      </c>
      <c r="I45" s="4">
        <f t="shared" si="11"/>
        <v>18.867924528301888</v>
      </c>
      <c r="J45" s="21">
        <f t="shared" si="12"/>
        <v>13.351745929557541</v>
      </c>
      <c r="K45" s="24"/>
      <c r="L45" s="8"/>
      <c r="M45" s="9"/>
      <c r="N45" s="9"/>
      <c r="O45" s="9"/>
    </row>
    <row r="46" spans="1:33" x14ac:dyDescent="0.3">
      <c r="A46" s="5">
        <f t="shared" si="6"/>
        <v>8</v>
      </c>
      <c r="B46" s="5" t="str">
        <f t="shared" si="6"/>
        <v>No150, 50nmolN_#5-1,7h_260528</v>
      </c>
      <c r="C46" s="21">
        <f t="shared" si="7"/>
        <v>70.953366408928986</v>
      </c>
      <c r="D46" s="21">
        <f t="shared" si="7"/>
        <v>0.43298231179897417</v>
      </c>
      <c r="E46" s="22">
        <f t="shared" si="8"/>
        <v>17.167000000000002</v>
      </c>
      <c r="F46" s="21">
        <v>1.5</v>
      </c>
      <c r="G46" s="21">
        <f t="shared" si="9"/>
        <v>46.582458442694673</v>
      </c>
      <c r="H46" s="23">
        <f t="shared" si="10"/>
        <v>31.054972295129783</v>
      </c>
      <c r="I46" s="4">
        <f t="shared" si="11"/>
        <v>18.867924528301888</v>
      </c>
      <c r="J46" s="21">
        <f t="shared" si="12"/>
        <v>12.187047766827895</v>
      </c>
      <c r="K46" s="24"/>
      <c r="L46" s="8"/>
      <c r="M46" s="9"/>
      <c r="N46" s="9"/>
      <c r="O46" s="9"/>
    </row>
    <row r="47" spans="1:33" x14ac:dyDescent="0.3">
      <c r="A47" s="5">
        <f t="shared" si="6"/>
        <v>9</v>
      </c>
      <c r="B47" s="5" t="str">
        <f t="shared" si="6"/>
        <v>No124SA, 50nmolN_#5-1,7h_260528</v>
      </c>
      <c r="C47" s="21">
        <f t="shared" si="7"/>
        <v>65.841756164923424</v>
      </c>
      <c r="D47" s="21">
        <f t="shared" si="7"/>
        <v>9.7480379595697109E-2</v>
      </c>
      <c r="E47" s="22">
        <f t="shared" si="8"/>
        <v>11.71</v>
      </c>
      <c r="F47" s="21">
        <v>1.5</v>
      </c>
      <c r="G47" s="21">
        <f t="shared" si="9"/>
        <v>31.662839020122487</v>
      </c>
      <c r="H47" s="23">
        <f t="shared" si="10"/>
        <v>21.108559346748326</v>
      </c>
      <c r="I47" s="4">
        <f t="shared" si="11"/>
        <v>18.867924528301888</v>
      </c>
      <c r="J47" s="21">
        <f t="shared" si="12"/>
        <v>2.2406348184464377</v>
      </c>
      <c r="K47" s="8"/>
      <c r="L47" s="8"/>
      <c r="M47" s="9"/>
      <c r="N47" s="9"/>
      <c r="O47" s="9"/>
    </row>
    <row r="48" spans="1:33" x14ac:dyDescent="0.3">
      <c r="A48" s="5">
        <f t="shared" si="6"/>
        <v>10</v>
      </c>
      <c r="B48" s="5" t="str">
        <f t="shared" si="6"/>
        <v>No129SA, 50nmolN_#5-1,7h_260528</v>
      </c>
      <c r="C48" s="21">
        <f t="shared" si="7"/>
        <v>63.848834904317265</v>
      </c>
      <c r="D48" s="21">
        <f t="shared" si="7"/>
        <v>2.4929101711919248</v>
      </c>
      <c r="E48" s="22">
        <f t="shared" si="8"/>
        <v>16.678000000000001</v>
      </c>
      <c r="F48" s="21">
        <v>1.5</v>
      </c>
      <c r="G48" s="21">
        <f t="shared" si="9"/>
        <v>45.245516185476816</v>
      </c>
      <c r="H48" s="23">
        <f t="shared" si="10"/>
        <v>30.163677456984544</v>
      </c>
      <c r="I48" s="4">
        <f t="shared" si="11"/>
        <v>18.867924528301888</v>
      </c>
      <c r="J48" s="21">
        <f t="shared" si="12"/>
        <v>11.295752928682656</v>
      </c>
      <c r="K48" s="8"/>
      <c r="L48" s="8"/>
      <c r="M48" s="9"/>
      <c r="N48" s="9"/>
      <c r="O48" s="9"/>
    </row>
    <row r="49" spans="1:18" x14ac:dyDescent="0.3">
      <c r="A49" s="5">
        <f t="shared" si="6"/>
        <v>11</v>
      </c>
      <c r="B49" s="5" t="str">
        <f t="shared" si="6"/>
        <v>No138SA, 50nmolN_#5-1,7h_260528</v>
      </c>
      <c r="C49" s="21">
        <f t="shared" si="7"/>
        <v>64.983054358772733</v>
      </c>
      <c r="D49" s="21">
        <f t="shared" si="7"/>
        <v>1.3432928863988067</v>
      </c>
      <c r="E49" s="22">
        <f t="shared" si="8"/>
        <v>15.82</v>
      </c>
      <c r="F49" s="21">
        <v>1.5</v>
      </c>
      <c r="G49" s="21">
        <f t="shared" si="9"/>
        <v>42.899715660542427</v>
      </c>
      <c r="H49" s="23">
        <f t="shared" si="10"/>
        <v>28.599810440361619</v>
      </c>
      <c r="I49" s="4">
        <f>30*10/17.8</f>
        <v>16.853932584269661</v>
      </c>
      <c r="J49" s="21">
        <f t="shared" si="12"/>
        <v>11.745877856091958</v>
      </c>
      <c r="K49" s="8"/>
      <c r="L49" s="8"/>
      <c r="M49" s="9"/>
      <c r="N49" s="9"/>
      <c r="O49" s="9"/>
    </row>
    <row r="50" spans="1:18" x14ac:dyDescent="0.3">
      <c r="A50" s="5">
        <f t="shared" si="6"/>
        <v>12</v>
      </c>
      <c r="B50" s="5" t="str">
        <f t="shared" si="6"/>
        <v>No150SA, 50nmolN_#5-1,7h_260528</v>
      </c>
      <c r="C50" s="21">
        <f t="shared" si="7"/>
        <v>71.782046959904136</v>
      </c>
      <c r="D50" s="21">
        <f t="shared" si="7"/>
        <v>-8.4784251581134562E-2</v>
      </c>
      <c r="E50" s="22">
        <f t="shared" si="8"/>
        <v>17.457000000000001</v>
      </c>
      <c r="F50" s="21">
        <v>1.5</v>
      </c>
      <c r="G50" s="21">
        <f t="shared" si="9"/>
        <v>47.375328083989501</v>
      </c>
      <c r="H50" s="23">
        <f t="shared" si="10"/>
        <v>31.583552055993</v>
      </c>
      <c r="I50" s="4">
        <f t="shared" ref="I50:I57" si="13">30*10/15.9</f>
        <v>18.867924528301888</v>
      </c>
      <c r="J50" s="21">
        <f t="shared" si="12"/>
        <v>12.715627527691112</v>
      </c>
      <c r="K50" s="8"/>
      <c r="L50" s="8"/>
      <c r="M50" s="9"/>
      <c r="N50" s="9"/>
      <c r="O50" s="9"/>
    </row>
    <row r="51" spans="1:18" x14ac:dyDescent="0.3">
      <c r="A51" s="5">
        <f t="shared" si="6"/>
        <v>13</v>
      </c>
      <c r="B51" s="5" t="str">
        <f t="shared" si="6"/>
        <v>STD_wakoKNO3, 50nmolN_#5-1,7h_260528</v>
      </c>
      <c r="C51" s="21">
        <f t="shared" si="7"/>
        <v>23.398627071232617</v>
      </c>
      <c r="D51" s="21">
        <f t="shared" si="7"/>
        <v>-2.0930704654739847</v>
      </c>
      <c r="E51" s="22">
        <f t="shared" si="8"/>
        <v>19.157</v>
      </c>
      <c r="F51" s="21">
        <v>1.5</v>
      </c>
      <c r="G51" s="21">
        <f t="shared" si="9"/>
        <v>52.023184601924754</v>
      </c>
      <c r="H51" s="23">
        <f t="shared" si="10"/>
        <v>34.682123067949838</v>
      </c>
      <c r="I51" s="4">
        <f t="shared" si="13"/>
        <v>18.867924528301888</v>
      </c>
      <c r="J51" s="21">
        <f t="shared" si="12"/>
        <v>15.814198539647951</v>
      </c>
      <c r="K51" s="8"/>
      <c r="L51" s="8"/>
      <c r="M51" s="9"/>
      <c r="N51" s="9"/>
      <c r="O51" s="9"/>
    </row>
    <row r="52" spans="1:18" x14ac:dyDescent="0.3">
      <c r="A52" s="25">
        <f t="shared" ref="A52:B60" si="14">A18</f>
        <v>17</v>
      </c>
      <c r="B52" s="25" t="str">
        <f t="shared" si="14"/>
        <v>No124, 50nmolN_#5-1,7h_260528</v>
      </c>
      <c r="C52" s="26">
        <f t="shared" ref="C52:D60" si="15">N18</f>
        <v>64.064544812594846</v>
      </c>
      <c r="D52" s="26">
        <f t="shared" si="15"/>
        <v>1.4840416849186902</v>
      </c>
      <c r="E52" s="26">
        <f t="shared" ref="E52:E60" si="16">E18</f>
        <v>18.295999999999999</v>
      </c>
      <c r="F52" s="26">
        <v>1.5</v>
      </c>
      <c r="G52" s="26">
        <f t="shared" si="9"/>
        <v>49.669181977252848</v>
      </c>
      <c r="H52" s="26">
        <f t="shared" si="10"/>
        <v>33.112787984835229</v>
      </c>
      <c r="I52" s="4">
        <f t="shared" si="13"/>
        <v>18.867924528301888</v>
      </c>
      <c r="J52" s="21">
        <f t="shared" si="12"/>
        <v>14.244863456533341</v>
      </c>
      <c r="K52" s="24"/>
      <c r="L52" s="8"/>
      <c r="M52" s="9"/>
      <c r="N52" s="9"/>
      <c r="O52" s="9"/>
    </row>
    <row r="53" spans="1:18" x14ac:dyDescent="0.3">
      <c r="A53" s="5">
        <f t="shared" si="14"/>
        <v>18</v>
      </c>
      <c r="B53" s="5" t="str">
        <f t="shared" si="14"/>
        <v>No129, 50nmolN_#5-1,7h_260528</v>
      </c>
      <c r="C53" s="21">
        <f t="shared" si="15"/>
        <v>62.965394175279918</v>
      </c>
      <c r="D53" s="21">
        <f t="shared" si="15"/>
        <v>3.3964702038963175</v>
      </c>
      <c r="E53" s="21">
        <f t="shared" si="16"/>
        <v>14.608000000000001</v>
      </c>
      <c r="F53" s="21">
        <v>1.5</v>
      </c>
      <c r="G53" s="21">
        <f t="shared" si="9"/>
        <v>39.586067366579172</v>
      </c>
      <c r="H53" s="21">
        <f t="shared" si="10"/>
        <v>26.390711577719447</v>
      </c>
      <c r="I53" s="4">
        <f t="shared" si="13"/>
        <v>18.867924528301888</v>
      </c>
      <c r="J53" s="21">
        <f t="shared" si="12"/>
        <v>7.522787049417559</v>
      </c>
      <c r="K53" s="24"/>
      <c r="L53" s="8"/>
      <c r="M53" s="9"/>
      <c r="N53" s="9"/>
      <c r="O53" s="9"/>
    </row>
    <row r="54" spans="1:18" x14ac:dyDescent="0.3">
      <c r="A54" s="5">
        <f t="shared" si="14"/>
        <v>19</v>
      </c>
      <c r="B54" s="5" t="str">
        <f t="shared" si="14"/>
        <v>No138, 50nmolN_#5-1,7h_260528</v>
      </c>
      <c r="C54" s="21">
        <f t="shared" si="15"/>
        <v>65.07684510319217</v>
      </c>
      <c r="D54" s="21">
        <f t="shared" si="15"/>
        <v>2.6306212258588593</v>
      </c>
      <c r="E54" s="21">
        <f t="shared" si="16"/>
        <v>16.957000000000001</v>
      </c>
      <c r="F54" s="21">
        <v>1.5</v>
      </c>
      <c r="G54" s="21">
        <f t="shared" si="9"/>
        <v>46.008311461067365</v>
      </c>
      <c r="H54" s="21">
        <f t="shared" si="10"/>
        <v>30.672207640711576</v>
      </c>
      <c r="I54" s="4">
        <f t="shared" si="13"/>
        <v>18.867924528301888</v>
      </c>
      <c r="J54" s="21">
        <f t="shared" si="12"/>
        <v>11.804283112409689</v>
      </c>
      <c r="K54" s="24"/>
      <c r="L54" s="8"/>
      <c r="M54" s="9"/>
      <c r="N54" s="9"/>
      <c r="O54" s="9"/>
    </row>
    <row r="55" spans="1:18" x14ac:dyDescent="0.3">
      <c r="A55" s="5">
        <f t="shared" si="14"/>
        <v>20</v>
      </c>
      <c r="B55" s="5" t="str">
        <f t="shared" si="14"/>
        <v>No150, 50nmolN_#5-1,7h_260528</v>
      </c>
      <c r="C55" s="21">
        <f t="shared" si="15"/>
        <v>70.959881285418703</v>
      </c>
      <c r="D55" s="21">
        <f t="shared" si="15"/>
        <v>0.40766777969107526</v>
      </c>
      <c r="E55" s="21">
        <f t="shared" si="16"/>
        <v>17.07</v>
      </c>
      <c r="F55" s="21">
        <v>1.5</v>
      </c>
      <c r="G55" s="21">
        <f t="shared" si="9"/>
        <v>46.317257217847768</v>
      </c>
      <c r="H55" s="21">
        <f t="shared" si="10"/>
        <v>30.878171478565179</v>
      </c>
      <c r="I55" s="4">
        <f t="shared" si="13"/>
        <v>18.867924528301888</v>
      </c>
      <c r="J55" s="21">
        <f t="shared" si="12"/>
        <v>12.010246950263291</v>
      </c>
      <c r="K55" s="24"/>
      <c r="L55" s="8"/>
      <c r="M55" s="9"/>
      <c r="N55" s="9"/>
      <c r="O55" s="9"/>
    </row>
    <row r="56" spans="1:18" x14ac:dyDescent="0.3">
      <c r="A56" s="5">
        <f t="shared" si="14"/>
        <v>21</v>
      </c>
      <c r="B56" s="5" t="str">
        <f t="shared" si="14"/>
        <v>No124SA, 50nmolN_#5-1,7h_260528</v>
      </c>
      <c r="C56" s="21">
        <f t="shared" si="15"/>
        <v>66.478981516714441</v>
      </c>
      <c r="D56" s="21">
        <f t="shared" si="15"/>
        <v>1.8512711640305248</v>
      </c>
      <c r="E56" s="21">
        <f t="shared" si="16"/>
        <v>16.457999999999998</v>
      </c>
      <c r="F56" s="21">
        <v>1.5</v>
      </c>
      <c r="G56" s="21">
        <f t="shared" si="9"/>
        <v>44.644028871391072</v>
      </c>
      <c r="H56" s="21">
        <f t="shared" si="10"/>
        <v>29.762685914260715</v>
      </c>
      <c r="I56" s="4">
        <f t="shared" si="13"/>
        <v>18.867924528301888</v>
      </c>
      <c r="J56" s="21">
        <f t="shared" si="12"/>
        <v>10.894761385958827</v>
      </c>
      <c r="K56" s="8"/>
      <c r="L56" s="8"/>
      <c r="M56" s="9"/>
      <c r="N56" s="9"/>
      <c r="O56" s="9"/>
    </row>
    <row r="57" spans="1:18" x14ac:dyDescent="0.3">
      <c r="A57" s="5">
        <f t="shared" si="14"/>
        <v>22</v>
      </c>
      <c r="B57" s="5" t="str">
        <f t="shared" si="14"/>
        <v>No129SA, 50nmolN_#5-1,7h_260528</v>
      </c>
      <c r="C57" s="21">
        <f t="shared" si="15"/>
        <v>64.740668672435902</v>
      </c>
      <c r="D57" s="21">
        <f t="shared" si="15"/>
        <v>3.4882775736742762</v>
      </c>
      <c r="E57" s="21">
        <f t="shared" si="16"/>
        <v>17.327000000000002</v>
      </c>
      <c r="F57" s="21">
        <v>1.5</v>
      </c>
      <c r="G57" s="21">
        <f t="shared" si="9"/>
        <v>47.019903762029756</v>
      </c>
      <c r="H57" s="21">
        <f t="shared" si="10"/>
        <v>31.346602508019838</v>
      </c>
      <c r="I57" s="4">
        <f t="shared" si="13"/>
        <v>18.867924528301888</v>
      </c>
      <c r="J57" s="21">
        <f t="shared" si="12"/>
        <v>12.478677979717951</v>
      </c>
      <c r="K57" s="8"/>
      <c r="L57" s="8"/>
      <c r="M57" s="9"/>
      <c r="N57" s="9"/>
      <c r="O57" s="9"/>
    </row>
    <row r="58" spans="1:18" x14ac:dyDescent="0.3">
      <c r="A58" s="5">
        <f t="shared" si="14"/>
        <v>23</v>
      </c>
      <c r="B58" s="5" t="str">
        <f t="shared" si="14"/>
        <v>No138SA, 50nmolN_#5-1,7h_260528</v>
      </c>
      <c r="C58" s="21">
        <f t="shared" si="15"/>
        <v>65.842137666699841</v>
      </c>
      <c r="D58" s="21">
        <f t="shared" si="15"/>
        <v>3.6681795151877008</v>
      </c>
      <c r="E58" s="21">
        <f t="shared" si="16"/>
        <v>16.7</v>
      </c>
      <c r="F58" s="21">
        <v>1.5</v>
      </c>
      <c r="G58" s="21">
        <f t="shared" si="9"/>
        <v>45.305664916885391</v>
      </c>
      <c r="H58" s="21">
        <f t="shared" si="10"/>
        <v>30.203776611256927</v>
      </c>
      <c r="I58" s="4">
        <f>30*10/17.8</f>
        <v>16.853932584269661</v>
      </c>
      <c r="J58" s="21">
        <f t="shared" si="12"/>
        <v>13.349844026987267</v>
      </c>
      <c r="K58" s="8"/>
      <c r="L58" s="8"/>
      <c r="M58" s="9"/>
      <c r="N58" s="9"/>
      <c r="O58" s="9"/>
    </row>
    <row r="59" spans="1:18" x14ac:dyDescent="0.3">
      <c r="A59" s="5">
        <f t="shared" si="14"/>
        <v>24</v>
      </c>
      <c r="B59" s="5" t="str">
        <f t="shared" si="14"/>
        <v>No150SA, 50nmolN_#5-1,7h_260528</v>
      </c>
      <c r="C59" s="21">
        <f t="shared" si="15"/>
        <v>72.979199534324437</v>
      </c>
      <c r="D59" s="21">
        <f t="shared" si="15"/>
        <v>1.9494915486091484</v>
      </c>
      <c r="E59" s="21">
        <f t="shared" si="16"/>
        <v>18.07</v>
      </c>
      <c r="F59" s="21">
        <v>1.5</v>
      </c>
      <c r="G59" s="21">
        <f t="shared" si="9"/>
        <v>49.051290463692041</v>
      </c>
      <c r="H59" s="21">
        <f t="shared" si="10"/>
        <v>32.700860309128025</v>
      </c>
      <c r="I59" s="4">
        <f t="shared" ref="I59:I66" si="17">30*10/15.9</f>
        <v>18.867924528301888</v>
      </c>
      <c r="J59" s="21">
        <f t="shared" si="12"/>
        <v>13.832935780826137</v>
      </c>
      <c r="K59" s="8"/>
      <c r="L59" s="8"/>
      <c r="M59" s="9"/>
      <c r="N59" s="9"/>
      <c r="O59" s="9"/>
      <c r="Q59" s="5" t="s">
        <v>188</v>
      </c>
      <c r="R59" s="5" t="s">
        <v>186</v>
      </c>
    </row>
    <row r="60" spans="1:18" x14ac:dyDescent="0.3">
      <c r="A60" s="5">
        <f t="shared" si="14"/>
        <v>25</v>
      </c>
      <c r="B60" s="5" t="str">
        <f t="shared" si="14"/>
        <v>STD_wakoKNO3, 50nmolN_#5-1,7h_260528</v>
      </c>
      <c r="C60" s="21">
        <f t="shared" si="15"/>
        <v>24.49541533216275</v>
      </c>
      <c r="D60" s="21">
        <f t="shared" si="15"/>
        <v>-0.98834428428553522</v>
      </c>
      <c r="E60" s="21">
        <f t="shared" si="16"/>
        <v>17.739999999999998</v>
      </c>
      <c r="F60" s="21">
        <v>1.5</v>
      </c>
      <c r="G60" s="21">
        <f t="shared" si="9"/>
        <v>48.149059492563424</v>
      </c>
      <c r="H60" s="21">
        <f t="shared" si="10"/>
        <v>32.09937299504228</v>
      </c>
      <c r="I60" s="4">
        <f t="shared" si="17"/>
        <v>18.867924528301888</v>
      </c>
      <c r="J60" s="21">
        <f t="shared" si="12"/>
        <v>13.231448466740392</v>
      </c>
      <c r="K60" s="8"/>
      <c r="L60" s="8"/>
      <c r="M60" s="9"/>
      <c r="N60" s="9"/>
      <c r="O60" s="9"/>
      <c r="Q60" s="5">
        <f>E2</f>
        <v>0.129</v>
      </c>
      <c r="R60" s="5">
        <v>0</v>
      </c>
    </row>
    <row r="61" spans="1:18" x14ac:dyDescent="0.3">
      <c r="A61" s="25">
        <f t="shared" ref="A61:B69" si="18">A30</f>
        <v>29</v>
      </c>
      <c r="B61" s="25" t="str">
        <f t="shared" si="18"/>
        <v>No124, 50nmolN_#5-1,7h_260528</v>
      </c>
      <c r="C61" s="26">
        <f t="shared" ref="C61:D69" si="19">N30</f>
        <v>64.820094407658445</v>
      </c>
      <c r="D61" s="26">
        <f t="shared" si="19"/>
        <v>2.2799305743908427</v>
      </c>
      <c r="E61" s="27">
        <f t="shared" ref="E61:E69" si="20">E30</f>
        <v>19.22</v>
      </c>
      <c r="F61" s="26">
        <v>1.5</v>
      </c>
      <c r="G61" s="26">
        <f t="shared" si="9"/>
        <v>52.195428696412947</v>
      </c>
      <c r="H61" s="26">
        <f t="shared" si="10"/>
        <v>34.7969524642753</v>
      </c>
      <c r="I61" s="4">
        <f t="shared" si="17"/>
        <v>18.867924528301888</v>
      </c>
      <c r="J61" s="21">
        <f t="shared" si="12"/>
        <v>15.929027935973412</v>
      </c>
      <c r="K61" s="24"/>
      <c r="L61" s="8"/>
      <c r="M61" s="9"/>
      <c r="N61" s="9"/>
      <c r="O61" s="9"/>
      <c r="Q61" s="5">
        <f>T22</f>
        <v>18.416999999999998</v>
      </c>
      <c r="R61" s="5">
        <v>50</v>
      </c>
    </row>
    <row r="62" spans="1:18" x14ac:dyDescent="0.3">
      <c r="A62" s="5">
        <f t="shared" si="18"/>
        <v>30</v>
      </c>
      <c r="B62" s="5" t="str">
        <f t="shared" si="18"/>
        <v>No129, 50nmolN_#5-1,7h_260528</v>
      </c>
      <c r="C62" s="21">
        <f t="shared" si="19"/>
        <v>64.072747100787979</v>
      </c>
      <c r="D62" s="21">
        <f t="shared" si="19"/>
        <v>4.5832154691143394</v>
      </c>
      <c r="E62" s="22">
        <f t="shared" si="20"/>
        <v>13.065</v>
      </c>
      <c r="F62" s="21">
        <v>1.5</v>
      </c>
      <c r="G62" s="21">
        <f t="shared" si="9"/>
        <v>35.367454068241472</v>
      </c>
      <c r="H62" s="21">
        <f t="shared" si="10"/>
        <v>23.57830271216098</v>
      </c>
      <c r="I62" s="4">
        <f t="shared" si="17"/>
        <v>18.867924528301888</v>
      </c>
      <c r="J62" s="21">
        <f t="shared" si="12"/>
        <v>4.7103781838590919</v>
      </c>
      <c r="K62" s="24"/>
      <c r="L62" s="8"/>
      <c r="M62" s="9"/>
      <c r="N62" s="9"/>
      <c r="O62" s="9"/>
    </row>
    <row r="63" spans="1:18" x14ac:dyDescent="0.3">
      <c r="A63" s="5">
        <f t="shared" si="18"/>
        <v>31</v>
      </c>
      <c r="B63" s="5" t="str">
        <f t="shared" si="18"/>
        <v>No138, 50nmolN_#5-1,7h_260528</v>
      </c>
      <c r="C63" s="21">
        <f t="shared" si="19"/>
        <v>65.7246351195611</v>
      </c>
      <c r="D63" s="21">
        <f t="shared" si="19"/>
        <v>3.9419139890477162</v>
      </c>
      <c r="E63" s="22">
        <f t="shared" si="20"/>
        <v>18.05</v>
      </c>
      <c r="F63" s="21">
        <v>1.5</v>
      </c>
      <c r="G63" s="21">
        <f t="shared" si="9"/>
        <v>48.996609798775154</v>
      </c>
      <c r="H63" s="21">
        <f t="shared" si="10"/>
        <v>32.664406532516772</v>
      </c>
      <c r="I63" s="4">
        <f t="shared" si="17"/>
        <v>18.867924528301888</v>
      </c>
      <c r="J63" s="21">
        <f t="shared" si="12"/>
        <v>13.796482004214884</v>
      </c>
      <c r="K63" s="24"/>
      <c r="L63" s="8"/>
      <c r="M63" s="9"/>
      <c r="N63" s="9"/>
      <c r="O63" s="9"/>
    </row>
    <row r="64" spans="1:18" x14ac:dyDescent="0.3">
      <c r="A64" s="5">
        <f t="shared" si="18"/>
        <v>32</v>
      </c>
      <c r="B64" s="5" t="str">
        <f t="shared" si="18"/>
        <v>No150, 50nmolN_#5-1,7h_260528</v>
      </c>
      <c r="C64" s="21">
        <f t="shared" si="19"/>
        <v>72.907125044870668</v>
      </c>
      <c r="D64" s="21">
        <f t="shared" si="19"/>
        <v>3.1963166366965705</v>
      </c>
      <c r="E64" s="22">
        <f t="shared" si="20"/>
        <v>17.510999999999999</v>
      </c>
      <c r="F64" s="21">
        <v>1.5</v>
      </c>
      <c r="G64" s="21">
        <f t="shared" si="9"/>
        <v>47.522965879265087</v>
      </c>
      <c r="H64" s="21">
        <f t="shared" si="10"/>
        <v>31.681977252843392</v>
      </c>
      <c r="I64" s="4">
        <f t="shared" si="17"/>
        <v>18.867924528301888</v>
      </c>
      <c r="J64" s="21">
        <f t="shared" si="12"/>
        <v>12.814052724541504</v>
      </c>
      <c r="K64" s="24"/>
      <c r="L64" s="8"/>
      <c r="M64" s="9"/>
      <c r="N64" s="9"/>
      <c r="O64" s="9"/>
      <c r="Q64" s="5" t="s">
        <v>189</v>
      </c>
      <c r="R64" s="5">
        <f>SLOPE(R60:R61,Q60:Q61)</f>
        <v>2.7340332458442695</v>
      </c>
    </row>
    <row r="65" spans="1:30" x14ac:dyDescent="0.3">
      <c r="A65" s="5">
        <f t="shared" si="18"/>
        <v>33</v>
      </c>
      <c r="B65" s="5" t="str">
        <f t="shared" si="18"/>
        <v>No124SA, 50nmolN_#5-1,7h_260528</v>
      </c>
      <c r="C65" s="21">
        <f t="shared" si="19"/>
        <v>67.348629489219491</v>
      </c>
      <c r="D65" s="21">
        <f t="shared" si="19"/>
        <v>2.7048771867086741</v>
      </c>
      <c r="E65" s="22">
        <f t="shared" si="20"/>
        <v>15.121</v>
      </c>
      <c r="F65" s="21">
        <v>1.5</v>
      </c>
      <c r="G65" s="21">
        <f t="shared" si="9"/>
        <v>40.98862642169729</v>
      </c>
      <c r="H65" s="21">
        <f t="shared" si="10"/>
        <v>27.325750947798195</v>
      </c>
      <c r="I65" s="4">
        <f t="shared" si="17"/>
        <v>18.867924528301888</v>
      </c>
      <c r="J65" s="21">
        <f t="shared" si="12"/>
        <v>8.4578264194963069</v>
      </c>
      <c r="K65" s="8"/>
      <c r="L65" s="8"/>
      <c r="M65" s="9"/>
      <c r="N65" s="9"/>
      <c r="O65" s="9"/>
      <c r="Q65" s="5" t="s">
        <v>190</v>
      </c>
      <c r="R65" s="5">
        <f>INTERCEPT(R60:R61,Q60:Q61)</f>
        <v>-0.35269028871391228</v>
      </c>
    </row>
    <row r="66" spans="1:30" x14ac:dyDescent="0.3">
      <c r="A66" s="5">
        <f t="shared" si="18"/>
        <v>34</v>
      </c>
      <c r="B66" s="5" t="str">
        <f t="shared" si="18"/>
        <v>No129SA, 50nmolN_#5-1,7h_260528</v>
      </c>
      <c r="C66" s="21">
        <f t="shared" si="19"/>
        <v>1047.9508618915931</v>
      </c>
      <c r="D66" s="21">
        <f t="shared" si="19"/>
        <v>550.399630533145</v>
      </c>
      <c r="E66" s="22">
        <f t="shared" si="20"/>
        <v>1.321</v>
      </c>
      <c r="F66" s="21">
        <v>1.5</v>
      </c>
      <c r="G66" s="21">
        <f t="shared" si="9"/>
        <v>3.2589676290463676</v>
      </c>
      <c r="H66" s="21">
        <f t="shared" si="10"/>
        <v>2.1726450860309119</v>
      </c>
      <c r="I66" s="4">
        <f t="shared" si="17"/>
        <v>18.867924528301888</v>
      </c>
      <c r="J66" s="21">
        <f t="shared" si="12"/>
        <v>16.695279442270976</v>
      </c>
      <c r="K66" s="8"/>
      <c r="L66" s="8"/>
      <c r="M66" s="9"/>
      <c r="N66" s="9"/>
      <c r="O66" s="9"/>
    </row>
    <row r="67" spans="1:30" x14ac:dyDescent="0.3">
      <c r="A67" s="5">
        <f t="shared" si="18"/>
        <v>35</v>
      </c>
      <c r="B67" s="5" t="str">
        <f t="shared" si="18"/>
        <v>No138SA, 50nmolN_#5-1,7h_260528</v>
      </c>
      <c r="C67" s="21">
        <f t="shared" si="19"/>
        <v>65.82224088174479</v>
      </c>
      <c r="D67" s="21">
        <f t="shared" si="19"/>
        <v>4.1238410931297711</v>
      </c>
      <c r="E67" s="22">
        <f t="shared" si="20"/>
        <v>16.036000000000001</v>
      </c>
      <c r="F67" s="21">
        <v>1.5</v>
      </c>
      <c r="G67" s="21">
        <f t="shared" si="9"/>
        <v>43.490266841644797</v>
      </c>
      <c r="H67" s="21">
        <f t="shared" si="10"/>
        <v>28.993511227763197</v>
      </c>
      <c r="I67" s="4">
        <f>30*10/17.8</f>
        <v>16.853932584269661</v>
      </c>
      <c r="J67" s="21">
        <f t="shared" si="12"/>
        <v>12.139578643493536</v>
      </c>
      <c r="K67" s="8"/>
      <c r="L67" s="8"/>
      <c r="M67" s="9"/>
      <c r="N67" s="9"/>
      <c r="O67" s="9"/>
    </row>
    <row r="68" spans="1:30" x14ac:dyDescent="0.3">
      <c r="A68" s="5">
        <f t="shared" si="18"/>
        <v>36</v>
      </c>
      <c r="B68" s="5" t="str">
        <f t="shared" si="18"/>
        <v>No150SA, 50nmolN_#5-1,7h_260528</v>
      </c>
      <c r="C68" s="21">
        <f t="shared" si="19"/>
        <v>72.944512218960284</v>
      </c>
      <c r="D68" s="21">
        <f t="shared" si="19"/>
        <v>2.5712164571789975</v>
      </c>
      <c r="E68" s="22">
        <f t="shared" si="20"/>
        <v>18.103999999999999</v>
      </c>
      <c r="F68" s="21">
        <v>1.5</v>
      </c>
      <c r="G68" s="21">
        <f t="shared" si="9"/>
        <v>49.144247594050739</v>
      </c>
      <c r="H68" s="21">
        <f t="shared" si="10"/>
        <v>32.762831729367157</v>
      </c>
      <c r="I68" s="4">
        <f>30*10/15.9</f>
        <v>18.867924528301888</v>
      </c>
      <c r="J68" s="21">
        <f t="shared" si="12"/>
        <v>13.894907201065269</v>
      </c>
      <c r="K68" s="8"/>
      <c r="L68" s="8"/>
      <c r="M68" s="9"/>
      <c r="N68" s="9"/>
      <c r="O68" s="9"/>
    </row>
    <row r="69" spans="1:30" x14ac:dyDescent="0.3">
      <c r="A69" s="5">
        <f t="shared" si="18"/>
        <v>37</v>
      </c>
      <c r="B69" s="5" t="str">
        <f t="shared" si="18"/>
        <v>STD_wakoKNO3, 50nmolN_#5-1,7h_260528</v>
      </c>
      <c r="C69" s="21">
        <f t="shared" si="19"/>
        <v>24.579052260071222</v>
      </c>
      <c r="D69" s="21">
        <f t="shared" si="19"/>
        <v>0.58419445025677685</v>
      </c>
      <c r="E69" s="22">
        <f t="shared" si="20"/>
        <v>18.683</v>
      </c>
      <c r="F69" s="21">
        <v>1.5</v>
      </c>
      <c r="G69" s="21">
        <f t="shared" si="9"/>
        <v>50.727252843394581</v>
      </c>
      <c r="H69" s="21">
        <f t="shared" si="10"/>
        <v>33.818168562263054</v>
      </c>
      <c r="I69" s="4">
        <f>30*10/15.9</f>
        <v>18.867924528301888</v>
      </c>
      <c r="J69" s="21">
        <f t="shared" si="12"/>
        <v>14.950244033961166</v>
      </c>
      <c r="K69" s="8"/>
      <c r="L69" s="8"/>
      <c r="M69" s="9"/>
      <c r="N69" s="9"/>
      <c r="O69" s="9"/>
    </row>
    <row r="70" spans="1:30" ht="14.5" thickBot="1" x14ac:dyDescent="0.35">
      <c r="A70" s="2"/>
      <c r="C70" s="9"/>
      <c r="D70" s="9"/>
      <c r="E70" s="2"/>
      <c r="G70" s="9"/>
      <c r="H70" s="24"/>
      <c r="K70" s="8"/>
      <c r="L70" s="8"/>
      <c r="M70" s="9"/>
      <c r="N70" s="9"/>
      <c r="O70" s="9"/>
    </row>
    <row r="71" spans="1:30" x14ac:dyDescent="0.3">
      <c r="A71" s="2"/>
      <c r="B71" s="28"/>
      <c r="C71" s="29" t="s">
        <v>191</v>
      </c>
      <c r="D71" s="30" t="s">
        <v>192</v>
      </c>
      <c r="E71" s="29" t="s">
        <v>193</v>
      </c>
      <c r="F71" s="30" t="s">
        <v>192</v>
      </c>
      <c r="G71" s="31" t="s">
        <v>194</v>
      </c>
      <c r="H71" s="5" t="s">
        <v>195</v>
      </c>
      <c r="I71" s="5"/>
      <c r="K71" s="8"/>
      <c r="L71" s="8"/>
      <c r="M71" s="6" t="s">
        <v>196</v>
      </c>
      <c r="N71" s="5" t="s">
        <v>175</v>
      </c>
      <c r="P71" s="5" t="s">
        <v>177</v>
      </c>
      <c r="Q71" s="9"/>
      <c r="R71" s="9"/>
      <c r="S71" s="9"/>
      <c r="T71" s="9"/>
    </row>
    <row r="72" spans="1:30" x14ac:dyDescent="0.3">
      <c r="B72" s="32" t="str">
        <f>B43</f>
        <v>No124, 50nmolN_#5-1,7h_260528</v>
      </c>
      <c r="C72" s="24">
        <f>AVERAGE(C43,C52,C61)</f>
        <v>64.588200020173304</v>
      </c>
      <c r="D72" s="24">
        <f>STDEV(C43,C52,C61)</f>
        <v>0.45448551105215135</v>
      </c>
      <c r="E72" s="33">
        <f>AVERAGE(D43,D52,D61)</f>
        <v>1.2062568859214098</v>
      </c>
      <c r="F72" s="24">
        <f>STDEV(D43,D52,D61)</f>
        <v>1.2361997466452039</v>
      </c>
      <c r="G72" s="34">
        <f t="shared" ref="G72:G80" si="21">AVERAGE(E43,E52,E61)</f>
        <v>18.632999999999999</v>
      </c>
      <c r="H72" s="21">
        <f t="shared" ref="H72:H80" si="22">AVERAGE(H43,H52,H61)</f>
        <v>33.727034120734906</v>
      </c>
      <c r="I72" s="4">
        <f t="shared" ref="I72:I77" si="23">30*10/15.9</f>
        <v>18.867924528301888</v>
      </c>
      <c r="J72" s="21">
        <f t="shared" ref="J72:J80" si="24">H72/I72</f>
        <v>1.7875328083989499</v>
      </c>
      <c r="K72" s="8"/>
      <c r="L72" s="8"/>
      <c r="M72" s="18"/>
      <c r="N72" s="2" t="s">
        <v>3</v>
      </c>
      <c r="O72" s="2" t="s">
        <v>4</v>
      </c>
      <c r="P72" s="2" t="s">
        <v>3</v>
      </c>
      <c r="Q72" s="2" t="s">
        <v>4</v>
      </c>
      <c r="R72" s="9"/>
      <c r="S72" s="9"/>
      <c r="T72" s="9"/>
    </row>
    <row r="73" spans="1:30" x14ac:dyDescent="0.3">
      <c r="B73" s="32" t="str">
        <f>B44</f>
        <v>No129, 50nmolN_#5-1,7h_260528</v>
      </c>
      <c r="C73" s="24">
        <f>AVERAGE(C44,C53,C62)</f>
        <v>63.432000194137665</v>
      </c>
      <c r="D73" s="24">
        <f>STDEV(C44,C53,C62)</f>
        <v>0.57384789971620864</v>
      </c>
      <c r="E73" s="24">
        <f>AVERAGE(D44,D53,D62)</f>
        <v>3.3286272578471645</v>
      </c>
      <c r="F73" s="24">
        <f>STDEV(D44,D53,D62)</f>
        <v>1.2898485203736516</v>
      </c>
      <c r="G73" s="34">
        <f t="shared" si="21"/>
        <v>14.984666666666667</v>
      </c>
      <c r="H73" s="21">
        <f t="shared" si="22"/>
        <v>27.077257703898123</v>
      </c>
      <c r="I73" s="4">
        <f t="shared" si="23"/>
        <v>18.867924528301888</v>
      </c>
      <c r="J73" s="21">
        <f t="shared" si="24"/>
        <v>1.4350946583066004</v>
      </c>
      <c r="K73" s="8"/>
      <c r="L73" s="8"/>
      <c r="N73" s="24">
        <f>AA21</f>
        <v>1.0564664577911074</v>
      </c>
      <c r="O73" s="24">
        <f>AB21</f>
        <v>1.0125812843157227</v>
      </c>
      <c r="P73" s="24">
        <f>AA22</f>
        <v>-19.044663427055916</v>
      </c>
      <c r="Q73" s="24">
        <f>AB22</f>
        <v>-5.1871813432480565</v>
      </c>
      <c r="R73" s="9"/>
      <c r="S73" s="9"/>
      <c r="T73" s="9"/>
      <c r="Y73" s="2"/>
      <c r="Z73" s="7"/>
      <c r="AA73" s="7"/>
      <c r="AB73" s="7"/>
      <c r="AC73" s="7"/>
      <c r="AD73" s="7"/>
    </row>
    <row r="74" spans="1:30" x14ac:dyDescent="0.3">
      <c r="B74" s="32" t="str">
        <f>B45</f>
        <v>No138, 50nmolN_#5-1,7h_260528</v>
      </c>
      <c r="C74" s="24">
        <f>AVERAGE(C45,C54,C63)</f>
        <v>65.054307152092647</v>
      </c>
      <c r="D74" s="24">
        <f>STDEV(C45,C54,C63)</f>
        <v>0.68187635401266644</v>
      </c>
      <c r="E74" s="24">
        <f>AVERAGE(D45,D54,D63)</f>
        <v>2.785208635264393</v>
      </c>
      <c r="F74" s="24">
        <f>STDEV(D45,D54,D63)</f>
        <v>1.0876821495872973</v>
      </c>
      <c r="G74" s="34">
        <f t="shared" si="21"/>
        <v>17.604333333333333</v>
      </c>
      <c r="H74" s="21">
        <f t="shared" si="22"/>
        <v>31.852094877029259</v>
      </c>
      <c r="I74" s="4">
        <f t="shared" si="23"/>
        <v>18.867924528301888</v>
      </c>
      <c r="J74" s="21">
        <f t="shared" si="24"/>
        <v>1.6881610284825506</v>
      </c>
      <c r="K74" s="35"/>
      <c r="L74" s="8"/>
      <c r="P74" s="9"/>
      <c r="Q74" s="9"/>
      <c r="R74" s="9"/>
      <c r="S74" s="9"/>
      <c r="T74" s="9"/>
      <c r="Y74" s="2"/>
      <c r="Z74" s="7"/>
      <c r="AA74" s="7"/>
      <c r="AB74" s="7"/>
      <c r="AC74" s="7"/>
      <c r="AD74" s="7"/>
    </row>
    <row r="75" spans="1:30" x14ac:dyDescent="0.3">
      <c r="B75" s="32" t="str">
        <f>B46</f>
        <v>No150, 50nmolN_#5-1,7h_260528</v>
      </c>
      <c r="C75" s="24">
        <f>AVERAGE(C46,C55,C64)</f>
        <v>71.606790913072786</v>
      </c>
      <c r="D75" s="24">
        <f>STDEV(C46,C55,C64)</f>
        <v>1.1261271027920574</v>
      </c>
      <c r="E75" s="24">
        <f>AVERAGE(D46,D55,D64)</f>
        <v>1.3456555760622066</v>
      </c>
      <c r="F75" s="24">
        <f>STDEV(D46,D55,D64)</f>
        <v>1.6027694710703693</v>
      </c>
      <c r="G75" s="34">
        <f t="shared" si="21"/>
        <v>17.249333333333336</v>
      </c>
      <c r="H75" s="21">
        <f t="shared" si="22"/>
        <v>31.205040342179455</v>
      </c>
      <c r="I75" s="4">
        <f t="shared" si="23"/>
        <v>18.867924528301888</v>
      </c>
      <c r="J75" s="21">
        <f t="shared" si="24"/>
        <v>1.653867138135511</v>
      </c>
      <c r="K75" s="8"/>
      <c r="L75" s="8"/>
      <c r="M75" s="9"/>
      <c r="N75" s="9"/>
      <c r="O75" s="9"/>
      <c r="Y75" s="2"/>
      <c r="Z75" s="7"/>
      <c r="AA75" s="7"/>
      <c r="AB75" s="7"/>
      <c r="AC75" s="7"/>
      <c r="AD75" s="7"/>
    </row>
    <row r="76" spans="1:30" x14ac:dyDescent="0.3">
      <c r="B76" s="32" t="str">
        <f>B47</f>
        <v>No124SA, 50nmolN_#5-1,7h_260528</v>
      </c>
      <c r="C76" s="24">
        <f>AVERAGE(C47,C56,C65)</f>
        <v>66.556455723619123</v>
      </c>
      <c r="D76" s="24">
        <f>STDEV(C47,C56,C65)</f>
        <v>0.75641820008537664</v>
      </c>
      <c r="E76" s="24">
        <f>AVERAGE(D47,D56,D65)</f>
        <v>1.5512095767782987</v>
      </c>
      <c r="F76" s="24">
        <f>STDEV(D47,D56,D65)</f>
        <v>1.3293446673244604</v>
      </c>
      <c r="G76" s="34">
        <f t="shared" si="21"/>
        <v>14.429666666666668</v>
      </c>
      <c r="H76" s="21">
        <f t="shared" si="22"/>
        <v>26.065665402935746</v>
      </c>
      <c r="I76" s="4">
        <f t="shared" si="23"/>
        <v>18.867924528301888</v>
      </c>
      <c r="J76" s="21">
        <f t="shared" si="24"/>
        <v>1.3814802663555945</v>
      </c>
      <c r="K76" s="8"/>
      <c r="L76" s="8"/>
      <c r="M76" s="9"/>
      <c r="N76" s="9"/>
      <c r="O76" s="9"/>
      <c r="Y76" s="7"/>
      <c r="Z76" s="7"/>
      <c r="AA76" s="7"/>
      <c r="AB76" s="7"/>
      <c r="AC76" s="7"/>
      <c r="AD76" s="7"/>
    </row>
    <row r="77" spans="1:30" x14ac:dyDescent="0.3">
      <c r="B77" s="32" t="str">
        <f>B48</f>
        <v>No129SA, 50nmolN_#5-1,7h_260528</v>
      </c>
      <c r="C77" s="24">
        <f>AVERAGE(C48,C57,C66)</f>
        <v>392.18012182278216</v>
      </c>
      <c r="D77" s="24">
        <f>STDEV(C48,C57,C66)</f>
        <v>567.91429502140954</v>
      </c>
      <c r="E77" s="24">
        <f>AVERAGE(D48,D57,D66)</f>
        <v>185.46027275933707</v>
      </c>
      <c r="F77" s="24">
        <f>STDEV(D48,D57,D66)</f>
        <v>316.04714652775465</v>
      </c>
      <c r="G77" s="34">
        <f>AVERAGE(E48,E57,E66)</f>
        <v>11.775333333333334</v>
      </c>
      <c r="H77" s="21">
        <f t="shared" si="22"/>
        <v>21.227641683678431</v>
      </c>
      <c r="I77" s="4">
        <f t="shared" si="23"/>
        <v>18.867924528301888</v>
      </c>
      <c r="J77" s="21">
        <f t="shared" si="24"/>
        <v>1.1250650092349568</v>
      </c>
      <c r="K77" s="5"/>
      <c r="L77" s="5"/>
      <c r="Y77" s="7"/>
      <c r="Z77" s="7"/>
      <c r="AA77" s="7"/>
      <c r="AB77" s="7"/>
      <c r="AC77" s="7"/>
      <c r="AD77" s="7"/>
    </row>
    <row r="78" spans="1:30" x14ac:dyDescent="0.3">
      <c r="B78" s="32" t="str">
        <f>B49</f>
        <v>No138SA, 50nmolN_#5-1,7h_260528</v>
      </c>
      <c r="C78" s="24">
        <f>AVERAGE(C49,C58,C67)</f>
        <v>65.549144302405793</v>
      </c>
      <c r="D78" s="24">
        <f>STDEV(C49,C58,C67)</f>
        <v>0.49034920079953559</v>
      </c>
      <c r="E78" s="33">
        <f>AVERAGE(D49,D58,D67)</f>
        <v>3.0451044982387594</v>
      </c>
      <c r="F78" s="24">
        <f>STDEV(D49,D58,D67)</f>
        <v>1.4913178534598643</v>
      </c>
      <c r="G78" s="34">
        <f t="shared" si="21"/>
        <v>16.185333333333332</v>
      </c>
      <c r="H78" s="21">
        <f t="shared" si="22"/>
        <v>29.265699426460582</v>
      </c>
      <c r="I78" s="4">
        <f>30*10/17.8</f>
        <v>16.853932584269661</v>
      </c>
      <c r="J78" s="21">
        <f t="shared" si="24"/>
        <v>1.7364314993033281</v>
      </c>
      <c r="K78" s="5"/>
      <c r="L78" s="2"/>
      <c r="M78" s="18"/>
      <c r="N78" s="18"/>
      <c r="O78" s="18"/>
      <c r="P78" s="18"/>
      <c r="Q78" s="36"/>
      <c r="Y78" s="7"/>
      <c r="Z78" s="7"/>
      <c r="AA78" s="7"/>
      <c r="AB78" s="7"/>
      <c r="AC78" s="7"/>
      <c r="AD78" s="7"/>
    </row>
    <row r="79" spans="1:30" x14ac:dyDescent="0.3">
      <c r="B79" s="32" t="str">
        <f>B50</f>
        <v>No150SA, 50nmolN_#5-1,7h_260528</v>
      </c>
      <c r="C79" s="24">
        <f>AVERAGE(C50,C59,C68)</f>
        <v>72.568586237729619</v>
      </c>
      <c r="D79" s="24">
        <f>STDEV(C50,C59,C68)</f>
        <v>0.68138376054428185</v>
      </c>
      <c r="E79" s="33">
        <f>AVERAGE(D50,D59,D68)</f>
        <v>1.478641251402337</v>
      </c>
      <c r="F79" s="24">
        <f>STDEV(D50,D59,D68)</f>
        <v>1.3891939904197641</v>
      </c>
      <c r="G79" s="34">
        <f t="shared" si="21"/>
        <v>17.876999999999999</v>
      </c>
      <c r="H79" s="21">
        <f t="shared" si="22"/>
        <v>32.349081364829395</v>
      </c>
      <c r="I79" s="4">
        <f>30*10/15.9</f>
        <v>18.867924528301888</v>
      </c>
      <c r="J79" s="21">
        <f t="shared" si="24"/>
        <v>1.7145013123359578</v>
      </c>
      <c r="K79" s="5"/>
      <c r="L79" s="2"/>
      <c r="M79" s="18"/>
      <c r="N79" s="18"/>
      <c r="O79" s="18"/>
      <c r="P79" s="18"/>
      <c r="Q79" s="36"/>
      <c r="Y79" s="7"/>
      <c r="Z79" s="7"/>
      <c r="AA79" s="7"/>
      <c r="AB79" s="7"/>
      <c r="AC79" s="7"/>
      <c r="AD79" s="7"/>
    </row>
    <row r="80" spans="1:30" ht="14.5" thickBot="1" x14ac:dyDescent="0.35">
      <c r="B80" s="37" t="str">
        <f t="shared" ref="B80" si="25">B51</f>
        <v>STD_wakoKNO3, 50nmolN_#5-1,7h_260528</v>
      </c>
      <c r="C80" s="38">
        <f t="shared" ref="C80" si="26">AVERAGE(C51,C60,C69)</f>
        <v>24.157698221155528</v>
      </c>
      <c r="D80" s="38">
        <f t="shared" ref="D80" si="27">STDEV(C51,C60,C69)</f>
        <v>0.65870368293449011</v>
      </c>
      <c r="E80" s="38">
        <f t="shared" ref="E80" si="28">AVERAGE(D51,D60,D69)</f>
        <v>-0.83240676650091439</v>
      </c>
      <c r="F80" s="38">
        <f t="shared" ref="F80" si="29">STDEV(D51,D60,D69)</f>
        <v>1.3454271586898832</v>
      </c>
      <c r="G80" s="39">
        <f t="shared" si="21"/>
        <v>18.526666666666667</v>
      </c>
      <c r="H80" s="21">
        <f t="shared" si="22"/>
        <v>33.533221541751722</v>
      </c>
      <c r="I80" s="4">
        <f>30*10/15.9</f>
        <v>18.867924528301888</v>
      </c>
      <c r="J80" s="21">
        <f t="shared" si="24"/>
        <v>1.7772607417128412</v>
      </c>
      <c r="K80" s="5"/>
      <c r="L80" s="2"/>
      <c r="M80" s="18"/>
      <c r="N80" s="18"/>
      <c r="O80" s="18"/>
      <c r="P80" s="18"/>
      <c r="Q80" s="36"/>
      <c r="Y80" s="7"/>
      <c r="Z80" s="7"/>
      <c r="AA80" s="7"/>
      <c r="AB80" s="7"/>
      <c r="AC80" s="7"/>
      <c r="AD80" s="7"/>
    </row>
    <row r="81" spans="1:30" x14ac:dyDescent="0.3">
      <c r="A81" s="2"/>
      <c r="C81" s="9"/>
      <c r="D81" s="9"/>
      <c r="E81" s="2"/>
      <c r="G81" s="9"/>
      <c r="H81" s="21"/>
      <c r="K81" s="8"/>
      <c r="L81" s="2"/>
      <c r="M81" s="18"/>
      <c r="N81" s="18"/>
      <c r="O81" s="18"/>
      <c r="P81" s="18"/>
      <c r="Q81" s="36"/>
      <c r="Y81" s="7"/>
      <c r="Z81" s="7"/>
      <c r="AA81" s="7"/>
      <c r="AB81" s="7"/>
      <c r="AC81" s="7"/>
      <c r="AD81" s="7"/>
    </row>
    <row r="82" spans="1:30" x14ac:dyDescent="0.3">
      <c r="A82" s="2"/>
      <c r="B82" s="40" t="s">
        <v>197</v>
      </c>
      <c r="C82" s="24"/>
      <c r="D82" s="4"/>
      <c r="E82" s="24"/>
      <c r="F82" s="4"/>
      <c r="G82" s="4"/>
      <c r="L82" s="2"/>
      <c r="M82" s="18"/>
      <c r="N82" s="18"/>
      <c r="O82" s="18"/>
      <c r="P82" s="18"/>
      <c r="Q82" s="36"/>
      <c r="R82" s="18"/>
      <c r="S82" s="7"/>
      <c r="T82" s="7"/>
      <c r="U82" s="7"/>
      <c r="V82" s="7"/>
      <c r="W82" s="7"/>
      <c r="X82" s="7"/>
    </row>
    <row r="83" spans="1:30" x14ac:dyDescent="0.3">
      <c r="A83" s="2"/>
      <c r="B83" s="4" t="s">
        <v>198</v>
      </c>
      <c r="E83" s="41">
        <v>-11.09</v>
      </c>
      <c r="Q83" s="36"/>
      <c r="Y83" s="2"/>
      <c r="Z83" s="2"/>
      <c r="AA83" s="2"/>
      <c r="AB83" s="2"/>
      <c r="AC83" s="2"/>
      <c r="AD83" s="2"/>
    </row>
    <row r="84" spans="1:30" x14ac:dyDescent="0.3">
      <c r="A84" s="2"/>
      <c r="B84" s="4" t="s">
        <v>199</v>
      </c>
      <c r="C84" s="4"/>
      <c r="D84" s="4"/>
      <c r="E84" s="42">
        <v>-8.61</v>
      </c>
      <c r="F84" s="4"/>
      <c r="G84" s="43"/>
      <c r="Y84" s="2"/>
      <c r="Z84" s="19"/>
      <c r="AA84" s="19"/>
      <c r="AB84" s="2"/>
      <c r="AC84" s="2"/>
      <c r="AD84" s="2"/>
    </row>
    <row r="85" spans="1:30" x14ac:dyDescent="0.3">
      <c r="A85" s="2"/>
      <c r="B85" s="4" t="s">
        <v>200</v>
      </c>
      <c r="C85" s="44">
        <v>16.856177490645621</v>
      </c>
      <c r="D85" s="44">
        <v>0.20675747482229231</v>
      </c>
      <c r="E85" s="45">
        <v>-10.168827607413359</v>
      </c>
      <c r="F85" s="44">
        <v>0.11236666592621861</v>
      </c>
      <c r="G85" s="44">
        <v>10.268333333333333</v>
      </c>
      <c r="S85" s="18"/>
      <c r="Y85" s="2"/>
      <c r="Z85" s="7"/>
      <c r="AA85" s="7"/>
      <c r="AB85" s="7"/>
      <c r="AC85" s="7"/>
      <c r="AD85" s="7"/>
    </row>
    <row r="86" spans="1:30" x14ac:dyDescent="0.3">
      <c r="A86" s="2"/>
      <c r="B86" s="4" t="s">
        <v>201</v>
      </c>
      <c r="C86" s="44">
        <v>19.255259556373264</v>
      </c>
      <c r="D86" s="44">
        <v>0.1598252130654618</v>
      </c>
      <c r="E86" s="45">
        <v>-11.277752518982254</v>
      </c>
      <c r="F86" s="44">
        <v>2.3121099453037103E-2</v>
      </c>
      <c r="G86" s="44">
        <v>3.8546666666666667</v>
      </c>
      <c r="N86" s="18"/>
      <c r="O86" s="18"/>
      <c r="P86" s="18"/>
      <c r="Q86" s="9"/>
      <c r="R86" s="9"/>
      <c r="S86" s="18"/>
      <c r="T86" s="18"/>
      <c r="Y86" s="2"/>
      <c r="Z86" s="7"/>
      <c r="AA86" s="7"/>
      <c r="AB86" s="7"/>
      <c r="AC86" s="7"/>
      <c r="AD86" s="7"/>
    </row>
    <row r="87" spans="1:30" x14ac:dyDescent="0.3">
      <c r="A87" s="2"/>
      <c r="B87" s="4" t="s">
        <v>202</v>
      </c>
      <c r="C87" s="24">
        <v>19.25938706098998</v>
      </c>
      <c r="D87" s="24">
        <v>0.33176926588176131</v>
      </c>
      <c r="E87" s="46">
        <v>-9.3360748598715535</v>
      </c>
      <c r="F87" s="24">
        <v>0.15853525249551068</v>
      </c>
      <c r="G87" s="24">
        <v>4.7476666666666665</v>
      </c>
      <c r="N87" s="18"/>
      <c r="O87" s="18"/>
      <c r="P87" s="18"/>
      <c r="Q87" s="9"/>
      <c r="R87" s="9"/>
      <c r="S87" s="18"/>
      <c r="T87" s="18"/>
      <c r="Y87" s="2"/>
      <c r="Z87" s="7"/>
      <c r="AA87" s="7"/>
      <c r="AB87" s="7"/>
      <c r="AC87" s="7"/>
      <c r="AD87" s="7"/>
    </row>
    <row r="88" spans="1:30" x14ac:dyDescent="0.3">
      <c r="A88" s="2"/>
      <c r="B88" s="4" t="s">
        <v>203</v>
      </c>
      <c r="C88" s="24">
        <v>18.620236600968223</v>
      </c>
      <c r="D88" s="24">
        <v>0.16337485289729264</v>
      </c>
      <c r="E88" s="46">
        <v>-10.16040763320083</v>
      </c>
      <c r="F88" s="24">
        <v>0.11432393142279143</v>
      </c>
      <c r="G88" s="24">
        <v>10.448333333333334</v>
      </c>
      <c r="N88" s="18"/>
      <c r="O88" s="18"/>
      <c r="P88" s="18"/>
      <c r="Q88" s="9"/>
      <c r="R88" s="9"/>
      <c r="Y88" s="7"/>
      <c r="Z88" s="7"/>
      <c r="AA88" s="7"/>
      <c r="AB88" s="7"/>
      <c r="AC88" s="7"/>
      <c r="AD88" s="7"/>
    </row>
    <row r="89" spans="1:30" x14ac:dyDescent="0.3">
      <c r="A89" s="2"/>
      <c r="B89" s="47" t="s">
        <v>204</v>
      </c>
      <c r="C89" s="44">
        <v>18.699171227397404</v>
      </c>
      <c r="D89" s="44">
        <v>7.1013804577211584E-2</v>
      </c>
      <c r="E89" s="45">
        <v>-10.386535708845683</v>
      </c>
      <c r="F89" s="44">
        <v>0.28975663635939042</v>
      </c>
      <c r="G89" s="44">
        <v>15.606999999999999</v>
      </c>
      <c r="N89" s="18"/>
      <c r="O89" s="18"/>
      <c r="P89" s="18"/>
      <c r="Q89" s="9"/>
      <c r="R89" s="9"/>
      <c r="Y89" s="7"/>
      <c r="Z89" s="7"/>
      <c r="AA89" s="7"/>
      <c r="AB89" s="7"/>
      <c r="AC89" s="7"/>
      <c r="AD89" s="7"/>
    </row>
    <row r="90" spans="1:30" x14ac:dyDescent="0.3">
      <c r="A90" s="2"/>
      <c r="B90" s="4" t="s">
        <v>205</v>
      </c>
      <c r="C90" s="24">
        <v>19.204495213807487</v>
      </c>
      <c r="D90" s="24">
        <v>0.11700209879806817</v>
      </c>
      <c r="E90" s="46">
        <v>-10.2809468050181</v>
      </c>
      <c r="F90" s="24">
        <v>4.4455459717185689E-2</v>
      </c>
      <c r="G90" s="24">
        <v>14.139000000000001</v>
      </c>
      <c r="N90" s="18"/>
      <c r="O90" s="18"/>
      <c r="P90" s="18"/>
      <c r="Q90" s="9"/>
      <c r="R90" s="9"/>
      <c r="Y90" s="7"/>
      <c r="Z90" s="7"/>
      <c r="AA90" s="7"/>
      <c r="AB90" s="7"/>
      <c r="AC90" s="7"/>
      <c r="AD90" s="7"/>
    </row>
    <row r="91" spans="1:30" x14ac:dyDescent="0.3">
      <c r="A91" s="2"/>
      <c r="B91" s="4" t="s">
        <v>206</v>
      </c>
      <c r="C91" s="24">
        <v>19.347904453763817</v>
      </c>
      <c r="D91" s="24">
        <v>0.31519459189767901</v>
      </c>
      <c r="E91" s="46">
        <v>-10.488238340040988</v>
      </c>
      <c r="F91" s="24">
        <v>0.20116592661666949</v>
      </c>
      <c r="G91" s="24">
        <v>16.831333333333333</v>
      </c>
      <c r="N91" s="18"/>
      <c r="O91" s="18"/>
      <c r="Q91" s="9"/>
      <c r="R91" s="9"/>
      <c r="Y91" s="7"/>
      <c r="Z91" s="7"/>
      <c r="AA91" s="7"/>
      <c r="AB91" s="7"/>
      <c r="AC91" s="7"/>
      <c r="AD91" s="7"/>
    </row>
    <row r="92" spans="1:30" x14ac:dyDescent="0.3">
      <c r="A92" s="2"/>
      <c r="B92" s="4" t="s">
        <v>207</v>
      </c>
      <c r="C92" s="24">
        <v>19.297822116825099</v>
      </c>
      <c r="D92" s="24">
        <v>0.15805034611426041</v>
      </c>
      <c r="E92" s="46">
        <v>-10.124900844397054</v>
      </c>
      <c r="F92" s="24">
        <v>0.3197524508640654</v>
      </c>
      <c r="G92" s="24">
        <v>15.702</v>
      </c>
      <c r="N92" s="18"/>
      <c r="O92" s="18"/>
      <c r="Q92" s="9"/>
      <c r="R92" s="9"/>
      <c r="Y92" s="7"/>
      <c r="Z92" s="7"/>
      <c r="AA92" s="7"/>
      <c r="AB92" s="7"/>
      <c r="AC92" s="7"/>
      <c r="AD92" s="7"/>
    </row>
    <row r="93" spans="1:30" s="4" customFormat="1" x14ac:dyDescent="0.3">
      <c r="A93" s="3"/>
      <c r="B93" s="4" t="s">
        <v>208</v>
      </c>
      <c r="C93" s="24">
        <v>20.487809979857076</v>
      </c>
      <c r="D93" s="24">
        <v>0.10216157102085231</v>
      </c>
      <c r="E93" s="48">
        <v>-11.823064424855957</v>
      </c>
      <c r="F93" s="24">
        <v>0.23334072143836063</v>
      </c>
      <c r="G93" s="24">
        <v>8.8950000000000014</v>
      </c>
      <c r="H93" s="24"/>
      <c r="N93" s="24"/>
      <c r="O93" s="24"/>
      <c r="Q93" s="8"/>
      <c r="R93" s="8"/>
      <c r="Y93" s="49"/>
      <c r="Z93" s="49"/>
      <c r="AA93" s="49"/>
      <c r="AB93" s="49"/>
      <c r="AC93" s="49"/>
      <c r="AD93" s="49"/>
    </row>
    <row r="94" spans="1:30" s="4" customFormat="1" x14ac:dyDescent="0.3">
      <c r="A94" s="3"/>
      <c r="B94" s="4" t="s">
        <v>209</v>
      </c>
      <c r="C94" s="24">
        <v>-6.8491244468306194</v>
      </c>
      <c r="D94" s="24">
        <v>1.4636560392094987E-2</v>
      </c>
      <c r="E94" s="48">
        <v>-7.6818618879557059</v>
      </c>
      <c r="F94" s="24">
        <v>1.0595774372440891</v>
      </c>
      <c r="G94" s="24">
        <v>10.215333333333334</v>
      </c>
      <c r="H94" s="24"/>
      <c r="N94" s="24"/>
      <c r="O94" s="24"/>
      <c r="Q94" s="8"/>
      <c r="R94" s="8"/>
      <c r="S94" s="49"/>
      <c r="T94" s="49"/>
      <c r="U94" s="49"/>
      <c r="V94" s="49"/>
      <c r="W94" s="49"/>
      <c r="X94" s="49"/>
    </row>
    <row r="95" spans="1:30" s="4" customFormat="1" x14ac:dyDescent="0.3">
      <c r="A95" s="3"/>
      <c r="B95" s="4" t="s">
        <v>210</v>
      </c>
      <c r="C95" s="24">
        <v>19.523425255409549</v>
      </c>
      <c r="D95" s="24">
        <v>0.27427154323876196</v>
      </c>
      <c r="E95" s="48">
        <v>-11.53304295278862</v>
      </c>
      <c r="F95" s="24">
        <v>5.640831213928859E-2</v>
      </c>
      <c r="G95" s="24">
        <v>10.099000000000002</v>
      </c>
      <c r="H95" s="24"/>
      <c r="N95" s="24"/>
      <c r="O95" s="24"/>
      <c r="Q95" s="8"/>
      <c r="R95" s="8"/>
      <c r="S95" s="24"/>
      <c r="T95" s="24"/>
      <c r="Y95" s="3"/>
      <c r="Z95" s="3"/>
      <c r="AA95" s="3"/>
      <c r="AB95" s="3"/>
      <c r="AC95" s="49"/>
      <c r="AD95" s="49"/>
    </row>
    <row r="96" spans="1:30" s="4" customFormat="1" x14ac:dyDescent="0.3">
      <c r="A96" s="3"/>
      <c r="B96" s="4" t="s">
        <v>211</v>
      </c>
      <c r="C96" s="24">
        <v>18.502904725669591</v>
      </c>
      <c r="D96" s="24">
        <v>0.28746576679549307</v>
      </c>
      <c r="E96" s="48">
        <v>-11.554458984340059</v>
      </c>
      <c r="F96" s="24">
        <v>0.23271769131018957</v>
      </c>
      <c r="G96" s="24">
        <v>9.6883333333333344</v>
      </c>
      <c r="H96" s="24"/>
      <c r="N96" s="24"/>
      <c r="O96" s="24"/>
      <c r="Q96" s="8"/>
      <c r="R96" s="8"/>
      <c r="S96" s="24"/>
      <c r="T96" s="24"/>
      <c r="Y96" s="3"/>
      <c r="Z96" s="50"/>
      <c r="AA96" s="50"/>
      <c r="AB96" s="3"/>
      <c r="AC96" s="3"/>
      <c r="AD96" s="3"/>
    </row>
    <row r="97" spans="1:30" s="4" customFormat="1" x14ac:dyDescent="0.3">
      <c r="A97" s="3"/>
      <c r="B97" s="4" t="s">
        <v>212</v>
      </c>
      <c r="C97" s="24">
        <v>8.6605633525962897</v>
      </c>
      <c r="D97" s="24">
        <v>0.12577372962162994</v>
      </c>
      <c r="E97" s="48">
        <v>-10.26204750020117</v>
      </c>
      <c r="F97" s="24">
        <v>7.8826609162189629E-2</v>
      </c>
      <c r="G97" s="24">
        <v>8.5220000000000002</v>
      </c>
      <c r="H97" s="24"/>
      <c r="N97" s="24"/>
      <c r="O97" s="24"/>
      <c r="Q97" s="8"/>
      <c r="R97" s="8"/>
      <c r="S97" s="24"/>
      <c r="T97" s="24"/>
      <c r="Y97" s="3"/>
      <c r="Z97" s="49"/>
      <c r="AA97" s="49"/>
      <c r="AB97" s="49"/>
      <c r="AC97" s="49"/>
      <c r="AD97" s="49"/>
    </row>
    <row r="98" spans="1:30" s="4" customFormat="1" x14ac:dyDescent="0.3">
      <c r="A98" s="3"/>
      <c r="B98" s="4" t="s">
        <v>213</v>
      </c>
      <c r="C98" s="24">
        <v>18.405909164512476</v>
      </c>
      <c r="D98" s="24">
        <v>0.37438428477235686</v>
      </c>
      <c r="E98" s="48">
        <v>-11.359262619403587</v>
      </c>
      <c r="F98" s="24">
        <v>0.33155705198985513</v>
      </c>
      <c r="G98" s="24">
        <v>11.723666666666666</v>
      </c>
      <c r="H98" s="24"/>
      <c r="N98" s="24"/>
      <c r="O98" s="24"/>
      <c r="Q98" s="8"/>
      <c r="R98" s="8"/>
      <c r="S98" s="24"/>
      <c r="T98" s="24"/>
      <c r="Y98" s="3"/>
      <c r="Z98" s="49"/>
      <c r="AA98" s="49"/>
      <c r="AB98" s="49"/>
      <c r="AC98" s="49"/>
      <c r="AD98" s="49"/>
    </row>
    <row r="99" spans="1:30" s="4" customFormat="1" x14ac:dyDescent="0.3">
      <c r="A99" s="3"/>
      <c r="B99" s="4" t="s">
        <v>214</v>
      </c>
      <c r="C99" s="24">
        <v>18.362131620926473</v>
      </c>
      <c r="D99" s="24">
        <v>0.37439436877670706</v>
      </c>
      <c r="E99" s="48">
        <v>-10.048584227383344</v>
      </c>
      <c r="F99" s="24">
        <v>6.7849685718066377E-2</v>
      </c>
      <c r="G99" s="24">
        <v>7.8583333333333334</v>
      </c>
      <c r="H99" s="24"/>
      <c r="N99" s="24"/>
      <c r="O99" s="24"/>
      <c r="Q99" s="8"/>
      <c r="R99" s="8"/>
      <c r="S99" s="24"/>
      <c r="T99" s="24"/>
      <c r="Y99" s="3"/>
      <c r="Z99" s="49"/>
      <c r="AA99" s="49"/>
      <c r="AB99" s="49"/>
      <c r="AC99" s="49"/>
      <c r="AD99" s="49"/>
    </row>
    <row r="100" spans="1:30" s="4" customFormat="1" x14ac:dyDescent="0.3">
      <c r="A100" s="3"/>
      <c r="B100" s="4" t="s">
        <v>215</v>
      </c>
      <c r="C100" s="24">
        <v>10.990428758602816</v>
      </c>
      <c r="D100" s="24">
        <v>0.16235757043527108</v>
      </c>
      <c r="E100" s="48">
        <v>-10.095133166711532</v>
      </c>
      <c r="F100" s="24">
        <v>0.17116001218570465</v>
      </c>
      <c r="G100" s="24">
        <v>10.392333333333335</v>
      </c>
      <c r="H100" s="24"/>
      <c r="N100" s="24"/>
      <c r="O100" s="24"/>
      <c r="Q100" s="8"/>
      <c r="R100" s="8"/>
      <c r="Y100" s="49"/>
      <c r="Z100" s="49"/>
      <c r="AA100" s="49"/>
      <c r="AB100" s="49"/>
      <c r="AC100" s="49"/>
      <c r="AD100" s="49"/>
    </row>
    <row r="101" spans="1:30" s="4" customFormat="1" x14ac:dyDescent="0.3">
      <c r="A101" s="3"/>
      <c r="B101" s="4" t="s">
        <v>216</v>
      </c>
      <c r="C101" s="24">
        <v>18.992065382761954</v>
      </c>
      <c r="D101" s="24">
        <v>0.15033821535534161</v>
      </c>
      <c r="E101" s="48">
        <v>-10.001069206521565</v>
      </c>
      <c r="F101" s="24">
        <v>5.0349513077390558E-2</v>
      </c>
      <c r="G101" s="24">
        <v>10.773333333333333</v>
      </c>
      <c r="H101" s="24"/>
      <c r="N101" s="24"/>
      <c r="O101" s="24"/>
      <c r="Q101" s="8"/>
      <c r="R101" s="8"/>
      <c r="Y101" s="49"/>
      <c r="Z101" s="49"/>
      <c r="AA101" s="49"/>
      <c r="AB101" s="49"/>
      <c r="AC101" s="49"/>
      <c r="AD101" s="49"/>
    </row>
    <row r="102" spans="1:30" s="4" customFormat="1" x14ac:dyDescent="0.3">
      <c r="A102" s="3"/>
      <c r="B102" s="4" t="s">
        <v>217</v>
      </c>
      <c r="C102" s="24">
        <v>18.84741750903963</v>
      </c>
      <c r="D102" s="24">
        <v>0.26300933090052053</v>
      </c>
      <c r="E102" s="48">
        <v>-10.316856656413043</v>
      </c>
      <c r="F102" s="24">
        <v>0.46620848929345765</v>
      </c>
      <c r="G102" s="24">
        <v>9.5583333333333318</v>
      </c>
      <c r="H102" s="24"/>
      <c r="N102" s="24"/>
      <c r="O102" s="24"/>
      <c r="Q102" s="8"/>
      <c r="R102" s="8"/>
      <c r="Y102" s="49"/>
      <c r="Z102" s="49"/>
      <c r="AA102" s="49"/>
      <c r="AB102" s="49"/>
      <c r="AC102" s="49"/>
      <c r="AD102" s="49"/>
    </row>
    <row r="103" spans="1:30" s="4" customFormat="1" x14ac:dyDescent="0.3">
      <c r="A103" s="3"/>
      <c r="B103" s="4" t="s">
        <v>218</v>
      </c>
      <c r="C103" s="24">
        <v>18.740378914912664</v>
      </c>
      <c r="D103" s="24">
        <v>0.1832310039051589</v>
      </c>
      <c r="E103" s="46">
        <v>-10.373356207053954</v>
      </c>
      <c r="F103" s="24">
        <v>0.12015242055058523</v>
      </c>
      <c r="G103" s="24">
        <v>10.148333333333335</v>
      </c>
      <c r="N103" s="24"/>
      <c r="O103" s="24"/>
      <c r="Q103" s="8"/>
      <c r="R103" s="8"/>
      <c r="Y103" s="49"/>
      <c r="Z103" s="49"/>
      <c r="AA103" s="49"/>
      <c r="AB103" s="49"/>
      <c r="AC103" s="49"/>
      <c r="AD103" s="49"/>
    </row>
    <row r="104" spans="1:30" s="4" customFormat="1" x14ac:dyDescent="0.3">
      <c r="B104" s="4" t="s">
        <v>219</v>
      </c>
      <c r="C104" s="24">
        <v>19.252380032468363</v>
      </c>
      <c r="D104" s="24">
        <v>0.21984701589983335</v>
      </c>
      <c r="E104" s="46">
        <v>-9.8838492012082746</v>
      </c>
      <c r="F104" s="24">
        <v>0.22476319348366855</v>
      </c>
      <c r="G104" s="24">
        <v>10.755000000000001</v>
      </c>
      <c r="N104" s="24"/>
      <c r="O104" s="24"/>
      <c r="Q104" s="8"/>
      <c r="R104" s="8"/>
      <c r="Y104" s="49"/>
      <c r="Z104" s="49"/>
      <c r="AA104" s="49"/>
      <c r="AB104" s="49"/>
      <c r="AC104" s="49"/>
      <c r="AD104" s="49"/>
    </row>
    <row r="105" spans="1:30" s="4" customFormat="1" x14ac:dyDescent="0.3">
      <c r="B105" s="4" t="s">
        <v>220</v>
      </c>
      <c r="C105" s="24">
        <v>13.130918353316025</v>
      </c>
      <c r="D105" s="24">
        <v>0.33275996426126525</v>
      </c>
      <c r="E105" s="46">
        <v>-9.2760628094911475</v>
      </c>
      <c r="F105" s="24">
        <v>0.14641350260189423</v>
      </c>
      <c r="G105" s="24">
        <v>9.711333333333334</v>
      </c>
      <c r="N105" s="24"/>
      <c r="O105" s="24"/>
      <c r="Q105" s="8"/>
      <c r="R105" s="8"/>
      <c r="Y105" s="49"/>
      <c r="Z105" s="49"/>
      <c r="AA105" s="49"/>
      <c r="AB105" s="49"/>
      <c r="AC105" s="49"/>
      <c r="AD105" s="49"/>
    </row>
    <row r="106" spans="1:30" s="4" customFormat="1" x14ac:dyDescent="0.3">
      <c r="B106" s="4" t="s">
        <v>221</v>
      </c>
      <c r="C106" s="24">
        <v>13.066300915273105</v>
      </c>
      <c r="D106" s="24">
        <v>0.32768323323235443</v>
      </c>
      <c r="E106" s="46">
        <v>-9.327071606398377</v>
      </c>
      <c r="F106" s="24">
        <v>9.6248076153570339E-2</v>
      </c>
      <c r="G106" s="24">
        <v>13.462333333333333</v>
      </c>
      <c r="N106" s="24"/>
      <c r="O106" s="24"/>
      <c r="Q106" s="8"/>
      <c r="R106" s="8"/>
      <c r="S106" s="49"/>
      <c r="T106" s="49"/>
      <c r="U106" s="49"/>
      <c r="V106" s="49"/>
      <c r="W106" s="49"/>
      <c r="X106" s="49"/>
    </row>
    <row r="107" spans="1:30" s="4" customFormat="1" x14ac:dyDescent="0.3">
      <c r="B107" s="4" t="s">
        <v>222</v>
      </c>
      <c r="C107" s="24">
        <v>11.901393268772907</v>
      </c>
      <c r="D107" s="24">
        <v>0.12766737951113113</v>
      </c>
      <c r="E107" s="46">
        <v>-9.3481678220744477</v>
      </c>
      <c r="F107" s="24">
        <v>9.4690494881589107E-2</v>
      </c>
      <c r="G107" s="24">
        <v>13.270000000000001</v>
      </c>
      <c r="N107" s="24"/>
      <c r="O107" s="24"/>
      <c r="Q107" s="8"/>
      <c r="R107" s="8"/>
      <c r="S107" s="49"/>
      <c r="T107" s="49"/>
      <c r="U107" s="49"/>
      <c r="V107" s="49"/>
      <c r="W107" s="49"/>
      <c r="X107" s="49"/>
    </row>
    <row r="108" spans="1:30" s="4" customFormat="1" x14ac:dyDescent="0.3">
      <c r="B108" s="4" t="s">
        <v>223</v>
      </c>
      <c r="C108" s="24">
        <v>18.34342173339914</v>
      </c>
      <c r="D108" s="24">
        <v>0.37563462931707947</v>
      </c>
      <c r="E108" s="46">
        <v>-8.8944391592873604</v>
      </c>
      <c r="F108" s="24">
        <v>0.13649944221423427</v>
      </c>
      <c r="G108" s="24">
        <v>13.192</v>
      </c>
      <c r="N108" s="24"/>
      <c r="O108" s="24"/>
      <c r="Q108" s="8"/>
      <c r="R108" s="8"/>
      <c r="S108" s="24"/>
      <c r="T108" s="24"/>
      <c r="Y108" s="3"/>
      <c r="Z108" s="3"/>
      <c r="AA108" s="3"/>
      <c r="AB108" s="3"/>
      <c r="AC108" s="3"/>
      <c r="AD108" s="3"/>
    </row>
    <row r="109" spans="1:30" s="4" customFormat="1" x14ac:dyDescent="0.3">
      <c r="B109" s="4" t="s">
        <v>224</v>
      </c>
      <c r="C109" s="24">
        <v>19.546159546074744</v>
      </c>
      <c r="D109" s="24">
        <v>0.10981327561443562</v>
      </c>
      <c r="E109" s="46">
        <v>-12.476032690152214</v>
      </c>
      <c r="F109" s="24">
        <v>0.17811902880461913</v>
      </c>
      <c r="G109" s="24">
        <v>10.556333333333333</v>
      </c>
      <c r="N109" s="24"/>
      <c r="O109" s="24"/>
      <c r="Q109" s="8"/>
      <c r="R109" s="8"/>
      <c r="S109" s="24"/>
      <c r="T109" s="24"/>
      <c r="Y109" s="3"/>
      <c r="Z109" s="3"/>
      <c r="AA109" s="3"/>
      <c r="AB109" s="3"/>
      <c r="AC109" s="3"/>
      <c r="AD109" s="3"/>
    </row>
    <row r="110" spans="1:30" s="4" customFormat="1" x14ac:dyDescent="0.3">
      <c r="B110" s="4" t="s">
        <v>225</v>
      </c>
      <c r="C110" s="24">
        <v>18.14588737605348</v>
      </c>
      <c r="D110" s="24">
        <v>0.15932655634090701</v>
      </c>
      <c r="E110" s="46">
        <v>-11.124540115068896</v>
      </c>
      <c r="F110" s="24">
        <v>0.21507066355533835</v>
      </c>
      <c r="G110" s="24">
        <v>13.368</v>
      </c>
      <c r="N110" s="24"/>
      <c r="O110" s="24"/>
      <c r="Q110" s="8"/>
      <c r="R110" s="8"/>
      <c r="S110" s="24"/>
      <c r="T110" s="24"/>
      <c r="Y110" s="3"/>
      <c r="Z110" s="3"/>
      <c r="AA110" s="3"/>
      <c r="AB110" s="3"/>
      <c r="AC110" s="3"/>
      <c r="AD110" s="3"/>
    </row>
    <row r="111" spans="1:30" s="4" customFormat="1" x14ac:dyDescent="0.3">
      <c r="B111" s="4" t="s">
        <v>226</v>
      </c>
      <c r="C111" s="24">
        <v>9.0093353176190014</v>
      </c>
      <c r="D111" s="24">
        <v>0.10648444733583028</v>
      </c>
      <c r="E111" s="46">
        <v>-10.204812086950005</v>
      </c>
      <c r="F111" s="24">
        <v>0.23683212123924657</v>
      </c>
      <c r="G111" s="24">
        <v>13.053333333333333</v>
      </c>
      <c r="N111" s="24"/>
      <c r="O111" s="24"/>
      <c r="Q111" s="8"/>
      <c r="R111" s="8"/>
      <c r="S111" s="24"/>
      <c r="T111" s="24"/>
      <c r="Y111" s="3"/>
      <c r="Z111" s="3"/>
      <c r="AA111" s="3"/>
      <c r="AB111" s="3"/>
      <c r="AC111" s="3"/>
      <c r="AD111" s="3"/>
    </row>
    <row r="112" spans="1:30" s="4" customFormat="1" x14ac:dyDescent="0.3">
      <c r="B112" s="4" t="s">
        <v>227</v>
      </c>
      <c r="C112" s="24">
        <v>18.154843018536209</v>
      </c>
      <c r="D112" s="24">
        <v>0.15189611948143247</v>
      </c>
      <c r="E112" s="46">
        <v>-10.9003799791191</v>
      </c>
      <c r="F112" s="24">
        <v>0.32981023073950994</v>
      </c>
      <c r="G112" s="24">
        <v>13.003333333333336</v>
      </c>
      <c r="N112" s="24"/>
      <c r="O112" s="24"/>
      <c r="Q112" s="8"/>
      <c r="R112" s="8"/>
      <c r="S112" s="24"/>
      <c r="T112" s="24"/>
      <c r="Y112" s="3"/>
      <c r="Z112" s="3"/>
      <c r="AA112" s="3"/>
      <c r="AB112" s="3"/>
      <c r="AC112" s="3"/>
      <c r="AD112" s="3"/>
    </row>
    <row r="113" spans="2:30" s="4" customFormat="1" x14ac:dyDescent="0.3">
      <c r="B113" s="4" t="s">
        <v>228</v>
      </c>
      <c r="C113" s="24">
        <v>18.24051044559916</v>
      </c>
      <c r="D113" s="24">
        <v>0.26696983355662579</v>
      </c>
      <c r="E113" s="46">
        <v>-11.35827386381014</v>
      </c>
      <c r="F113" s="24">
        <v>0.32073306717533756</v>
      </c>
      <c r="G113" s="24">
        <v>12.843000000000002</v>
      </c>
      <c r="N113" s="24"/>
      <c r="O113" s="24"/>
      <c r="Q113" s="8"/>
      <c r="R113" s="8"/>
      <c r="S113" s="24"/>
      <c r="T113" s="24"/>
      <c r="Y113" s="3"/>
      <c r="Z113" s="3"/>
      <c r="AA113" s="3"/>
      <c r="AB113" s="3"/>
      <c r="AC113" s="3"/>
      <c r="AD113" s="3"/>
    </row>
    <row r="114" spans="2:30" s="4" customFormat="1" x14ac:dyDescent="0.3">
      <c r="B114" s="4" t="s">
        <v>229</v>
      </c>
      <c r="C114" s="24">
        <v>9.4733915385818275</v>
      </c>
      <c r="D114" s="24">
        <v>0.54898201279680303</v>
      </c>
      <c r="E114" s="46">
        <v>-10.466365106837337</v>
      </c>
      <c r="F114" s="24">
        <v>0.14973139714403963</v>
      </c>
      <c r="G114" s="24">
        <v>6.8036666666666656</v>
      </c>
      <c r="N114" s="24"/>
      <c r="O114" s="24"/>
      <c r="Q114" s="8"/>
      <c r="R114" s="8"/>
      <c r="S114" s="24"/>
      <c r="T114" s="24"/>
      <c r="Y114" s="3"/>
      <c r="Z114" s="3"/>
      <c r="AA114" s="3"/>
      <c r="AB114" s="3"/>
      <c r="AC114" s="3"/>
      <c r="AD114" s="3"/>
    </row>
    <row r="115" spans="2:30" s="4" customFormat="1" x14ac:dyDescent="0.3">
      <c r="B115" s="4" t="s">
        <v>230</v>
      </c>
      <c r="C115" s="24">
        <v>18.022478382996237</v>
      </c>
      <c r="D115" s="24">
        <v>0.21724982487785668</v>
      </c>
      <c r="E115" s="46">
        <v>-11.879344437545212</v>
      </c>
      <c r="F115" s="24">
        <v>3.6281153600497301E-2</v>
      </c>
      <c r="G115" s="24">
        <v>12.620666666666667</v>
      </c>
      <c r="N115" s="24"/>
      <c r="O115" s="24"/>
      <c r="Q115" s="8"/>
      <c r="R115" s="8"/>
      <c r="S115" s="24"/>
      <c r="T115" s="24"/>
      <c r="Y115" s="3"/>
      <c r="Z115" s="3"/>
      <c r="AA115" s="3"/>
      <c r="AB115" s="3"/>
      <c r="AC115" s="3"/>
      <c r="AD115" s="3"/>
    </row>
    <row r="116" spans="2:30" s="4" customFormat="1" x14ac:dyDescent="0.3">
      <c r="B116" s="4" t="s">
        <v>231</v>
      </c>
      <c r="C116" s="24">
        <v>8.4918414968174591</v>
      </c>
      <c r="D116" s="24">
        <v>0.43600146331678769</v>
      </c>
      <c r="E116" s="46">
        <v>-10.134276122909712</v>
      </c>
      <c r="F116" s="24">
        <v>0.36801357162228898</v>
      </c>
      <c r="G116" s="24">
        <v>12.258000000000001</v>
      </c>
      <c r="N116" s="24"/>
      <c r="O116" s="24"/>
      <c r="Q116" s="8"/>
      <c r="R116" s="8"/>
      <c r="S116" s="24"/>
      <c r="T116" s="24"/>
      <c r="Y116" s="3"/>
      <c r="Z116" s="3"/>
      <c r="AA116" s="3"/>
      <c r="AB116" s="3"/>
      <c r="AC116" s="3"/>
      <c r="AD116" s="3"/>
    </row>
    <row r="117" spans="2:30" s="4" customFormat="1" x14ac:dyDescent="0.3">
      <c r="B117" s="4" t="s">
        <v>232</v>
      </c>
      <c r="C117" s="24">
        <v>18.321260943181372</v>
      </c>
      <c r="D117" s="24">
        <v>9.9259394370687037E-2</v>
      </c>
      <c r="E117" s="46">
        <v>-10.747491438653761</v>
      </c>
      <c r="F117" s="24">
        <v>0.16519153792671912</v>
      </c>
      <c r="G117" s="24">
        <v>12.440333333333333</v>
      </c>
      <c r="N117" s="24"/>
      <c r="O117" s="24"/>
      <c r="Q117" s="8"/>
      <c r="R117" s="8"/>
      <c r="S117" s="24"/>
      <c r="T117" s="24"/>
      <c r="Y117" s="3"/>
      <c r="Z117" s="3"/>
      <c r="AA117" s="3"/>
      <c r="AB117" s="3"/>
      <c r="AC117" s="3"/>
      <c r="AD117" s="3"/>
    </row>
    <row r="118" spans="2:30" s="4" customFormat="1" x14ac:dyDescent="0.3">
      <c r="B118" s="4" t="s">
        <v>233</v>
      </c>
      <c r="C118" s="24">
        <v>7.6683966187062724</v>
      </c>
      <c r="D118" s="24">
        <v>0.51183050625425164</v>
      </c>
      <c r="E118" s="46">
        <v>-10.555201795287536</v>
      </c>
      <c r="F118" s="24">
        <v>8.5606331238407496E-2</v>
      </c>
      <c r="G118" s="24">
        <v>12.449666666666666</v>
      </c>
      <c r="N118" s="24"/>
      <c r="O118" s="24"/>
      <c r="Q118" s="8"/>
      <c r="R118" s="8"/>
      <c r="S118" s="24"/>
      <c r="T118" s="24"/>
      <c r="Y118" s="3"/>
      <c r="Z118" s="3"/>
      <c r="AA118" s="3"/>
      <c r="AB118" s="3"/>
      <c r="AC118" s="3"/>
      <c r="AD118" s="3"/>
    </row>
    <row r="119" spans="2:30" s="4" customFormat="1" x14ac:dyDescent="0.3">
      <c r="B119" s="4" t="s">
        <v>234</v>
      </c>
      <c r="C119" s="24">
        <v>17.478315468119828</v>
      </c>
      <c r="D119" s="24">
        <v>0.29873152334426673</v>
      </c>
      <c r="E119" s="46">
        <v>-12.984321924111539</v>
      </c>
      <c r="F119" s="24">
        <v>0.20154930637092031</v>
      </c>
      <c r="G119" s="24">
        <v>10.595666666666668</v>
      </c>
      <c r="N119" s="24"/>
      <c r="O119" s="24"/>
      <c r="Q119" s="8"/>
      <c r="R119" s="8"/>
      <c r="S119" s="24"/>
      <c r="T119" s="24"/>
      <c r="Y119" s="3"/>
      <c r="Z119" s="3"/>
      <c r="AA119" s="3"/>
      <c r="AB119" s="3"/>
      <c r="AC119" s="3"/>
      <c r="AD119" s="3"/>
    </row>
    <row r="120" spans="2:30" s="4" customFormat="1" x14ac:dyDescent="0.3">
      <c r="B120" s="4" t="s">
        <v>235</v>
      </c>
      <c r="C120" s="24">
        <v>18.324976071288148</v>
      </c>
      <c r="D120" s="24">
        <v>0.20814927183686693</v>
      </c>
      <c r="E120" s="46">
        <v>-11.007124291207537</v>
      </c>
      <c r="F120" s="24">
        <v>0.13567772325768915</v>
      </c>
      <c r="G120" s="24">
        <v>11.871333333333334</v>
      </c>
      <c r="N120" s="24"/>
      <c r="O120" s="24"/>
      <c r="Q120" s="8"/>
      <c r="R120" s="8"/>
      <c r="S120" s="24"/>
      <c r="T120" s="24"/>
      <c r="Y120" s="3"/>
      <c r="Z120" s="3"/>
      <c r="AA120" s="3"/>
      <c r="AB120" s="3"/>
      <c r="AC120" s="3"/>
      <c r="AD120" s="3"/>
    </row>
    <row r="121" spans="2:30" s="4" customFormat="1" x14ac:dyDescent="0.3">
      <c r="B121" s="4" t="s">
        <v>236</v>
      </c>
      <c r="C121" s="24">
        <v>18.142500827382388</v>
      </c>
      <c r="D121" s="24">
        <v>0.81124048818710259</v>
      </c>
      <c r="E121" s="46">
        <v>-10.089837923047192</v>
      </c>
      <c r="F121" s="24">
        <v>8.9830071343286994E-2</v>
      </c>
      <c r="G121" s="24">
        <v>6.4549999999999992</v>
      </c>
      <c r="N121" s="24"/>
      <c r="O121" s="24"/>
      <c r="Q121" s="8"/>
      <c r="R121" s="8"/>
      <c r="S121" s="24"/>
      <c r="T121" s="24"/>
      <c r="Y121" s="3"/>
      <c r="Z121" s="3"/>
      <c r="AA121" s="3"/>
      <c r="AB121" s="3"/>
      <c r="AC121" s="3"/>
      <c r="AD121" s="3"/>
    </row>
    <row r="122" spans="2:30" s="4" customFormat="1" x14ac:dyDescent="0.3">
      <c r="B122" s="4" t="s">
        <v>237</v>
      </c>
      <c r="C122" s="24">
        <v>18.243284909133052</v>
      </c>
      <c r="D122" s="24">
        <v>0.23125240021160803</v>
      </c>
      <c r="E122" s="46">
        <v>-10.210316355297223</v>
      </c>
      <c r="F122" s="24">
        <v>0.1803700586502649</v>
      </c>
      <c r="G122" s="24">
        <v>5.4796666666666667</v>
      </c>
      <c r="N122" s="24"/>
      <c r="O122" s="24"/>
      <c r="Q122" s="8"/>
      <c r="R122" s="8"/>
      <c r="S122" s="24"/>
      <c r="T122" s="24"/>
      <c r="Y122" s="3"/>
      <c r="Z122" s="3"/>
      <c r="AA122" s="3"/>
      <c r="AB122" s="3"/>
      <c r="AC122" s="3"/>
      <c r="AD122" s="3"/>
    </row>
    <row r="123" spans="2:30" s="4" customFormat="1" x14ac:dyDescent="0.3">
      <c r="B123" s="4" t="s">
        <v>238</v>
      </c>
      <c r="C123" s="24">
        <v>19.15786751859142</v>
      </c>
      <c r="D123" s="24">
        <v>1.0613225273077231</v>
      </c>
      <c r="E123" s="46">
        <v>-10.713166731287437</v>
      </c>
      <c r="F123" s="24">
        <v>0.47350202882979853</v>
      </c>
      <c r="G123" s="24">
        <v>5.6486666666666663</v>
      </c>
      <c r="N123" s="24"/>
      <c r="O123" s="24"/>
      <c r="Q123" s="8"/>
      <c r="R123" s="8"/>
      <c r="S123" s="24"/>
      <c r="T123" s="24"/>
      <c r="Y123" s="3"/>
      <c r="Z123" s="3"/>
      <c r="AA123" s="3"/>
      <c r="AB123" s="3"/>
      <c r="AC123" s="3"/>
      <c r="AD123" s="3"/>
    </row>
    <row r="124" spans="2:30" s="4" customFormat="1" x14ac:dyDescent="0.3">
      <c r="C124" s="24"/>
      <c r="D124" s="24"/>
      <c r="E124" s="46"/>
      <c r="F124" s="24"/>
      <c r="G124" s="24"/>
      <c r="N124" s="24"/>
      <c r="O124" s="24"/>
      <c r="Q124" s="8"/>
      <c r="R124" s="8"/>
      <c r="S124" s="24"/>
      <c r="T124" s="24"/>
      <c r="Y124" s="3"/>
      <c r="Z124" s="3"/>
      <c r="AA124" s="3"/>
      <c r="AB124" s="3"/>
      <c r="AC124" s="3"/>
      <c r="AD124" s="3"/>
    </row>
    <row r="125" spans="2:30" s="4" customFormat="1" x14ac:dyDescent="0.3">
      <c r="B125" s="4" t="s">
        <v>239</v>
      </c>
      <c r="C125" s="24">
        <v>20.275000051455603</v>
      </c>
      <c r="D125" s="24">
        <v>0.25273007773406286</v>
      </c>
      <c r="E125" s="51">
        <v>2.3060337271710813</v>
      </c>
      <c r="F125" s="24">
        <v>0.1186403628005479</v>
      </c>
      <c r="G125" s="24">
        <v>19.509</v>
      </c>
      <c r="Y125" s="3"/>
      <c r="Z125" s="50"/>
      <c r="AA125" s="50"/>
      <c r="AB125" s="3"/>
      <c r="AC125" s="3"/>
      <c r="AD125" s="3"/>
    </row>
    <row r="126" spans="2:30" x14ac:dyDescent="0.3">
      <c r="B126" s="4" t="s">
        <v>240</v>
      </c>
      <c r="C126" s="24">
        <v>24.156090701773334</v>
      </c>
      <c r="D126" s="24">
        <v>4.5665795241344426E-2</v>
      </c>
      <c r="E126" s="51">
        <v>-1.8989193195843923</v>
      </c>
      <c r="F126" s="24">
        <v>4.4785340216871729E-2</v>
      </c>
      <c r="G126" s="24">
        <v>16.688333333333333</v>
      </c>
    </row>
    <row r="127" spans="2:30" x14ac:dyDescent="0.3">
      <c r="B127" s="4" t="s">
        <v>241</v>
      </c>
      <c r="C127" s="24">
        <v>24.219010068406011</v>
      </c>
      <c r="D127" s="24">
        <v>0.10765393609919122</v>
      </c>
      <c r="E127" s="51">
        <v>12.995079891258362</v>
      </c>
      <c r="F127" s="24">
        <v>7.9771959255274999E-2</v>
      </c>
      <c r="G127" s="24">
        <v>18.812666666666669</v>
      </c>
    </row>
    <row r="128" spans="2:30" x14ac:dyDescent="0.3">
      <c r="L128" s="8"/>
      <c r="M128" s="18"/>
      <c r="N128" s="9"/>
      <c r="O128" s="18"/>
      <c r="P128" s="18"/>
      <c r="R128" s="18"/>
    </row>
    <row r="129" spans="1:34" x14ac:dyDescent="0.3">
      <c r="B129" s="4" t="s">
        <v>242</v>
      </c>
      <c r="C129" s="24">
        <v>20.196336094580591</v>
      </c>
      <c r="D129" s="24">
        <v>0.21138183466804028</v>
      </c>
      <c r="E129" s="51">
        <v>2.3021203964106327</v>
      </c>
      <c r="F129" s="24">
        <v>7.0875958193771682E-2</v>
      </c>
      <c r="G129" s="24">
        <v>19.509</v>
      </c>
      <c r="L129" s="8"/>
      <c r="M129" s="18"/>
      <c r="N129" s="9"/>
      <c r="O129" s="18"/>
      <c r="P129" s="18"/>
      <c r="R129" s="18"/>
    </row>
    <row r="130" spans="1:34" x14ac:dyDescent="0.3">
      <c r="B130" s="4" t="s">
        <v>243</v>
      </c>
      <c r="C130" s="24">
        <v>24.111982684442864</v>
      </c>
      <c r="D130" s="24">
        <v>0.29399106675693887</v>
      </c>
      <c r="E130" s="51">
        <v>-1.9018851230692695</v>
      </c>
      <c r="F130" s="24">
        <v>0.16114305835578271</v>
      </c>
      <c r="G130" s="24">
        <v>16.688333333333333</v>
      </c>
      <c r="L130" s="8"/>
      <c r="M130" s="18"/>
      <c r="N130" s="9"/>
      <c r="O130" s="18"/>
      <c r="P130" s="18"/>
      <c r="R130" s="18"/>
    </row>
    <row r="131" spans="1:34" x14ac:dyDescent="0.3">
      <c r="B131" s="4" t="s">
        <v>244</v>
      </c>
      <c r="C131" s="24">
        <v>24.199458584796243</v>
      </c>
      <c r="D131" s="24">
        <v>0.18483338245120515</v>
      </c>
      <c r="E131" s="51">
        <v>12.921209243417742</v>
      </c>
      <c r="F131" s="24">
        <v>0.10472781960513711</v>
      </c>
      <c r="G131" s="24">
        <v>18.812666666666669</v>
      </c>
      <c r="L131" s="8"/>
      <c r="M131" s="18"/>
      <c r="N131" s="9"/>
      <c r="O131" s="18"/>
      <c r="P131" s="18"/>
      <c r="R131" s="18"/>
    </row>
    <row r="132" spans="1:34" x14ac:dyDescent="0.3">
      <c r="L132" s="8"/>
      <c r="M132" s="18"/>
      <c r="N132" s="9"/>
      <c r="O132" s="18"/>
      <c r="P132" s="18"/>
      <c r="R132" s="18"/>
    </row>
    <row r="133" spans="1:34" x14ac:dyDescent="0.3">
      <c r="B133" s="4" t="s">
        <v>245</v>
      </c>
      <c r="C133" s="24">
        <v>24.326597315408481</v>
      </c>
      <c r="D133" s="24">
        <v>0.41012919778168599</v>
      </c>
      <c r="E133" s="52">
        <v>-1.4200847296650494</v>
      </c>
      <c r="F133" s="24">
        <v>0.19998953190776775</v>
      </c>
      <c r="G133" s="24">
        <v>14.974333333333334</v>
      </c>
      <c r="L133" s="8"/>
      <c r="M133" s="18"/>
      <c r="N133" s="9"/>
      <c r="O133" s="18"/>
      <c r="P133" s="18"/>
      <c r="R133" s="18"/>
    </row>
    <row r="134" spans="1:34" x14ac:dyDescent="0.3">
      <c r="L134" s="8"/>
      <c r="M134" s="18"/>
      <c r="N134" s="9"/>
      <c r="O134" s="18"/>
      <c r="P134" s="18"/>
      <c r="R134" s="18"/>
    </row>
    <row r="135" spans="1:34" x14ac:dyDescent="0.3">
      <c r="B135" s="4" t="s">
        <v>246</v>
      </c>
      <c r="C135" s="24">
        <v>20.079812992587009</v>
      </c>
      <c r="D135" s="24">
        <v>0.27932063535894441</v>
      </c>
      <c r="E135" s="53">
        <v>1.918815549186011</v>
      </c>
      <c r="F135" s="24">
        <v>0.48920978229072404</v>
      </c>
      <c r="G135" s="24">
        <v>15.432666666666668</v>
      </c>
      <c r="L135" s="8"/>
      <c r="N135" s="9"/>
      <c r="P135" s="18"/>
      <c r="R135" s="18"/>
    </row>
    <row r="136" spans="1:34" x14ac:dyDescent="0.3">
      <c r="B136" s="4" t="s">
        <v>247</v>
      </c>
      <c r="C136" s="24">
        <v>24.190969793749847</v>
      </c>
      <c r="D136" s="24">
        <v>4.099361568187182E-2</v>
      </c>
      <c r="E136" s="53">
        <v>-2.2708753969353825</v>
      </c>
      <c r="F136" s="24">
        <v>0.2465576132283662</v>
      </c>
      <c r="G136" s="24">
        <v>16.328666666666667</v>
      </c>
      <c r="L136" s="8"/>
      <c r="N136" s="9"/>
      <c r="P136" s="18"/>
      <c r="R136" s="18"/>
    </row>
    <row r="137" spans="1:34" x14ac:dyDescent="0.3">
      <c r="B137" s="4" t="s">
        <v>248</v>
      </c>
      <c r="C137" s="24">
        <v>24.22663945231389</v>
      </c>
      <c r="D137" s="24">
        <v>0.31487909339819653</v>
      </c>
      <c r="E137" s="53">
        <v>12.613551860554118</v>
      </c>
      <c r="F137" s="24">
        <v>0.26718955524370819</v>
      </c>
      <c r="G137" s="24">
        <v>10.321</v>
      </c>
      <c r="L137" s="8"/>
      <c r="M137" s="18"/>
      <c r="N137" s="9"/>
      <c r="O137" s="18"/>
      <c r="P137" s="18"/>
      <c r="R137" s="18"/>
    </row>
    <row r="140" spans="1:34" s="4" customFormat="1" x14ac:dyDescent="0.3">
      <c r="A140" s="5"/>
      <c r="B140" s="4" t="s">
        <v>249</v>
      </c>
      <c r="C140" s="24">
        <v>24.220015829833812</v>
      </c>
      <c r="D140" s="24">
        <v>0.19046393757568308</v>
      </c>
      <c r="E140" s="51">
        <v>-1.6501848645835746</v>
      </c>
      <c r="F140" s="24">
        <v>0.21647355367543902</v>
      </c>
      <c r="G140" s="24">
        <v>18.074333333333332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</sheetData>
  <phoneticPr fontId="1"/>
  <pageMargins left="0.25" right="0.25" top="0.75" bottom="0.75" header="0.3" footer="0.3"/>
  <pageSetup scale="26" orientation="landscape" horizontalDpi="4294967292" verticalDpi="4294967292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N2O2.wke</vt:lpstr>
      <vt:lpstr>20260528</vt:lpstr>
      <vt:lpstr>'20260528'!bulkexport.wke</vt:lpstr>
      <vt:lpstr>N2O2.wke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Chise Yoshida</dc:creator>
  <cp:lastModifiedBy>Chise Yoshida</cp:lastModifiedBy>
  <dcterms:created xsi:type="dcterms:W3CDTF">2026-06-15T02:12:20Z</dcterms:created>
  <dcterms:modified xsi:type="dcterms:W3CDTF">2026-06-15T03:29:40Z</dcterms:modified>
</cp:coreProperties>
</file>